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CF5A496-62C7-4935-987A-446D4F77A83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Лист1!$A$2:$R$7508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503" i="1" l="1"/>
  <c r="S7503" i="1"/>
  <c r="R7503" i="1"/>
  <c r="Q7503" i="1"/>
  <c r="T7502" i="1"/>
  <c r="S7502" i="1"/>
  <c r="R7502" i="1"/>
  <c r="Q7502" i="1"/>
  <c r="T7501" i="1"/>
  <c r="S7501" i="1"/>
  <c r="R7501" i="1"/>
  <c r="Q7501" i="1"/>
  <c r="T7496" i="1"/>
  <c r="S7496" i="1"/>
  <c r="R7496" i="1"/>
  <c r="Q7496" i="1"/>
  <c r="T7494" i="1"/>
  <c r="S7494" i="1"/>
  <c r="R7494" i="1"/>
  <c r="Q7494" i="1"/>
  <c r="T7493" i="1"/>
  <c r="S7493" i="1"/>
  <c r="R7493" i="1"/>
  <c r="Q7493" i="1"/>
  <c r="Q7500" i="1"/>
  <c r="Q7499" i="1"/>
  <c r="Q7492" i="1"/>
  <c r="Q7491" i="1"/>
  <c r="Q7490" i="1"/>
  <c r="Q7489" i="1"/>
  <c r="Q7488" i="1"/>
  <c r="Q7482" i="1"/>
  <c r="Q7481" i="1"/>
  <c r="Q7480" i="1"/>
  <c r="Q7479" i="1"/>
  <c r="R7500" i="1"/>
  <c r="R7499" i="1"/>
  <c r="R7492" i="1"/>
  <c r="R7491" i="1"/>
  <c r="R7490" i="1"/>
  <c r="R7489" i="1"/>
  <c r="R7488" i="1"/>
  <c r="R7482" i="1"/>
  <c r="R7481" i="1"/>
  <c r="R7480" i="1"/>
  <c r="R7479" i="1"/>
  <c r="T7500" i="1"/>
  <c r="S7500" i="1"/>
  <c r="T7499" i="1"/>
  <c r="S7499" i="1"/>
  <c r="T7492" i="1"/>
  <c r="S7492" i="1"/>
  <c r="T7491" i="1"/>
  <c r="S7491" i="1"/>
  <c r="T7490" i="1"/>
  <c r="S7490" i="1"/>
  <c r="T7489" i="1"/>
  <c r="S7489" i="1"/>
  <c r="T7488" i="1"/>
  <c r="S7488" i="1"/>
  <c r="T7482" i="1"/>
  <c r="S7482" i="1"/>
  <c r="T7481" i="1"/>
  <c r="S7481" i="1"/>
  <c r="T7480" i="1"/>
  <c r="S7480" i="1"/>
  <c r="T7479" i="1"/>
  <c r="S747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l="1"/>
  <c r="A7428" i="1" s="1"/>
  <c r="A7429" i="1" s="1"/>
  <c r="A7431" i="1" s="1"/>
  <c r="A7434" i="1" s="1"/>
  <c r="A7438" i="1" s="1"/>
  <c r="A7441" i="1" s="1"/>
  <c r="A7443" i="1" l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l="1"/>
  <c r="A7461" i="1" l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l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l="1"/>
  <c r="A7501" i="1" l="1"/>
  <c r="A7504" i="1" l="1"/>
  <c r="A7505" i="1" l="1"/>
  <c r="A7506" i="1" s="1"/>
  <c r="A7507" i="1" l="1"/>
  <c r="A7508" i="1" s="1"/>
</calcChain>
</file>

<file path=xl/sharedStrings.xml><?xml version="1.0" encoding="utf-8"?>
<sst xmlns="http://schemas.openxmlformats.org/spreadsheetml/2006/main" count="48870" uniqueCount="3190">
  <si>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</si>
  <si>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</si>
  <si>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</si>
  <si>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</si>
  <si>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</si>
  <si>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</si>
  <si>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</si>
  <si>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</si>
  <si>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</si>
  <si>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</si>
  <si>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</si>
  <si>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</si>
  <si>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</si>
  <si>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</si>
  <si>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</si>
  <si>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</si>
  <si>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</si>
  <si>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</si>
  <si>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</si>
  <si>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</si>
  <si>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</si>
  <si>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</si>
  <si>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</si>
  <si>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</si>
  <si>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</si>
  <si>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</si>
  <si>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</si>
  <si>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</si>
  <si>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</si>
  <si>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</si>
  <si>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</si>
  <si>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</si>
  <si>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</si>
  <si>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</si>
  <si>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</si>
  <si>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</si>
  <si>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</si>
  <si>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</si>
  <si>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</si>
  <si>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</si>
  <si>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</si>
  <si>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</si>
  <si>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</si>
  <si>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</si>
  <si>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</si>
  <si>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</si>
  <si>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</si>
  <si>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</si>
  <si>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</si>
  <si>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</si>
  <si>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</si>
  <si>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</si>
  <si>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</si>
  <si>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</si>
  <si>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</si>
  <si>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</si>
  <si>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</si>
  <si>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</si>
  <si>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</si>
  <si>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</si>
  <si>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</si>
  <si>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</si>
  <si>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</si>
  <si>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</si>
  <si>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</si>
  <si>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</si>
  <si>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</si>
  <si>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</si>
  <si>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</si>
  <si>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</si>
  <si>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</si>
  <si>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</si>
  <si>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</si>
  <si>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</si>
  <si>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</si>
  <si>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</si>
  <si>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</si>
  <si>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</si>
  <si>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</si>
  <si>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</si>
  <si>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</si>
  <si>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</si>
  <si>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</si>
  <si>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</si>
  <si>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</si>
  <si>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</si>
  <si>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</si>
  <si>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</si>
  <si>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</si>
  <si>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</si>
  <si>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</si>
  <si>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</si>
  <si>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</si>
  <si>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</si>
  <si>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</si>
  <si>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</si>
  <si>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</si>
  <si>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</si>
  <si>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</si>
  <si>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</si>
  <si>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</si>
  <si>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</si>
  <si>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</si>
  <si>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</si>
  <si>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</si>
  <si>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</si>
  <si>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</si>
  <si>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</si>
  <si>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</si>
  <si>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</si>
  <si>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</si>
  <si>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</si>
  <si>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</si>
  <si>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</si>
  <si>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</si>
  <si>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</si>
  <si>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</si>
  <si>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</si>
  <si>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</si>
  <si>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</si>
  <si>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</si>
  <si>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</si>
  <si>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</si>
  <si>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</si>
  <si>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</si>
  <si>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</si>
  <si>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</si>
  <si>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</si>
  <si>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</si>
  <si>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</si>
  <si>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</si>
  <si>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</si>
  <si>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</si>
  <si>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</si>
  <si>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</si>
  <si>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</si>
  <si>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</si>
  <si>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</si>
  <si>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</si>
  <si>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</si>
  <si>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</si>
  <si>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</si>
  <si>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</si>
  <si>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</si>
  <si>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</si>
  <si>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</si>
  <si>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</si>
  <si>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</si>
  <si>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</si>
  <si>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</si>
  <si>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</si>
  <si>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</si>
  <si>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</si>
  <si>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</si>
  <si>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</si>
  <si>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</si>
  <si>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</si>
  <si>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</si>
  <si>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</si>
  <si>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</si>
  <si>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</si>
  <si>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</si>
  <si>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</si>
  <si>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</si>
  <si>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</si>
  <si>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</si>
  <si>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</si>
  <si>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</si>
  <si>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</si>
  <si>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</si>
  <si>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</si>
  <si>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</si>
  <si>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</si>
  <si>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</si>
  <si>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</si>
  <si>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</si>
  <si>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</si>
  <si>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</si>
  <si>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</si>
  <si>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</si>
  <si>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</si>
  <si>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</si>
  <si>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</si>
  <si>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</si>
  <si>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</si>
  <si>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</si>
  <si>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</si>
  <si>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</si>
  <si>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</si>
  <si>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</si>
  <si>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</si>
  <si>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</si>
  <si>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</si>
  <si>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</si>
  <si>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</si>
  <si>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</si>
  <si>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</si>
  <si>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</si>
  <si>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</si>
  <si>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</si>
  <si>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</si>
  <si>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</si>
  <si>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</si>
  <si>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</si>
  <si>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</si>
  <si>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</si>
  <si>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</si>
  <si>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</si>
  <si>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</si>
  <si>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</si>
  <si>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</si>
  <si>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</si>
  <si>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</si>
  <si>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</si>
  <si>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</si>
  <si>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</si>
  <si>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</si>
  <si>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</si>
  <si>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</si>
  <si>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</si>
  <si>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</si>
  <si>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</si>
  <si>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</si>
  <si>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</si>
  <si>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</si>
  <si>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</si>
  <si>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</si>
  <si>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</si>
  <si>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</si>
  <si>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</si>
  <si>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</si>
  <si>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</si>
  <si>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</si>
  <si>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</si>
  <si>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</si>
  <si>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</si>
  <si>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</si>
  <si>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</si>
  <si>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</si>
  <si>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</si>
  <si>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</si>
  <si>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</si>
  <si>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</si>
  <si>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</si>
  <si>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</si>
  <si>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</si>
  <si>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</si>
  <si>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</si>
  <si>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</si>
  <si>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</si>
  <si>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</si>
  <si>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</si>
  <si>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</si>
  <si>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</si>
  <si>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</si>
  <si>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</si>
  <si>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</si>
  <si>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</si>
  <si>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</si>
  <si>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</si>
  <si>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</si>
  <si>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</si>
  <si>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</si>
  <si>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</si>
  <si>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</si>
  <si>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</si>
  <si>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</si>
  <si>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</si>
  <si>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</si>
  <si>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</si>
  <si>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</si>
  <si>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</si>
  <si>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</si>
  <si>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</si>
  <si>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</si>
  <si>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</si>
  <si>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</si>
  <si>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</si>
  <si>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</si>
  <si>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</si>
  <si>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</si>
  <si>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</si>
  <si>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</si>
  <si>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</si>
  <si>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</si>
  <si>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</si>
  <si>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</si>
  <si>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</si>
  <si>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</si>
  <si>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</si>
  <si>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</si>
  <si>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</si>
  <si>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</si>
  <si>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</si>
  <si>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</si>
  <si>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</si>
  <si>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</si>
  <si>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</si>
  <si>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</si>
  <si>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</si>
  <si>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</si>
  <si>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</si>
  <si>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</si>
  <si>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</si>
  <si>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</si>
  <si>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</si>
  <si>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</si>
  <si>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</si>
  <si>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</si>
  <si>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</si>
  <si>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</si>
  <si>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</si>
  <si>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</si>
  <si>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</si>
  <si>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</si>
  <si>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</si>
  <si>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</si>
  <si>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</si>
  <si>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</si>
  <si>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</si>
  <si>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</si>
  <si>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</si>
  <si>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</si>
  <si>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</si>
  <si>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</si>
  <si>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</si>
  <si>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</si>
  <si>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</si>
  <si>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</si>
  <si>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</si>
  <si>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</si>
  <si>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</si>
  <si>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</si>
  <si>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</si>
  <si>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</si>
  <si>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</si>
  <si>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</si>
  <si>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</si>
  <si>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</si>
  <si>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</si>
  <si>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</si>
  <si>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</si>
  <si>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</si>
  <si>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</si>
  <si>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</si>
  <si>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</si>
  <si>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</si>
  <si>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</si>
  <si>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</si>
  <si>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</si>
  <si>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</si>
  <si>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</si>
  <si>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</si>
  <si>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</si>
  <si>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</si>
  <si>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</si>
  <si>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</si>
  <si>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</si>
  <si>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</si>
  <si>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</si>
  <si>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</si>
  <si>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</si>
  <si>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</si>
  <si>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</si>
  <si>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</si>
  <si>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</si>
  <si>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</si>
  <si>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</si>
  <si>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</si>
  <si>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</si>
  <si>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</si>
  <si>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</si>
  <si>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</si>
  <si>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</si>
  <si>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</si>
  <si>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</si>
  <si>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</si>
  <si>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</si>
  <si>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</si>
  <si>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</si>
  <si>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</si>
  <si>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</si>
  <si>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</si>
  <si>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</si>
  <si>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</si>
  <si>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</si>
  <si>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</si>
  <si>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</si>
  <si>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</si>
  <si>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</si>
  <si>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</si>
  <si>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</si>
  <si>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</si>
  <si>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</si>
  <si>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</si>
  <si>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</si>
  <si>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</si>
  <si>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</si>
  <si>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</si>
  <si>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</si>
  <si>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</si>
  <si>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</si>
  <si>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</si>
  <si>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</si>
  <si>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</si>
  <si>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</si>
  <si>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</si>
  <si>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</si>
  <si>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</si>
  <si>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</si>
  <si>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</si>
  <si>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</si>
  <si>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</si>
  <si>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</si>
  <si>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</si>
  <si>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</si>
  <si>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</si>
  <si>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</si>
  <si>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</si>
  <si>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</si>
  <si>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</si>
  <si>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</si>
  <si>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</si>
  <si>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</si>
  <si>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</si>
  <si>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</si>
  <si>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</si>
  <si>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</si>
  <si>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</si>
  <si>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</si>
  <si>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</si>
  <si>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</si>
  <si>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</si>
  <si>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</si>
  <si>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</si>
  <si>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</si>
  <si>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</si>
  <si>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</si>
  <si>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</si>
  <si>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</si>
  <si>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</si>
  <si>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</si>
  <si>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</si>
  <si>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</si>
  <si>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</si>
  <si>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</si>
  <si>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</si>
  <si>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</si>
  <si>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</si>
  <si>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</si>
  <si>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</si>
  <si>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</si>
  <si>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</si>
  <si>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</si>
  <si>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</si>
  <si>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</si>
  <si>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</si>
  <si>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</si>
  <si>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</si>
  <si>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</si>
  <si>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</si>
  <si>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</si>
  <si>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</si>
  <si>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</si>
  <si>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</si>
  <si>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</si>
  <si>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</si>
  <si>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</si>
  <si>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</si>
  <si>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</si>
  <si>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</si>
  <si>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</si>
  <si>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</si>
  <si>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</si>
  <si>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</si>
  <si>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</si>
  <si>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</si>
  <si>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</si>
  <si>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</si>
  <si>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</si>
  <si>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</si>
  <si>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</si>
  <si>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</si>
  <si>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</si>
  <si>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</si>
  <si>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</si>
  <si>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</si>
  <si>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</si>
  <si>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</si>
  <si>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</si>
  <si>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</si>
  <si>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</si>
  <si>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</si>
  <si>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</si>
  <si>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</si>
  <si>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</si>
  <si>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</si>
  <si>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</si>
  <si>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</si>
  <si>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</si>
  <si>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</si>
  <si>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</si>
  <si>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</si>
  <si>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</si>
  <si>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</si>
  <si>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</si>
  <si>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</si>
  <si>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</si>
  <si>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</si>
  <si>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</si>
  <si>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</si>
  <si>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</si>
  <si>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</si>
  <si>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</si>
  <si>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</si>
  <si>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</si>
  <si>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</si>
  <si>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</si>
  <si>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</si>
  <si>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</si>
  <si>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</si>
  <si>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</si>
  <si>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</si>
  <si>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</si>
  <si>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</si>
  <si>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</si>
  <si>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</si>
  <si>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</si>
  <si>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</si>
  <si>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</si>
  <si>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</si>
  <si>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</si>
  <si>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</si>
  <si>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</si>
  <si>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</si>
  <si>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</si>
  <si>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</si>
  <si>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</si>
  <si>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</si>
  <si>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</si>
  <si>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</si>
  <si>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</si>
  <si>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</si>
  <si>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</si>
  <si>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</si>
  <si>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</si>
  <si>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</si>
  <si>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</si>
  <si>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</si>
  <si>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</si>
  <si>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</si>
  <si>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</si>
  <si>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</si>
  <si>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</si>
  <si>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</si>
  <si>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</si>
  <si>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</si>
  <si>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</si>
  <si>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</si>
  <si>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</si>
  <si>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</si>
  <si>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</si>
  <si>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</si>
  <si>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</si>
  <si>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</si>
  <si>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</si>
  <si>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</si>
  <si>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</si>
  <si>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</si>
  <si>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</si>
  <si>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</si>
  <si>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</si>
  <si>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</si>
  <si>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</si>
  <si>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</si>
  <si>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</si>
  <si>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</si>
  <si>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</si>
  <si>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</si>
  <si>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</si>
  <si>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</si>
  <si>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</si>
  <si>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</si>
  <si>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</si>
  <si>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</si>
  <si>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</si>
  <si>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</si>
  <si>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</si>
  <si>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</si>
  <si>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</si>
  <si>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</si>
  <si>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</si>
  <si>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</si>
  <si>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</si>
  <si>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</si>
  <si>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</si>
  <si>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</si>
  <si>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</si>
  <si>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</si>
  <si>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</si>
  <si>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</si>
  <si>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</si>
  <si>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</si>
  <si>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</si>
  <si>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</si>
  <si>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</si>
  <si>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</si>
  <si>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</si>
  <si>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</si>
  <si>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</si>
  <si>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</si>
  <si>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</si>
  <si>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</si>
  <si>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</si>
  <si>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</si>
  <si>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</si>
  <si>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</si>
  <si>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</si>
  <si>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</si>
  <si>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</si>
  <si>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</si>
  <si>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</si>
  <si>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</si>
  <si>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</si>
  <si>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</si>
  <si>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</si>
  <si>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</si>
  <si>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</si>
  <si>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</si>
  <si>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</si>
  <si>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</si>
  <si>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</si>
  <si>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</si>
  <si>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</si>
  <si>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</si>
  <si>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</si>
  <si>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</si>
  <si>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</si>
  <si>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</si>
  <si>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</si>
  <si>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</si>
  <si>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</si>
  <si>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</si>
  <si>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</si>
  <si>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</si>
  <si>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</si>
  <si>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</si>
  <si>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</si>
  <si>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</si>
  <si>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</si>
  <si>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</si>
  <si>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</si>
  <si>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</si>
  <si>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</si>
  <si>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</si>
  <si>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</si>
  <si>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</si>
  <si>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</si>
  <si>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</si>
  <si>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</si>
  <si>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</si>
  <si>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</si>
  <si>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</si>
  <si>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</si>
  <si>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</si>
  <si>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</si>
  <si>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</si>
  <si>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</si>
  <si>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</si>
  <si>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</si>
  <si>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</si>
  <si>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</si>
  <si>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</si>
  <si>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</si>
  <si>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</si>
  <si>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</si>
  <si>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</si>
  <si>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</si>
  <si>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</si>
  <si>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</si>
  <si>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</si>
  <si>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</si>
  <si>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</si>
  <si>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</si>
  <si>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</si>
  <si>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</si>
  <si>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</si>
  <si>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</si>
  <si>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</si>
  <si>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</si>
  <si>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</si>
  <si>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</si>
  <si>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</si>
  <si>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</si>
  <si>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</si>
  <si>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</si>
  <si>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</si>
  <si>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</si>
  <si>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</si>
  <si>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</si>
  <si>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</si>
  <si>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</si>
  <si>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</si>
  <si>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</si>
  <si>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</si>
  <si>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</si>
  <si>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</si>
  <si>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</si>
  <si>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</si>
  <si>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</si>
  <si>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</si>
  <si>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</si>
  <si>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</si>
  <si>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</si>
  <si>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</si>
  <si>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</si>
  <si>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</si>
  <si>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</si>
  <si>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</si>
  <si>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</si>
  <si>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</si>
  <si>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</si>
  <si>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</si>
  <si>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</si>
  <si>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</si>
  <si>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</si>
  <si>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</si>
  <si>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</si>
  <si>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</si>
  <si>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</si>
  <si>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</si>
  <si>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</si>
  <si>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</si>
  <si>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</si>
  <si>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</si>
  <si>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</si>
  <si>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</si>
  <si>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</si>
  <si>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</si>
  <si>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</si>
  <si>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</si>
  <si>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</si>
  <si>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</si>
  <si>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</si>
  <si>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</si>
  <si>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</si>
  <si>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</si>
  <si>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</si>
  <si>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</si>
  <si>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</si>
  <si>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</si>
  <si>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</si>
  <si>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</si>
  <si>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</si>
  <si>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</si>
  <si>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</si>
  <si>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</si>
  <si>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</si>
  <si>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</si>
  <si>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</si>
  <si>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</si>
  <si>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</si>
  <si>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</si>
  <si>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</si>
  <si>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</si>
  <si>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</si>
  <si>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</si>
  <si>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</si>
  <si>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</si>
  <si>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</si>
  <si>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</si>
  <si>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</si>
  <si>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</si>
  <si>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</si>
  <si>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</si>
  <si>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</si>
  <si>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</si>
  <si>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</si>
  <si>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</si>
  <si>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</si>
  <si>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</si>
  <si>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</si>
  <si>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</si>
  <si>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</si>
  <si>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</si>
  <si>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</si>
  <si>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</si>
  <si>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</si>
  <si>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</si>
  <si>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</si>
  <si>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</si>
  <si>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</si>
  <si>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</si>
  <si>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</si>
  <si>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</si>
  <si>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</si>
  <si>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</si>
  <si>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</si>
  <si>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</si>
  <si>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</si>
  <si>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</si>
  <si>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</si>
  <si>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</si>
  <si>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</si>
  <si>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</si>
  <si>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</si>
  <si>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</si>
  <si>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</si>
  <si>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</si>
  <si>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</si>
  <si>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</si>
  <si>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</si>
  <si>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</si>
  <si>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</si>
  <si>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</si>
  <si>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</si>
  <si>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</si>
  <si>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</si>
  <si>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</si>
  <si>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</si>
  <si>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</si>
  <si>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</si>
  <si>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</si>
  <si>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</si>
  <si>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</si>
  <si>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</si>
  <si>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</si>
  <si>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</si>
  <si>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</si>
  <si>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</si>
  <si>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</si>
  <si>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</si>
  <si>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</si>
  <si>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</si>
  <si>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</si>
  <si>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</si>
  <si>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</si>
  <si>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</si>
  <si>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</si>
  <si>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</si>
  <si>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</si>
  <si>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</si>
  <si>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</si>
  <si>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</si>
  <si>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</si>
  <si>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</si>
  <si>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</si>
  <si>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</si>
  <si>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</si>
  <si>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</si>
  <si>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</si>
  <si>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</si>
  <si>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</si>
  <si>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</si>
  <si>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</si>
  <si>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</si>
  <si>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</si>
  <si>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</si>
  <si>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</si>
  <si>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</si>
  <si>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</si>
  <si>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</si>
  <si>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</si>
  <si>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</si>
  <si>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</si>
  <si>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</si>
  <si>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</si>
  <si>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</si>
  <si>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</si>
  <si>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</si>
  <si>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</si>
  <si>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</si>
  <si>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</si>
  <si>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</si>
  <si>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</si>
  <si>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</si>
  <si>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</si>
  <si>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</si>
  <si>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</si>
  <si>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</si>
  <si>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</si>
  <si>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</si>
  <si>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</si>
  <si>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</si>
  <si>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</si>
  <si>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</si>
  <si>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</si>
  <si>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</si>
  <si>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</si>
  <si>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</si>
  <si>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</si>
  <si>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</si>
  <si>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</si>
  <si>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</si>
  <si>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</si>
  <si>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</si>
  <si>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</si>
  <si>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</si>
  <si>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</si>
  <si>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</si>
  <si>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</si>
  <si>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</si>
  <si>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</si>
  <si>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</si>
  <si>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</si>
  <si>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</si>
  <si>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</si>
  <si>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</si>
  <si>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</si>
  <si>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</si>
  <si>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</si>
  <si>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</si>
  <si>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</si>
  <si>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</si>
  <si>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</si>
  <si>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</si>
  <si>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</si>
  <si>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</si>
  <si>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</si>
  <si>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</si>
  <si>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</si>
  <si>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</si>
  <si>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</si>
  <si>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</si>
  <si>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</si>
  <si>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</si>
  <si>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</si>
  <si>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</si>
  <si>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</si>
  <si>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</si>
  <si>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</si>
  <si>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</si>
  <si>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</si>
  <si>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</si>
  <si>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</si>
  <si>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</si>
  <si>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</si>
  <si>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</si>
  <si>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</si>
  <si>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</si>
  <si>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</si>
  <si>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</si>
  <si>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</si>
  <si>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</si>
  <si>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</si>
  <si>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</si>
  <si>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</si>
  <si>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</si>
  <si>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</si>
  <si>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</si>
  <si>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</si>
  <si>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</si>
  <si>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</si>
  <si>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</si>
  <si>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</si>
  <si>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</si>
  <si>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</si>
  <si>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</si>
  <si>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</si>
  <si>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</si>
  <si>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</si>
  <si>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</si>
  <si>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</si>
  <si>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</si>
  <si>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</si>
  <si>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</si>
  <si>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</si>
  <si>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</si>
  <si>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</si>
  <si>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</si>
  <si>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</si>
  <si>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</si>
  <si>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</si>
  <si>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</si>
  <si>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</si>
  <si>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</si>
  <si>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</si>
  <si>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</si>
  <si>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</si>
  <si>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</si>
  <si>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</si>
  <si>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</si>
  <si>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</si>
  <si>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</si>
  <si>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</si>
  <si>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</si>
  <si>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</si>
  <si>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</si>
  <si>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</si>
  <si>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</si>
  <si>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</si>
  <si>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</si>
  <si>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</si>
  <si>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</si>
  <si>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</si>
  <si>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</si>
  <si>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</si>
  <si>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</si>
  <si>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</si>
  <si>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</si>
  <si>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</si>
  <si>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</si>
  <si>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</si>
  <si>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</si>
  <si>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</si>
  <si>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</si>
  <si>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</si>
  <si>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</si>
  <si>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</si>
  <si>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</si>
  <si>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</si>
  <si>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</si>
  <si>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</si>
  <si>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</si>
  <si>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</si>
  <si>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</si>
  <si>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</si>
  <si>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</si>
  <si>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</si>
  <si>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</si>
  <si>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</si>
  <si>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</si>
  <si>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</si>
  <si>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</si>
  <si>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</si>
  <si>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</si>
  <si>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</si>
  <si>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</si>
  <si>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</si>
  <si>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</si>
  <si>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</si>
  <si>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</si>
  <si>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</si>
  <si>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</si>
  <si>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</si>
  <si>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</si>
  <si>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</si>
  <si>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</si>
  <si>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</si>
  <si>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</si>
  <si>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</si>
  <si>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</si>
  <si>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</si>
  <si>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</si>
  <si>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</si>
  <si>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</si>
  <si>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</si>
  <si>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</si>
  <si>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</si>
  <si>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</si>
  <si>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</si>
  <si>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</si>
  <si>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</si>
  <si>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</si>
  <si>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</si>
  <si>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</si>
  <si>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</si>
  <si>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</si>
  <si>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</si>
  <si>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</si>
  <si>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</si>
  <si>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</si>
  <si>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</si>
  <si>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</si>
  <si>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</si>
  <si>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</si>
  <si>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</si>
  <si>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</si>
  <si>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</si>
  <si>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</si>
  <si>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</si>
  <si>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</si>
  <si>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</si>
  <si>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</si>
  <si>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</si>
  <si>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</si>
  <si>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</si>
  <si>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</si>
  <si>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</si>
  <si>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</si>
  <si>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</si>
  <si>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</si>
  <si>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</si>
  <si>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</si>
  <si>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</si>
  <si>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</si>
  <si>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</si>
  <si>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</si>
  <si>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</si>
  <si>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</si>
  <si>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</si>
  <si>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</si>
  <si>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</si>
  <si>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</si>
  <si>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</si>
  <si>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</si>
  <si>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</si>
  <si>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</si>
  <si>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</si>
  <si>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</si>
  <si>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</si>
  <si>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</si>
  <si>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</si>
  <si>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</si>
  <si>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</si>
  <si>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</si>
  <si>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</si>
  <si>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</si>
  <si>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</si>
  <si>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</si>
  <si>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</si>
  <si>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</si>
  <si>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</si>
  <si>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</si>
  <si>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</si>
  <si>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</si>
  <si>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</si>
  <si>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</si>
  <si>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</si>
  <si>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</si>
  <si>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</si>
  <si>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</si>
  <si>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</si>
  <si>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</si>
  <si>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</si>
  <si>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</si>
  <si>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</si>
  <si>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</si>
  <si>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</si>
  <si>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</si>
  <si>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</si>
  <si>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</si>
  <si>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</si>
  <si>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</si>
  <si>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</si>
  <si>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</si>
  <si>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</si>
  <si>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</si>
  <si>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</si>
  <si>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</si>
  <si>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</si>
  <si>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</si>
  <si>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</si>
  <si>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</si>
  <si>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</si>
  <si>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</si>
  <si>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</si>
  <si>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</si>
  <si>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</si>
  <si>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</si>
  <si>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</si>
  <si>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</si>
  <si>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</si>
  <si>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</si>
  <si>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</si>
  <si>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</si>
  <si>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</si>
  <si>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</si>
  <si>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</si>
  <si>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</si>
  <si>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</si>
  <si>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</si>
  <si>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</si>
  <si>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</si>
  <si>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</si>
  <si>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</si>
  <si>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</si>
  <si>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</si>
  <si>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</si>
  <si>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</si>
  <si>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</si>
  <si>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</si>
  <si>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</si>
  <si>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</si>
  <si>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</si>
  <si>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</si>
  <si>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</si>
  <si>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</si>
  <si>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</si>
  <si>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</si>
  <si>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</si>
  <si>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</si>
  <si>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</si>
  <si>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</si>
  <si>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</si>
  <si>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</si>
  <si>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</si>
  <si>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</si>
  <si>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</si>
  <si>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</si>
  <si>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</si>
  <si>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</si>
  <si>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</si>
  <si>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</si>
  <si>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</si>
  <si>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</si>
  <si>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</si>
  <si>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</si>
  <si>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</si>
  <si>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</si>
  <si>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</si>
  <si>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</si>
  <si>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</si>
  <si>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</si>
  <si>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</si>
  <si>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</si>
  <si>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</si>
  <si>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</si>
  <si>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</si>
  <si>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</si>
  <si>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</si>
  <si>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</si>
  <si>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</si>
  <si>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</si>
  <si>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</si>
  <si>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</si>
  <si>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</si>
  <si>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</si>
  <si>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</si>
  <si>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</si>
  <si>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</si>
  <si>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</si>
  <si>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</si>
  <si>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</si>
  <si>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</si>
  <si>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</si>
  <si>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</si>
  <si>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</si>
  <si>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</si>
  <si>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</si>
  <si>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</si>
  <si>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</si>
  <si>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</si>
  <si>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</si>
  <si>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</si>
  <si>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</si>
  <si>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</si>
  <si>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</si>
  <si>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</si>
  <si>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</si>
  <si>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</si>
  <si>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</si>
  <si>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</si>
  <si>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</si>
  <si>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</si>
  <si>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</si>
  <si>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</si>
  <si>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</si>
  <si>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</si>
  <si>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</si>
  <si>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</si>
  <si>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</si>
  <si>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</si>
  <si>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</si>
  <si>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</si>
  <si>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</si>
  <si>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</si>
  <si>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</si>
  <si>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</si>
  <si>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</si>
  <si>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</si>
  <si>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</si>
  <si>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</si>
  <si>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</si>
  <si>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</si>
  <si>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</si>
  <si>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</si>
  <si>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</si>
  <si>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</si>
  <si>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</si>
  <si>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</si>
  <si>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</si>
  <si>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</si>
  <si>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</si>
  <si>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</si>
  <si>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</si>
  <si>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</si>
  <si>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</si>
  <si>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</si>
  <si>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</si>
  <si>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</si>
  <si>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</si>
  <si>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</si>
  <si>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</si>
  <si>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</si>
  <si>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</si>
  <si>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</si>
  <si>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</si>
  <si>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</si>
  <si>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</si>
  <si>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</si>
  <si>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</si>
  <si>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</si>
  <si>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</si>
  <si>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</si>
  <si>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</si>
  <si>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</si>
  <si>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</si>
  <si>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</si>
  <si>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</si>
  <si>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</si>
  <si>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</si>
  <si>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</si>
  <si>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</si>
  <si>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</si>
  <si>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</si>
  <si>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</si>
  <si>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</si>
  <si>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</si>
  <si>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</si>
  <si>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</si>
  <si>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</si>
  <si>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</si>
  <si>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</si>
  <si>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</si>
  <si>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</si>
  <si>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</si>
  <si>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</si>
  <si>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</si>
  <si>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</si>
  <si>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</si>
  <si>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</si>
  <si>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</si>
  <si>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</si>
  <si>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</si>
  <si>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</si>
  <si>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</si>
  <si>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</si>
  <si>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</si>
  <si>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</si>
  <si>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</si>
  <si>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</si>
  <si>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</si>
  <si>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</si>
  <si>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</si>
  <si>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</si>
  <si>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</si>
  <si>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</si>
  <si>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</si>
  <si>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</si>
  <si>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</si>
  <si>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</si>
  <si>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</si>
  <si>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</si>
  <si>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</si>
  <si>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</si>
  <si>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</si>
  <si>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</si>
  <si>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</si>
  <si>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</si>
  <si>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</si>
  <si>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</si>
  <si>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</si>
  <si>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</si>
  <si>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</si>
  <si>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</si>
  <si>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</si>
  <si>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</si>
  <si>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</si>
  <si>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</si>
  <si>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</si>
  <si>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</si>
  <si>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</si>
  <si>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</si>
  <si>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</si>
  <si>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</si>
  <si>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</si>
  <si>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</si>
  <si>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</si>
  <si>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</si>
  <si>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</si>
  <si>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</si>
  <si>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</si>
  <si>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</si>
  <si>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</si>
  <si>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</si>
  <si>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</si>
  <si>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</si>
  <si>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</si>
  <si>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</si>
  <si>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</si>
  <si>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</si>
  <si>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</si>
  <si>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</si>
  <si>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</si>
  <si>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</si>
  <si>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</si>
  <si>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</si>
  <si>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</si>
  <si>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</si>
  <si>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</si>
  <si>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</si>
  <si>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</si>
  <si>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</si>
  <si>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</si>
  <si>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</si>
  <si>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</si>
  <si>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</si>
  <si>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</si>
  <si>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</si>
  <si>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</si>
  <si>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</si>
  <si>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</si>
  <si>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</si>
  <si>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</si>
  <si>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</si>
  <si>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</si>
  <si>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</si>
  <si>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</si>
  <si>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</si>
  <si>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</si>
  <si>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</si>
  <si>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</si>
  <si>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</si>
  <si>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</si>
  <si>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</si>
  <si>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</si>
  <si>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</si>
  <si>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</si>
  <si>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</si>
  <si>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</si>
  <si>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</si>
  <si>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</si>
  <si>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</si>
  <si>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</si>
  <si>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</si>
  <si>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</si>
  <si>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</si>
  <si>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</si>
  <si>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</si>
  <si>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</si>
  <si>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</si>
  <si>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</si>
  <si>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</si>
  <si>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</si>
  <si>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</si>
  <si>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</si>
  <si>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</si>
  <si>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</si>
  <si>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</si>
  <si>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</si>
  <si>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</si>
  <si>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</si>
  <si>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</si>
  <si>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</si>
  <si>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</si>
  <si>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</si>
  <si>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</si>
  <si>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</si>
  <si>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</si>
  <si>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</si>
  <si>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</si>
  <si>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</si>
  <si>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</si>
  <si>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</si>
  <si>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</si>
  <si>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</si>
  <si>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</si>
  <si>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</si>
  <si>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</si>
  <si>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</si>
  <si>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</si>
  <si>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</si>
  <si>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</si>
  <si>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</si>
  <si>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</si>
  <si>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</si>
  <si>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</si>
  <si>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</si>
  <si>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</si>
  <si>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</si>
  <si>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</si>
  <si>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</si>
  <si>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</si>
  <si>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</si>
  <si>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</si>
  <si>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</si>
  <si>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</si>
  <si>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</si>
  <si>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</si>
  <si>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</si>
  <si>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</si>
  <si>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</si>
  <si>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</si>
  <si>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</si>
  <si>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</si>
  <si>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</si>
  <si>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</si>
  <si>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</si>
  <si>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</si>
  <si>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</si>
  <si>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</si>
  <si>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</si>
  <si>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</si>
  <si>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</si>
  <si>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</si>
  <si>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</si>
  <si>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</si>
  <si>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</si>
  <si>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</si>
  <si>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</si>
  <si>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</si>
  <si>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</si>
  <si>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</si>
  <si>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</si>
  <si>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</si>
  <si>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</si>
  <si>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</si>
  <si>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</si>
  <si>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</si>
  <si>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</si>
  <si>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</si>
  <si>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</si>
  <si>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</si>
  <si>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</si>
  <si>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</si>
  <si>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</si>
  <si>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</si>
  <si>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</si>
  <si>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</si>
  <si>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</si>
  <si>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</si>
  <si>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</si>
  <si>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</si>
  <si>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</si>
  <si>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</si>
  <si>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</si>
  <si>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</si>
  <si>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</si>
  <si>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</si>
  <si>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</si>
  <si>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</si>
  <si>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</si>
  <si>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</si>
  <si>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</si>
  <si>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</si>
  <si>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</si>
  <si>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</si>
  <si>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</si>
  <si>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</si>
  <si>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</si>
  <si>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</si>
  <si>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</si>
  <si>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</si>
  <si>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</si>
  <si>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</si>
  <si>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</si>
  <si>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</si>
  <si>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</si>
  <si>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</si>
  <si>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</si>
  <si>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</si>
  <si>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</si>
  <si>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</si>
  <si>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</si>
  <si>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</si>
  <si>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</si>
  <si>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</si>
  <si>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</si>
  <si>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</si>
  <si>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</si>
  <si>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</si>
  <si>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</si>
  <si>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</si>
  <si>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</si>
  <si>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</si>
  <si>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</si>
  <si>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</si>
  <si>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</si>
  <si>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</si>
  <si>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</si>
  <si>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</si>
  <si>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</si>
  <si>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</si>
  <si>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</si>
  <si>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</si>
  <si>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</si>
  <si>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</si>
  <si>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</si>
  <si>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</si>
  <si>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</si>
  <si>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</si>
  <si>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</si>
  <si>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</si>
  <si>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</si>
  <si>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</si>
  <si>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</si>
  <si>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</si>
  <si>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</si>
  <si>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</si>
  <si>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</si>
  <si>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</si>
  <si>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</si>
  <si>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</si>
  <si>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</si>
  <si>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</si>
  <si>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</si>
  <si>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</si>
  <si>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</si>
  <si>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</si>
  <si>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</si>
  <si>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</si>
  <si>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</si>
  <si>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</si>
  <si>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</si>
  <si>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</si>
  <si>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</si>
  <si>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</si>
  <si>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</si>
  <si>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</si>
  <si>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</si>
  <si>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</si>
  <si>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</si>
  <si>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</si>
  <si>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</si>
  <si>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</si>
  <si>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</si>
  <si>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</si>
  <si>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</si>
  <si>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</si>
  <si>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</si>
  <si>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</si>
  <si>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</si>
  <si>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</si>
  <si>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</si>
  <si>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</si>
  <si>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</si>
  <si>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</si>
  <si>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</si>
  <si>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</si>
  <si>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</si>
  <si>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</si>
  <si>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</si>
  <si>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</si>
  <si>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</si>
  <si>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</si>
  <si>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</si>
  <si>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</si>
  <si>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</si>
  <si>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</si>
  <si>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</si>
  <si>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</si>
  <si>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</si>
  <si>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</si>
  <si>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</si>
  <si>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</si>
  <si>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</si>
  <si>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</si>
  <si>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</si>
  <si>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</si>
  <si>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</si>
  <si>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</si>
  <si>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</si>
  <si>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</si>
  <si>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</si>
  <si>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</si>
  <si>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</si>
  <si>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</si>
  <si>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</si>
  <si>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</si>
  <si>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</si>
  <si>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</si>
  <si>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</si>
  <si>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</si>
  <si>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</si>
  <si>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</si>
  <si>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</si>
  <si>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</si>
  <si>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</si>
  <si>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</si>
  <si>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</si>
  <si>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</si>
  <si>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</si>
  <si>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</si>
  <si>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</si>
  <si>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</si>
  <si>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</si>
  <si>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</si>
  <si>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</si>
  <si>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</si>
  <si>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</si>
  <si>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</si>
  <si>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</si>
  <si>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</si>
  <si>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</si>
  <si>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</si>
  <si>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</si>
  <si>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</si>
  <si>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</si>
  <si>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</si>
  <si>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</si>
  <si>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</si>
  <si>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</si>
  <si>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</si>
  <si>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</si>
  <si>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</si>
  <si>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</si>
  <si>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</si>
  <si>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</si>
  <si>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</si>
  <si>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</si>
  <si>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</si>
  <si>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</si>
  <si>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</si>
  <si>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</si>
  <si>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</si>
  <si>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</si>
  <si>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</si>
  <si>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</si>
  <si>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</si>
  <si>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</si>
  <si>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</si>
  <si>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</si>
  <si>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</si>
  <si>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</si>
  <si>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</si>
  <si>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</si>
  <si>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</si>
  <si>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</si>
  <si>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</si>
  <si>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</si>
  <si>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</si>
  <si>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</si>
  <si>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</si>
  <si>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</si>
  <si>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</si>
  <si>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</si>
  <si>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</si>
  <si>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</si>
  <si>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</si>
  <si>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</si>
  <si>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</si>
  <si>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</si>
  <si>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</si>
  <si>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</si>
  <si>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</si>
  <si>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</si>
  <si>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</si>
  <si>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</si>
  <si>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</si>
  <si>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</si>
  <si>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</si>
  <si>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</si>
  <si>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</si>
  <si>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</si>
  <si>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</si>
  <si>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</si>
  <si>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</si>
  <si>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</si>
  <si>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</si>
  <si>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</si>
  <si>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</si>
  <si>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</si>
  <si>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</si>
  <si>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</si>
  <si>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</si>
  <si>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</si>
  <si>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</si>
  <si>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</si>
  <si>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</si>
  <si>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</si>
  <si>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</si>
  <si>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</si>
  <si>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</si>
  <si>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</si>
  <si>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</si>
  <si>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</si>
  <si>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</si>
  <si>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</si>
  <si>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</si>
  <si>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</si>
  <si>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</si>
  <si>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</si>
  <si>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</si>
  <si>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</si>
  <si>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</si>
  <si>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</si>
  <si>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</si>
  <si>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</si>
  <si>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</si>
  <si>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</si>
  <si>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</si>
  <si>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</si>
  <si>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</si>
  <si>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</si>
  <si>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</si>
  <si>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</si>
  <si>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</si>
  <si>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</si>
  <si>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</si>
  <si>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</si>
  <si>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</si>
  <si>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</si>
  <si>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</si>
  <si>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</si>
  <si>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</si>
  <si>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</si>
  <si>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</si>
  <si>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</si>
  <si>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</si>
  <si>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</si>
  <si>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</si>
  <si>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</si>
  <si>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</si>
  <si>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</si>
  <si>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</si>
  <si>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</si>
  <si>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</si>
  <si>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</si>
  <si>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</si>
  <si>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</si>
  <si>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</si>
  <si>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</si>
  <si>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</si>
  <si>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</si>
  <si>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</si>
  <si>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</si>
  <si>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</si>
  <si>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</si>
  <si>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</si>
  <si>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</si>
  <si>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</si>
  <si>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</si>
  <si>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</si>
  <si>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</si>
  <si>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</si>
  <si>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</si>
  <si>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</si>
  <si>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</si>
  <si>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</si>
  <si>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</si>
  <si>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</si>
  <si>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</si>
  <si>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</si>
  <si>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</si>
  <si>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</si>
  <si>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</si>
  <si>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</si>
  <si>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</si>
  <si>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</si>
  <si>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</si>
  <si>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</si>
  <si>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</si>
  <si>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</si>
  <si>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</si>
  <si>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</si>
  <si>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</si>
  <si>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</si>
  <si>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</si>
  <si>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</si>
  <si>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</si>
  <si>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</si>
  <si>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</si>
  <si>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</si>
  <si>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</si>
  <si>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</si>
  <si>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</si>
  <si>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</si>
  <si>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</si>
  <si>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</si>
  <si>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</si>
  <si>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</si>
  <si>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</si>
  <si>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</si>
  <si>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</si>
  <si>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</si>
  <si>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</si>
  <si>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</si>
  <si>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</si>
  <si>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</si>
  <si>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</si>
  <si>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</si>
  <si>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</si>
  <si>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</si>
  <si>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</si>
  <si>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</si>
  <si>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</si>
  <si>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</si>
  <si>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</si>
  <si>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</si>
  <si>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</si>
  <si>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</si>
  <si>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</si>
  <si>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</si>
  <si>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</si>
  <si>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</si>
  <si>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</si>
  <si>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</si>
  <si>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</si>
  <si>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</si>
  <si>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</si>
  <si>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</si>
  <si>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</si>
  <si>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</si>
  <si>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</si>
  <si>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</si>
  <si>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</si>
  <si>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</si>
  <si>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</si>
  <si>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</si>
  <si>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</si>
  <si>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</si>
  <si>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</si>
  <si>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</si>
  <si>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</si>
  <si>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</si>
  <si>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</si>
  <si>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</si>
  <si>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</si>
  <si>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</si>
  <si>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</si>
  <si>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</si>
  <si>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</si>
  <si>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</si>
  <si>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</si>
  <si>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</si>
  <si>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</si>
  <si>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</si>
  <si>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</si>
  <si>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</si>
  <si>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</si>
  <si>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</si>
  <si>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</si>
  <si>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</si>
  <si>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</si>
  <si>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</si>
  <si>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</si>
  <si>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</si>
  <si>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</si>
  <si>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</si>
  <si>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</si>
  <si>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</si>
  <si>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</si>
  <si>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</si>
  <si>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</si>
  <si>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</si>
  <si>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</si>
  <si>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</si>
  <si>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</si>
  <si>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</si>
  <si>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</si>
  <si>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</si>
  <si>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</si>
  <si>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</si>
  <si>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</si>
  <si>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</si>
  <si>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</si>
  <si>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</si>
  <si>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</si>
  <si>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</si>
  <si>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</si>
  <si>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</si>
  <si>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</si>
  <si>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</si>
  <si>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</si>
  <si>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</si>
  <si>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</si>
  <si>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</si>
  <si>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</si>
  <si>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</si>
  <si>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</si>
  <si>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</si>
  <si>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</si>
  <si>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</si>
  <si>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</si>
  <si>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</si>
  <si>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</si>
  <si>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</si>
  <si>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</si>
  <si>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</si>
  <si>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</si>
  <si>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</si>
  <si>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</si>
  <si>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</si>
  <si>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</si>
  <si>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</si>
  <si>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</si>
  <si>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</si>
  <si>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</si>
  <si>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</si>
  <si>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</si>
  <si>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</si>
  <si>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</si>
  <si>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</si>
  <si>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</si>
  <si>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</si>
  <si>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</si>
  <si>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</si>
  <si>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</si>
  <si>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</si>
  <si>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</si>
  <si>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</si>
  <si>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</si>
  <si>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</si>
  <si>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</si>
  <si>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</si>
  <si>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</si>
  <si>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</si>
  <si>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</si>
  <si>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</si>
  <si>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</si>
  <si>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</si>
  <si>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</si>
  <si>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</si>
  <si>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</si>
  <si>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</si>
  <si>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</si>
  <si>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</si>
  <si>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</si>
  <si>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</si>
  <si>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</si>
  <si>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</si>
  <si>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</si>
  <si>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</si>
  <si>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</si>
  <si>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</si>
  <si>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</si>
  <si>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</si>
  <si>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</si>
  <si>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</si>
  <si>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</si>
  <si>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</si>
  <si>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</si>
  <si>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</si>
  <si>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</si>
  <si>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</si>
  <si>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</si>
  <si>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</si>
  <si>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</si>
  <si>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</si>
  <si>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</si>
  <si>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</si>
  <si>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</si>
  <si>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</si>
  <si>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</si>
  <si>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</si>
  <si>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</si>
  <si>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</si>
  <si>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</si>
  <si>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</si>
  <si>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</si>
  <si>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</si>
  <si>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</si>
  <si>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</si>
  <si>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</si>
  <si>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</si>
  <si>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</si>
  <si>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</si>
  <si>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</si>
  <si>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</si>
  <si>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</si>
  <si>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</si>
  <si>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</si>
  <si>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</si>
  <si>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</si>
  <si>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</si>
  <si>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</si>
  <si>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</si>
  <si>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</si>
  <si>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</si>
  <si>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</si>
  <si>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</si>
  <si>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</si>
  <si>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</si>
  <si>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</si>
  <si>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</si>
  <si>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</si>
  <si>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</si>
  <si>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</si>
  <si>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</si>
  <si>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</si>
  <si>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</si>
  <si>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</si>
  <si>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</si>
  <si>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</si>
  <si>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</si>
  <si>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</si>
  <si>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</si>
  <si>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</si>
  <si>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</si>
  <si>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</si>
  <si>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</si>
  <si>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</si>
  <si>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</si>
  <si>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</si>
  <si>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</si>
  <si>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</si>
  <si>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</si>
  <si>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</si>
  <si>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</si>
  <si>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</si>
  <si>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</si>
  <si>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</si>
  <si>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</si>
  <si>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</si>
  <si>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</si>
  <si>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</si>
  <si>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</si>
  <si>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</si>
  <si>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</si>
  <si>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</si>
  <si>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</si>
  <si>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</si>
  <si>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</si>
  <si>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</si>
  <si>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</si>
  <si>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</si>
  <si>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</si>
  <si>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</si>
  <si>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</si>
  <si>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</si>
  <si>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</si>
  <si>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</si>
  <si>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</si>
  <si>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</si>
  <si>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</si>
  <si>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</si>
  <si>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</si>
  <si>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</si>
  <si>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</si>
  <si>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</si>
  <si>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</si>
  <si>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</si>
  <si>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</si>
  <si>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</si>
  <si>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</si>
  <si>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</si>
  <si>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</si>
  <si>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</si>
  <si>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</si>
  <si>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</si>
  <si>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</si>
  <si>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</si>
  <si>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</si>
  <si>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</si>
  <si>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</si>
  <si>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</si>
  <si>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</si>
  <si>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</si>
  <si>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</si>
  <si>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</si>
  <si>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</si>
  <si>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</si>
  <si>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</si>
  <si>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</si>
  <si>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</si>
  <si>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</si>
  <si>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</si>
  <si>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</si>
  <si>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</si>
  <si>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</si>
  <si>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</si>
  <si>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</si>
  <si>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</si>
  <si>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</si>
  <si>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</si>
  <si>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</si>
  <si>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</si>
  <si>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</si>
  <si>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</si>
  <si>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</si>
  <si>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</si>
  <si>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</si>
  <si>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</si>
  <si>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</si>
  <si>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</si>
  <si>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</si>
  <si>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</si>
  <si>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</si>
  <si>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</si>
  <si>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</si>
  <si>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</si>
  <si>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</si>
  <si>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</si>
  <si>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</si>
  <si>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</si>
  <si>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</si>
  <si>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</si>
  <si>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</si>
  <si>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</si>
  <si>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</si>
  <si>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</si>
  <si>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</si>
  <si>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</si>
  <si>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</si>
  <si>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</si>
  <si>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</si>
  <si>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</si>
  <si>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</si>
  <si>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</si>
  <si>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</si>
  <si>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</si>
  <si>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</si>
  <si>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</si>
  <si>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</si>
  <si>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</si>
  <si>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</si>
  <si>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</si>
  <si>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</si>
  <si>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</si>
  <si>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</si>
  <si>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</si>
  <si>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</si>
  <si>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</si>
  <si>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</si>
  <si>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</si>
  <si>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</si>
  <si>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</si>
  <si>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</si>
  <si>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</si>
  <si>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</si>
  <si>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</si>
  <si>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</si>
  <si>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</si>
  <si>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</si>
  <si>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</si>
  <si>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</si>
  <si>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</si>
  <si>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</si>
  <si>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</si>
  <si>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</si>
  <si>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</si>
  <si>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</si>
  <si>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</si>
  <si>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</si>
  <si>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</si>
  <si>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</si>
  <si>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</si>
  <si>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</si>
  <si>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</si>
  <si>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</si>
  <si>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</si>
  <si>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</si>
  <si>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</si>
  <si>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</si>
  <si>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</si>
  <si>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</si>
  <si>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</si>
  <si>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</si>
  <si>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</si>
  <si>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</si>
  <si>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</si>
  <si>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</si>
  <si>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</si>
  <si>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</si>
  <si>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</si>
  <si>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</si>
  <si>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</si>
  <si>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</si>
  <si>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</si>
  <si>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</si>
  <si>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</si>
  <si>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</si>
  <si>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</si>
  <si>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</si>
  <si>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</si>
  <si>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</si>
  <si>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</si>
  <si>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</si>
  <si>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</si>
  <si>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</si>
  <si>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</si>
  <si>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</si>
  <si>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</si>
  <si>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</si>
  <si>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</si>
  <si>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</si>
  <si>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</si>
  <si>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</si>
  <si>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</si>
  <si>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</si>
  <si>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</si>
  <si>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</si>
  <si>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</si>
  <si>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</si>
  <si>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</si>
  <si>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</si>
  <si>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</si>
  <si>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</si>
  <si>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</si>
  <si>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</si>
  <si>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</si>
  <si>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</si>
  <si>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</si>
  <si>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</si>
  <si>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</si>
  <si>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</si>
  <si>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</si>
  <si>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</si>
  <si>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</si>
  <si>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</si>
  <si>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</si>
  <si>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</si>
  <si>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</si>
  <si>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</si>
  <si>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</si>
  <si>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</si>
  <si>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</si>
  <si>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</si>
  <si>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</si>
  <si>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</si>
  <si>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</si>
  <si>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</si>
  <si>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</si>
  <si>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</si>
  <si>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</si>
  <si>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</si>
  <si>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</si>
  <si>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</si>
  <si>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</si>
  <si>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</si>
  <si>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</si>
  <si>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</si>
  <si>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</si>
  <si>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</si>
  <si>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</si>
  <si>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</si>
  <si>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</si>
  <si>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</si>
  <si>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</si>
  <si>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</si>
  <si>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</si>
  <si>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</si>
  <si>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</si>
  <si>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</si>
  <si>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</si>
  <si>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</si>
  <si>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</si>
  <si>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</si>
  <si>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</si>
  <si>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</si>
  <si>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</si>
  <si>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</si>
  <si>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</si>
  <si>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</si>
  <si>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</si>
  <si>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</si>
  <si>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</si>
  <si>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</si>
  <si>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</si>
  <si>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</si>
  <si>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</si>
  <si>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</si>
  <si>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</si>
  <si>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</si>
  <si>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</si>
  <si>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</si>
  <si>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</si>
  <si>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</si>
  <si>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</si>
  <si>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</si>
  <si>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</si>
  <si>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</si>
  <si>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</si>
  <si>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</si>
  <si>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</si>
  <si>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</si>
  <si>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</si>
  <si>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</si>
  <si>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</si>
  <si>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</si>
  <si>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</si>
  <si>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</si>
  <si>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</si>
  <si>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</si>
  <si>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</si>
  <si>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</si>
  <si>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</si>
  <si>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</si>
  <si>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</si>
  <si>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</si>
  <si>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</si>
  <si>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</si>
  <si>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</si>
  <si>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</si>
  <si>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</si>
  <si>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</si>
  <si>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</si>
  <si>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</si>
  <si>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</si>
  <si>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</si>
  <si>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</si>
  <si>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</si>
  <si>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</si>
  <si>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</si>
  <si>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</si>
  <si>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</si>
  <si>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</si>
  <si>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</si>
  <si>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</si>
  <si>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</si>
  <si>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</si>
  <si>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</si>
  <si>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</si>
  <si>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</si>
  <si>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</si>
  <si>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</si>
  <si>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</si>
  <si>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</si>
  <si>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</si>
  <si>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</si>
  <si>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</si>
  <si>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</si>
  <si>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</si>
  <si>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</si>
  <si>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</si>
  <si>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</si>
  <si>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</si>
  <si>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</si>
  <si>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</si>
  <si>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</si>
  <si>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</si>
  <si>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</si>
  <si>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</si>
  <si>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</si>
  <si>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</si>
  <si>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</si>
  <si>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</si>
  <si>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</si>
  <si>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</si>
  <si>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</si>
  <si>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</si>
  <si>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</si>
  <si>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</si>
  <si>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</si>
  <si>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</si>
  <si>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</si>
  <si>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</si>
  <si>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</si>
  <si>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</si>
  <si>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</si>
  <si>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</si>
  <si>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</si>
  <si>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</si>
  <si>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</si>
  <si>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</si>
  <si>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</si>
  <si>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</si>
  <si>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</si>
  <si>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</si>
  <si>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</si>
  <si>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</si>
  <si>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</si>
  <si>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</si>
  <si>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</si>
  <si>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</si>
  <si>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</si>
  <si>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</si>
  <si>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</si>
  <si>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</si>
  <si>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</si>
  <si>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</si>
  <si>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</si>
  <si>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</si>
  <si>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</si>
  <si>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</si>
  <si>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</si>
  <si>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</si>
  <si>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</si>
  <si>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</si>
  <si>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</si>
  <si>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</si>
  <si>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</si>
  <si>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</si>
  <si>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</si>
  <si>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</si>
  <si>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</si>
  <si>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</si>
  <si>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</si>
  <si>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</si>
  <si>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</si>
  <si>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</si>
  <si>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</si>
  <si>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</si>
  <si>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</si>
  <si>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</si>
  <si>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</si>
  <si>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</si>
  <si>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</si>
  <si>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</si>
  <si>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</si>
  <si>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</si>
  <si>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</si>
  <si>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</si>
  <si>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</si>
  <si>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</si>
  <si>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</si>
  <si>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</si>
  <si>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</si>
  <si>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</si>
  <si>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</si>
  <si>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</si>
  <si>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</si>
  <si>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</si>
  <si>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</si>
  <si>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</si>
  <si>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</si>
  <si>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</si>
  <si>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</si>
  <si>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</si>
  <si>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</si>
  <si>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</si>
  <si>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</si>
  <si>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</si>
  <si>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</si>
  <si>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</si>
  <si>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</si>
  <si>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</si>
  <si>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</si>
  <si>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</si>
  <si>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</si>
  <si>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</si>
  <si>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</si>
  <si>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</si>
  <si>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</si>
  <si>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</si>
  <si>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</si>
  <si>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</si>
  <si>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</si>
  <si>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</si>
  <si>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</si>
  <si>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</si>
  <si>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</si>
  <si>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</si>
  <si>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</si>
  <si>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</si>
  <si>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</si>
  <si>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</si>
  <si>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</si>
  <si>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</si>
  <si>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</si>
  <si>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</si>
  <si>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</si>
  <si>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</si>
  <si>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</si>
  <si>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</si>
  <si>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</si>
  <si>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</si>
  <si>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</si>
  <si>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</si>
  <si>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</si>
  <si>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</si>
  <si>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</si>
  <si>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</si>
  <si>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</si>
  <si>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</si>
  <si>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</si>
  <si>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</si>
  <si>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</si>
  <si>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</si>
  <si>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</si>
  <si>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</si>
  <si>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</si>
  <si>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</si>
  <si>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</si>
  <si>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</si>
  <si>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</si>
  <si>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</si>
  <si>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</si>
  <si>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</si>
  <si>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</si>
  <si>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</si>
  <si>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</si>
  <si>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</si>
  <si>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</si>
  <si>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</si>
  <si>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</si>
  <si>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</si>
  <si>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</si>
  <si>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</si>
  <si>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</si>
  <si>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</si>
  <si>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</si>
  <si>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</si>
  <si>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</si>
  <si>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</si>
  <si>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</si>
  <si>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</si>
  <si>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</si>
  <si>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</si>
  <si>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</si>
  <si>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</si>
  <si>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</si>
  <si>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</si>
  <si>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</si>
  <si>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</si>
  <si>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</si>
  <si>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</si>
  <si>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</si>
  <si>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</si>
  <si>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</si>
  <si>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</si>
  <si>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</si>
  <si>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</si>
  <si>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</si>
  <si>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</si>
  <si>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</si>
  <si>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</si>
  <si>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</si>
  <si>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</si>
  <si>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</si>
  <si>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</si>
  <si>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</si>
  <si>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</si>
  <si>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</si>
  <si>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</si>
  <si>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</si>
  <si>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</si>
  <si>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</si>
  <si>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</si>
  <si>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</si>
  <si>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</si>
  <si>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</si>
  <si>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</si>
  <si>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</si>
  <si>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</si>
  <si>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</si>
  <si>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</si>
  <si>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</si>
  <si>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</si>
  <si>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</si>
  <si>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</si>
  <si>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</si>
  <si>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</si>
  <si>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</si>
  <si>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</si>
  <si>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</si>
  <si>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</si>
  <si>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</si>
  <si>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</si>
  <si>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</si>
  <si>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</si>
  <si>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</si>
  <si>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</si>
  <si>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</si>
  <si>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</si>
  <si>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</si>
  <si>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</si>
  <si>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</si>
  <si>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</si>
  <si>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</si>
  <si>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</si>
  <si>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</si>
  <si>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</si>
  <si>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</si>
  <si>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</si>
  <si>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</si>
  <si>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</si>
  <si>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</si>
  <si>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</si>
  <si>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</si>
  <si>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</si>
  <si>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</si>
  <si>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</si>
  <si>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</si>
  <si>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</si>
  <si>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</si>
  <si>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</si>
  <si>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</si>
  <si>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</si>
  <si>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</si>
  <si>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</si>
  <si>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</si>
  <si>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</si>
  <si>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</si>
  <si>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</si>
  <si>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</si>
  <si>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</si>
  <si>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</si>
  <si>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</si>
  <si>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</si>
  <si>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</si>
  <si>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</si>
  <si>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</si>
  <si>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</si>
  <si>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</si>
  <si>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</si>
  <si>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</si>
  <si>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</si>
  <si>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</si>
  <si>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</si>
  <si>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</si>
  <si>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</si>
  <si>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</si>
  <si>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</si>
  <si>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</si>
  <si>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</si>
  <si>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</si>
  <si>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</si>
  <si>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</si>
  <si>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</si>
  <si>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</si>
  <si>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</si>
  <si>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</si>
  <si>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</si>
  <si>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</si>
  <si>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</si>
  <si>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</si>
  <si>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</si>
  <si>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</si>
  <si>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</si>
  <si>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</si>
  <si>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</si>
  <si>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</si>
  <si>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</si>
  <si>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</si>
  <si>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</si>
  <si>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</si>
  <si>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</si>
  <si>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</si>
  <si>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</si>
  <si>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</si>
  <si>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</si>
  <si>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</si>
  <si>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</si>
  <si>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</si>
  <si>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</si>
  <si>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</si>
  <si>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</si>
  <si>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</si>
  <si>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</si>
  <si>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</si>
  <si>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</si>
  <si>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</si>
  <si>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</si>
  <si>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</si>
  <si>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</si>
  <si>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</si>
  <si>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</si>
  <si>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</si>
  <si>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</si>
  <si>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</si>
  <si>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</si>
  <si>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</si>
  <si>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</si>
  <si>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</si>
  <si>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</si>
  <si>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</si>
  <si>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</si>
  <si>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</si>
  <si>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</si>
  <si>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</si>
  <si>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</si>
  <si>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</si>
  <si>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</si>
  <si>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</si>
  <si>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</si>
  <si>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</si>
  <si>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</si>
  <si>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</si>
  <si>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</si>
  <si>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</si>
  <si>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</si>
  <si>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</si>
  <si>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</si>
  <si>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</si>
  <si>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</si>
  <si>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</si>
  <si>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</si>
  <si>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</si>
  <si>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</si>
  <si>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</si>
  <si>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</si>
  <si>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</si>
  <si>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</si>
  <si>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</si>
  <si>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</si>
  <si>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</si>
  <si>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</si>
  <si>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</si>
  <si>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</si>
  <si>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</si>
  <si>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</si>
  <si>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</si>
  <si>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</si>
  <si>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</si>
  <si>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</si>
  <si>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</si>
  <si>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</si>
  <si>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</si>
  <si>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</si>
  <si>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</si>
  <si>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</si>
  <si>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</si>
  <si>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</si>
  <si>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</si>
  <si>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</si>
  <si>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</si>
  <si>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</si>
  <si>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</si>
  <si>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</si>
  <si>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</si>
  <si>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</si>
  <si>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</si>
  <si>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</si>
  <si>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</si>
  <si>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</si>
  <si>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</si>
  <si>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</si>
  <si>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</si>
  <si>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</si>
  <si>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</si>
  <si>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</si>
  <si>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</si>
  <si>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</si>
  <si>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</si>
  <si>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</si>
  <si>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</si>
  <si>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</si>
  <si>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</si>
  <si>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</si>
  <si>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</si>
  <si>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</si>
  <si>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</si>
  <si>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</si>
  <si>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</si>
  <si>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</si>
  <si>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</si>
  <si>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</si>
  <si>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</si>
  <si>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</si>
  <si>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</si>
  <si>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</si>
  <si>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</si>
  <si>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</si>
  <si>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</si>
  <si>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</si>
  <si>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</si>
  <si>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</si>
  <si>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</si>
  <si>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</si>
  <si>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</si>
  <si>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</si>
  <si>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</si>
  <si>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</si>
  <si>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</si>
  <si>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</si>
  <si>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</si>
  <si>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</si>
  <si>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</si>
  <si>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</si>
  <si>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</si>
  <si>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</si>
  <si>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</si>
  <si>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</si>
  <si>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</si>
  <si>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</si>
  <si>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</si>
  <si>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</si>
  <si>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</si>
  <si>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</si>
  <si>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</si>
  <si>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</si>
  <si>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</si>
  <si>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</si>
  <si>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</si>
  <si>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</si>
  <si>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</si>
  <si>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</si>
  <si>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</si>
  <si>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</si>
  <si>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</si>
  <si>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</si>
  <si>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</si>
  <si>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</si>
  <si>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</si>
  <si>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</si>
  <si>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</si>
  <si>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</si>
  <si>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</si>
  <si>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</si>
  <si>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</si>
  <si>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</si>
  <si>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</si>
  <si>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</si>
  <si>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</si>
  <si>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</si>
  <si>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</si>
  <si>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</si>
  <si>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</si>
  <si>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</si>
  <si>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</si>
  <si>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</si>
  <si>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</si>
  <si>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</si>
  <si>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</si>
  <si>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</si>
  <si>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</si>
  <si>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</si>
  <si>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</si>
  <si>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</si>
  <si>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</si>
  <si>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</si>
  <si>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</si>
  <si>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</si>
  <si>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</si>
  <si>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</si>
  <si>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</si>
  <si>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</si>
  <si>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</si>
  <si>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</si>
  <si>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</si>
  <si>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</si>
  <si>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</si>
  <si>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</si>
  <si>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</si>
  <si>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</si>
  <si>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</si>
  <si>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</si>
  <si>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</si>
  <si>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</si>
  <si>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</si>
  <si>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</si>
  <si>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</si>
  <si>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</si>
  <si>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</si>
  <si>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</si>
  <si>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</si>
  <si>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</si>
  <si>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</si>
  <si>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</si>
  <si>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</si>
  <si>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</si>
  <si>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</si>
  <si>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</si>
  <si>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</si>
  <si>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</si>
  <si>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</si>
  <si>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</si>
  <si>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</si>
  <si>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</si>
  <si>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</si>
  <si>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</si>
  <si>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</si>
  <si>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</si>
  <si>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</si>
  <si>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</si>
  <si>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</si>
  <si>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</si>
  <si>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</si>
  <si>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</si>
  <si>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</si>
  <si>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</si>
  <si>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</si>
  <si>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</si>
  <si>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</si>
  <si>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</si>
  <si>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</si>
  <si>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</si>
  <si>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</si>
  <si>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</si>
  <si>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</si>
  <si>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</si>
  <si>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</si>
  <si>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</si>
  <si>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</si>
  <si>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</si>
  <si>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</si>
  <si>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</si>
  <si>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</si>
  <si>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</si>
  <si>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</si>
  <si>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</si>
  <si>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</si>
  <si>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</si>
  <si>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</si>
  <si>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</si>
  <si>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</si>
  <si>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</si>
  <si>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</si>
  <si>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</si>
  <si>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</si>
  <si>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</si>
  <si>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</si>
  <si>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</si>
  <si>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</si>
  <si>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</si>
  <si>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</si>
  <si>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</si>
  <si>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</si>
  <si>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</si>
  <si>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</si>
  <si>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</si>
  <si>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</si>
  <si>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</si>
  <si>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</si>
  <si>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</si>
  <si>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</si>
  <si>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</si>
  <si>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</si>
  <si>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</si>
  <si>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</si>
  <si>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</si>
  <si>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</si>
  <si>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</si>
  <si>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</si>
  <si>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</si>
  <si>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</si>
  <si>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</si>
  <si>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</si>
  <si>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</si>
  <si>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</si>
  <si>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</si>
  <si>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</si>
  <si>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</si>
  <si>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</si>
  <si>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</si>
  <si>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</si>
  <si>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</si>
  <si>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</si>
  <si>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</si>
  <si>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</si>
  <si>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</si>
  <si>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</si>
  <si>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</si>
  <si>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</si>
  <si>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</si>
  <si>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</si>
  <si>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</si>
  <si>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</si>
  <si>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</si>
  <si>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</si>
  <si>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</si>
  <si>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</si>
  <si>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</si>
  <si>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</si>
  <si>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</si>
  <si>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</si>
  <si>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</si>
  <si>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</si>
  <si>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</si>
  <si>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</si>
  <si>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</si>
  <si>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</si>
  <si>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</si>
  <si>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</si>
  <si>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</si>
  <si>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</si>
  <si>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</si>
  <si>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</si>
  <si>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</si>
  <si>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</si>
  <si>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</si>
  <si>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</si>
  <si>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</si>
  <si>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</si>
  <si>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</si>
  <si>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</si>
  <si>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</si>
  <si>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</si>
  <si>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</si>
  <si>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</si>
  <si>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</si>
  <si>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</si>
  <si>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</si>
  <si>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</si>
  <si>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</si>
  <si>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</si>
  <si>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</si>
  <si>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</si>
  <si>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</si>
  <si>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</si>
  <si>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</si>
  <si>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</si>
  <si>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</si>
  <si>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</si>
  <si>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</si>
  <si>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</si>
  <si>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</si>
  <si>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</si>
  <si>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</si>
  <si>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</si>
  <si>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</si>
  <si>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</si>
  <si>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</si>
  <si>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</si>
  <si>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</si>
  <si>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</si>
  <si>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</si>
  <si>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</si>
  <si>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</si>
  <si>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</si>
  <si>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</si>
  <si>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</si>
  <si>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</si>
  <si>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</si>
  <si>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</si>
  <si>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</si>
  <si>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</si>
  <si>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</si>
  <si>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</si>
  <si>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</si>
  <si>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</si>
  <si>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</si>
  <si>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</si>
  <si>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</si>
  <si>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</si>
  <si>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</si>
  <si>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</si>
  <si>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</si>
  <si>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</si>
  <si>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</si>
  <si>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</si>
  <si>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</si>
  <si>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</si>
  <si>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</si>
  <si>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</si>
  <si>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</si>
  <si>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</si>
  <si>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</si>
  <si>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</si>
  <si>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</si>
  <si>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</si>
  <si>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</si>
  <si>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</si>
  <si>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</si>
  <si>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</si>
  <si>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</si>
  <si>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</si>
  <si>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</si>
  <si>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</si>
  <si>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</si>
  <si>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</si>
  <si>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</si>
  <si>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</si>
  <si>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</si>
  <si>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</si>
  <si>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</si>
  <si>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</si>
  <si>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</si>
  <si>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</si>
  <si>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</si>
  <si>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</si>
  <si>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</si>
  <si>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</si>
  <si>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</si>
  <si>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</si>
  <si>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</si>
  <si>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</si>
  <si>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</si>
  <si>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</si>
  <si>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</si>
  <si>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</si>
  <si>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</si>
  <si>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</si>
  <si>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</si>
  <si>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</si>
  <si>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</si>
  <si>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</si>
  <si>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</si>
  <si>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</si>
  <si>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</si>
  <si>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</si>
  <si>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</si>
  <si>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</si>
  <si>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</si>
  <si>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</si>
  <si>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</si>
  <si>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</si>
  <si>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</si>
  <si>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</si>
  <si>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</si>
  <si>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</si>
  <si>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</si>
  <si>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</si>
  <si>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</si>
  <si>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</si>
  <si>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</si>
  <si>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</si>
  <si>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</si>
  <si>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</si>
  <si>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</si>
  <si>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</si>
  <si>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</si>
  <si>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</si>
  <si>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</si>
  <si>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</si>
  <si>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</si>
  <si>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</si>
  <si>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</si>
  <si>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</si>
  <si>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З_1</t>
  </si>
  <si>
    <t>З_2</t>
  </si>
  <si>
    <t>З_3</t>
  </si>
  <si>
    <t>З_4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</si>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</sst>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8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48" borderId="0" xfId="0" applyFont="1" applyFill="1" applyAlignment="1">
      <alignment vertical="center" wrapText="1"/>
    </xf>
    <xf numFmtId="0" fontId="16" fillId="45" borderId="0" xfId="0" applyFont="1" applyFill="1" applyAlignment="1">
      <alignment vertical="center" wrapText="1"/>
    </xf>
    <xf numFmtId="0" fontId="16" fillId="49" borderId="0" xfId="0" applyFont="1" applyFill="1" applyAlignment="1">
      <alignment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08"/>
  <sheetViews>
    <sheetView tabSelected="1" zoomScale="70" zoomScaleNormal="70" workbookViewId="0">
      <pane ySplit="2" topLeftCell="A7500" activePane="bottomLeft" state="frozen"/>
      <selection pane="bottomLeft" activeCell="P7515" sqref="P751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40" t="s">
        <v>0</v>
      </c>
      <c r="B1" s="1140"/>
      <c r="C1" s="1140"/>
      <c r="D1" s="1140"/>
      <c r="E1" s="1140"/>
      <c r="F1" s="1140"/>
      <c r="G1" s="1140"/>
      <c r="H1" s="1140"/>
      <c r="I1" s="1140"/>
      <c r="J1" s="114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1">
        <v>1</v>
      </c>
      <c r="B3" s="114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1"/>
      <c r="B4" s="114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37">
        <v>3</v>
      </c>
      <c r="B6" s="113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37"/>
      <c r="B7" s="113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37"/>
      <c r="B8" s="113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37">
        <v>5</v>
      </c>
      <c r="B10" s="113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37"/>
      <c r="B11" s="113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35">
        <v>8</v>
      </c>
      <c r="B14" s="113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35"/>
      <c r="B15" s="113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37">
        <v>11</v>
      </c>
      <c r="B18" s="113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37"/>
      <c r="B19" s="113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37"/>
      <c r="B20" s="113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37"/>
      <c r="B21" s="113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37">
        <v>13</v>
      </c>
      <c r="B23" s="113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37"/>
      <c r="B24" s="113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35">
        <v>14</v>
      </c>
      <c r="B25" s="113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35"/>
      <c r="B26" s="113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37">
        <v>15</v>
      </c>
      <c r="B27" s="113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37"/>
      <c r="B28" s="113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37"/>
      <c r="B29" s="113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37"/>
      <c r="B30" s="113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35">
        <v>16</v>
      </c>
      <c r="B31" s="113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35"/>
      <c r="B32" s="113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35"/>
      <c r="B33" s="113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35"/>
      <c r="B34" s="113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37">
        <v>17</v>
      </c>
      <c r="B35" s="113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37"/>
      <c r="B36" s="113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37">
        <v>21</v>
      </c>
      <c r="B40" s="113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37"/>
      <c r="B41" s="113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37">
        <v>23</v>
      </c>
      <c r="B43" s="113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37"/>
      <c r="B44" s="113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37"/>
      <c r="B45" s="113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35">
        <v>24</v>
      </c>
      <c r="B46" s="113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35"/>
      <c r="B47" s="113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37">
        <v>25</v>
      </c>
      <c r="B48" s="113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37"/>
      <c r="B49" s="113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37"/>
      <c r="B50" s="113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35">
        <v>26</v>
      </c>
      <c r="B51" s="113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35"/>
      <c r="B52" s="113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37">
        <v>29</v>
      </c>
      <c r="B55" s="113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37"/>
      <c r="B56" s="113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35">
        <v>32</v>
      </c>
      <c r="B59" s="113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35"/>
      <c r="B60" s="113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35">
        <v>34</v>
      </c>
      <c r="B62" s="113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35"/>
      <c r="B63" s="113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35"/>
      <c r="B64" s="113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35"/>
      <c r="B65" s="113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35"/>
      <c r="B66" s="113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37">
        <v>35</v>
      </c>
      <c r="B67" s="113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37"/>
      <c r="B68" s="113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22">
        <v>40</v>
      </c>
      <c r="B73" s="113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22"/>
      <c r="B74" s="113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21">
        <v>41</v>
      </c>
      <c r="B75" s="113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21"/>
      <c r="B76" s="113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21"/>
      <c r="B77" s="113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22">
        <v>42</v>
      </c>
      <c r="B78" s="113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22"/>
      <c r="B79" s="113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21">
        <v>49</v>
      </c>
      <c r="B86" s="113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21"/>
      <c r="B87" s="113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21"/>
      <c r="B88" s="113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22">
        <v>50</v>
      </c>
      <c r="B89" s="113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22"/>
      <c r="B90" s="113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21">
        <v>51</v>
      </c>
      <c r="B91" s="113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21"/>
      <c r="B92" s="113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21">
        <v>53</v>
      </c>
      <c r="B94" s="113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21"/>
      <c r="B95" s="113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22">
        <v>54</v>
      </c>
      <c r="B96" s="113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22"/>
      <c r="B97" s="113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22"/>
      <c r="B98" s="113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22">
        <v>58</v>
      </c>
      <c r="B102" s="113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22"/>
      <c r="B103" s="113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22">
        <v>60</v>
      </c>
      <c r="B105" s="113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22"/>
      <c r="B106" s="113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22"/>
      <c r="B107" s="113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21">
        <v>61</v>
      </c>
      <c r="B108" s="113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21"/>
      <c r="B109" s="113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21"/>
      <c r="B110" s="113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22">
        <v>64</v>
      </c>
      <c r="B113" s="113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22"/>
      <c r="B114" s="113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22">
        <v>66</v>
      </c>
      <c r="B116" s="113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22"/>
      <c r="B117" s="113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21">
        <v>67</v>
      </c>
      <c r="B118" s="113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21"/>
      <c r="B119" s="113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21"/>
      <c r="B120" s="113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22">
        <v>68</v>
      </c>
      <c r="B121" s="113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22"/>
      <c r="B122" s="113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21">
        <v>69</v>
      </c>
      <c r="B123" s="113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21"/>
      <c r="B124" s="113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22">
        <v>72</v>
      </c>
      <c r="B127" s="1135" t="s">
        <v>65</v>
      </c>
      <c r="C127" s="119" t="s">
        <v>26</v>
      </c>
      <c r="D127" s="120">
        <v>3.3</v>
      </c>
      <c r="E127" s="121"/>
      <c r="F127" s="122" t="s">
        <v>30</v>
      </c>
      <c r="G127" s="113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22"/>
      <c r="B128" s="1135"/>
      <c r="C128" s="103" t="s">
        <v>26</v>
      </c>
      <c r="D128" s="88">
        <v>12.9</v>
      </c>
      <c r="E128" s="106"/>
      <c r="F128" s="107" t="s">
        <v>16</v>
      </c>
      <c r="G128" s="113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22">
        <v>76</v>
      </c>
      <c r="B132" s="113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22"/>
      <c r="B133" s="113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22"/>
      <c r="B134" s="113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22"/>
      <c r="B135" s="113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22">
        <v>78</v>
      </c>
      <c r="B137" s="114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22"/>
      <c r="B138" s="114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3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3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2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2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2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2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2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2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2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2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2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2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2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3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3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2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2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2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2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2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2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2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2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2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2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2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2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2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2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2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2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2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2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2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2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2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2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2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2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2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2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2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2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2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2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2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2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2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2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2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2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2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2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2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2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2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2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2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2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44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2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44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2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2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2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2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2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2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2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2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2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2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2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2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2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2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2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2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2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2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3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3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2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2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2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2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2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2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2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2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2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2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2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2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2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2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2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2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2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2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2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2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2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2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2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2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2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2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2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2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2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2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2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2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42" t="s">
        <v>133</v>
      </c>
      <c r="J420" s="1142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2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2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2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2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2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2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2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2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2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2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2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2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2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2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2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2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2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2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2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2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2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2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2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2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2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2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2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2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2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2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2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2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2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2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4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4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2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4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2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4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2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4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2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2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2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2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2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2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2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2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2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2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2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2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2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2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2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2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2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2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2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2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2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2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2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2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2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2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2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2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2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2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2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2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2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2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2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2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2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2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2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2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2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2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2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2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2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2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2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2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2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2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2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2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2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2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2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2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2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2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2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2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2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4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4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2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2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2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2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2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2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2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2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2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2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2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2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2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2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2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2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2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2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2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2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2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2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2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2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2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2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2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2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4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2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4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2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2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2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2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2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2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2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2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2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3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3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3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3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3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3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2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2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2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3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3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2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2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2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2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2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2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2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2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2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2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2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2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2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2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2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2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2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2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2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2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2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2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2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2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2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2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2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2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2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2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2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2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2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2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2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2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2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2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2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2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2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2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2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2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2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2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2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2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2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2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2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2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2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2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2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2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2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2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2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2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2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2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2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2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3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3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2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2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2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2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2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2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2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2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2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2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2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2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2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2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2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2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2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2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2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2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2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2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2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2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2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2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2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2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2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2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2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2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2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2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2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2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2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2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2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2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2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2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2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2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2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2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2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2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2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2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2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2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2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2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2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2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2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2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2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2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2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2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2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2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2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2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2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2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2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2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2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2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2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2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2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2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2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2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2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2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2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2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2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2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2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2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2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2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2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2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2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2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2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2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2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2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2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2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2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2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2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2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2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2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2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2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2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2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2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2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2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2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2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2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2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2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2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2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2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2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2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2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2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2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2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2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2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2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2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2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2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2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2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2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2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2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2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2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2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2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2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2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2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2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2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2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2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2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2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2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2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2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2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2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2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2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2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2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2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2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2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2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2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2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2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2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2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2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2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2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2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2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2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2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2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2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2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2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2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2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2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2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2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2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2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2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2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2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2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2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2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2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2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2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2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2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2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2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2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2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2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2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2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2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2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2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2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2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2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2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2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2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2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2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2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2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2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2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2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2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2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2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2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2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2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2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2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2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2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2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2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2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2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2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2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2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2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2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2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2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2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2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2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2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2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2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2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2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2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2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2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2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2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2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2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2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2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2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2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2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2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2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2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2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2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2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2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2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2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2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2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2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2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2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2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2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2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2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2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2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2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2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2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2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2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2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2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2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2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2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2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2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2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2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2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2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2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2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2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2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2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2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2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2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2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2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2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2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2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2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2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2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2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2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2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2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2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2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2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2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2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2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2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2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2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2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2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2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2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2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2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2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2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2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2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2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2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2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2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2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2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2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2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2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2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2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2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2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2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2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2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2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2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2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2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2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2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2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2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2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2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2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2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2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2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2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2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2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2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2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2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2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2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2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2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2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2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2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2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2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2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2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2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2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2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2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2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2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2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2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2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4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49" t="s">
        <v>467</v>
      </c>
      <c r="H2160" s="414" t="s">
        <v>515</v>
      </c>
      <c r="I2160" s="415" t="s">
        <v>516</v>
      </c>
      <c r="J2160" s="115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4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49"/>
      <c r="H2161" s="421" t="s">
        <v>515</v>
      </c>
      <c r="I2161" s="422" t="s">
        <v>516</v>
      </c>
      <c r="J2161" s="115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4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49"/>
      <c r="H2162" s="429" t="s">
        <v>515</v>
      </c>
      <c r="I2162" s="430" t="s">
        <v>516</v>
      </c>
      <c r="J2162" s="115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4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49" t="s">
        <v>467</v>
      </c>
      <c r="H2165" s="414" t="s">
        <v>516</v>
      </c>
      <c r="I2165" s="415" t="s">
        <v>516</v>
      </c>
      <c r="J2165" s="115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4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49"/>
      <c r="H2166" s="429" t="s">
        <v>516</v>
      </c>
      <c r="I2166" s="430" t="s">
        <v>516</v>
      </c>
      <c r="J2166" s="115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2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2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2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2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2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2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2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2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2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2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2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5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5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2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44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2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44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2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2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2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2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2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2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2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2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2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2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2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2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2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2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2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2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2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2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2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2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2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2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2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2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2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2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2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2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2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2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2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2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2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2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2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2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2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2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2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2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2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2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2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2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2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2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2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2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2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2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2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2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2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2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2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2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2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2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2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2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2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2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2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2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2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2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2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2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2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2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2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2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2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2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2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2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2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2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2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2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2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2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2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2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2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2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2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2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2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2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2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2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2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2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2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2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2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2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2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2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2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2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2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2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2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2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2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2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2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2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2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2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2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2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5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5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5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5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2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2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2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2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2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2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2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2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2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2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2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5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5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2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2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2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2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2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2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2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2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2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2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2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2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2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2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2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2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2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2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2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2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2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5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5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2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2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2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2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2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2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2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2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2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2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2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2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2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2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2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2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2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2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2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2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2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2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2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2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2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2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2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2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2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2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2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2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2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2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2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2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2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2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2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2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5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5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2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2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2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2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2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2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2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2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2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2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2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2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2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2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2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2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2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2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2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2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2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2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2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2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2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2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2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2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2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2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2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2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2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2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2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2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2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2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2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2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2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2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2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2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2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2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2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2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2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2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2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2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2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2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2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2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2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2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2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2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2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2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2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2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2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2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2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2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2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2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2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2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2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2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2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2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2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2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2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2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2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2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2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2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2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2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2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2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2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2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2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2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2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2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2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2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2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2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2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2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2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2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2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2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5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5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5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5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5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5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2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2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2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2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2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2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2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2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2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2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2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2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2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2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2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2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2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2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2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2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2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2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2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2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2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2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2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2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2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2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2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2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2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2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2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2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2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2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2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2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2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2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2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2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2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2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2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2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2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2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2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2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2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2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2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2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2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2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5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5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5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2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2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2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2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2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2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2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2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2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2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2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2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2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2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2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2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2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2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2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2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2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2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2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2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2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2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2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08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8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0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8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8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0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0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0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9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5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8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5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8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8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5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5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8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9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9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9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9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5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8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5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9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5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8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9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1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5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6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8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5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9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1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5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6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8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5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8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9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9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9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5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9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9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9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8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9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5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8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8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5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5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8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8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5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5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8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5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9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5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8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8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5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9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5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8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5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9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9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5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9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9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9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9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9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9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8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5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9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1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5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6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8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5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9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5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8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5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08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8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5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5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9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9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5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8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5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9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1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5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6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8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5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9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5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9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1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5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6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8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5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9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9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5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8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5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9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9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9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9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9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5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8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5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8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9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9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9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9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9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9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9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9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8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5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8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8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0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5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5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8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5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9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5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8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08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8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5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5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9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9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9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5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8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5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8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5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9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5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9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9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9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9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9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8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5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8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5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9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5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8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5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9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5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8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8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5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5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9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9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8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5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9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5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8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5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9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5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8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5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8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9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9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9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9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9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9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8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5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8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5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9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9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9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5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8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5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8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5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9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9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9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5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9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9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9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9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9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9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8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5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8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8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5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5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9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9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5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8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5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9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9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5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8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8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0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5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5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9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1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5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6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8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5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9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5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8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9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5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8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5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9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9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5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8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5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9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5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8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8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5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5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8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5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9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9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5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9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5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8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9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9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9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9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9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9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9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8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5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8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9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1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5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6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8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5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9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9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9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9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8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5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8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5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9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5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8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5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8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5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1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6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8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5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9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5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8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5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9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5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8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5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8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5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9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9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9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8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9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9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8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8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8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8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9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1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9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1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8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9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9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8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8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9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9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8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9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1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9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9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1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9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9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9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9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9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8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9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9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9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9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9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8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9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9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9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8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9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9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8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8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9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9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9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8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9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9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9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9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9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8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9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9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9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8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9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9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8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8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8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9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9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9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9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9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8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8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9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9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9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9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9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9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8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9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9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9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9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8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08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8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8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9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9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9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9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9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9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8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8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9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1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9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9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9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1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8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8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9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9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9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8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9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9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9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9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1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9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1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8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9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9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9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9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9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8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9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9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8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9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9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9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9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9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8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8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8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0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0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8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9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9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8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8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9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9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9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8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9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1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9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1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9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9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9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9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9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9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9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9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8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9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9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9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8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8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9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9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9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8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9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9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9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9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9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8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9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9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8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1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9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1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8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9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9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8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9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9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8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9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9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9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9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8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9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9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8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9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8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8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8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9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9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9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9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8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9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9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9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9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9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9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9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9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9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8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8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9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1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9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8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9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9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8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9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9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8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8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9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9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8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9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9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9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8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9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9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8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8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9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9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9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8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8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8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9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9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8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9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9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8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9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9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9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9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9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9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8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9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9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9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08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8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8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0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8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9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9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9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9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9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9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9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8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8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9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9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8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8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08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8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8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9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9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9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9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9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9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8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9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9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8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8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8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9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9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9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8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9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9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9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8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9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9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8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9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9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9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9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9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8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9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9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9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9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8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9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9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8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08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8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8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8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9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9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9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8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9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9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9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9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8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9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9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8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9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1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9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9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9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1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9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9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9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9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1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9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1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8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8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9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9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9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8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8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8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8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9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9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9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9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9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9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8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8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0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9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9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9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9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8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9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9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08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8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8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8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9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9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9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9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1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9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1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8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8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8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9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9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9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9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8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9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9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8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9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1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9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9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1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8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8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8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8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9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9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8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9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1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9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1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8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9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9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8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9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9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8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8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8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9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9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9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8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08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8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8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9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9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9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9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8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9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9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9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8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9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9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8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9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9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08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8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8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9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9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9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9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9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08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8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0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9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9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9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9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9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8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8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8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9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9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9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9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8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8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8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8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9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1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9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1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8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9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9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8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9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9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08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8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9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9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8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9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1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9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1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8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9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9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9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8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9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9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9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9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1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9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1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8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9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9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9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8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8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9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9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9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9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1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9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1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9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1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9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1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8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8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9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9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9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8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9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9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9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1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9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1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9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9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9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8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9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1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9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1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8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9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9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9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8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8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0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0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9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1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9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1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8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9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9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8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8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6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9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9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8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9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9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8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8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9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1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9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9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1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8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9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1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9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1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9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9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9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9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9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9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9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8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8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8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8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0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0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0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9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9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8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8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8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8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8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8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9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9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9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8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8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8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8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9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9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8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8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9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9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08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8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8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8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9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9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9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9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9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8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9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9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9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9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9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9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9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9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9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9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8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8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9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9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9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8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8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9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9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8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8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8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8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0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9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9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9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9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8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8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8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8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8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8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08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8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8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8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8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8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9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9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8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8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9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1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9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1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9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9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9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8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8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9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9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9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8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8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8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8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8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9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9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8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9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9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8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8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9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9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8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8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9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9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8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8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8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8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9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9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9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8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8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9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9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9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1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9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8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9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9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8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8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9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9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9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9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8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8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9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9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9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8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8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9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9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8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8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8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8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8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0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0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0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0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9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9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9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9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9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9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9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9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9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9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8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8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9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9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9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8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8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8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8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9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9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9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1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9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1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9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1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9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9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9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8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8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9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9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8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8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8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8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9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9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9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9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9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9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9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9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8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0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0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9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9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8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8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8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8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9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9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8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8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0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9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9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8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8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9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9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8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8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9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9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8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8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8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8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8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8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9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9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8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8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9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9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8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8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9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9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9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9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9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9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9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8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8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8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8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9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9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9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9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9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9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8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8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9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9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9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8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9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1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9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1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8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8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8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8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9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9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8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8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8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8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8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8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8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8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9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9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8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8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9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1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9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1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9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9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9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9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9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8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8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8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9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1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9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1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9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1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9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9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9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9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1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8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8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9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9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9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9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9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08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8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8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8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9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9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8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8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8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8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8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8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9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9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9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8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8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9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9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8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8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8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9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9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8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8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9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9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8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8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9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1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9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1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9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9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8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8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8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8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8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8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8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8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9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9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8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8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9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1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9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1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8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8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1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1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6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6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6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9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9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6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16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1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6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1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6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6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9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9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1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9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2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6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9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6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2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2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1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2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9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9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9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9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9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9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9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9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9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9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0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9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0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8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8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8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8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8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8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9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9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9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9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9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9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9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8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8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9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9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9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8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8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9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9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9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9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9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9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9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9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9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9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8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8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9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1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9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1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9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9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1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2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9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9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0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9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9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8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8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8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9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9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9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0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9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9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9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9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9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9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0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9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9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9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0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9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9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9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9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0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9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9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9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8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9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9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9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9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9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0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9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8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9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9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0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9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9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9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9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8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0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0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9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9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8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8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9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9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8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1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6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9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0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9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0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9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9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0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9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9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9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8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8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9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9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9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9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9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9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9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0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9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9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9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9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9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9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9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9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9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9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9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9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9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9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0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9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9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9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9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0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9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9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9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9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8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0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8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9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1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9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1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8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8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9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9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9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9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9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9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9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8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8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8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9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9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9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9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9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9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9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9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9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8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8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9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9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9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9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8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8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9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9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9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9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9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9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9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8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8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9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9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9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9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9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9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0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9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9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9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9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9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0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9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8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9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9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0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9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9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96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8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8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9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9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9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9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9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0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9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9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8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8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8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8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8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8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9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9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8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8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9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96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8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8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9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9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9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9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9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0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9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9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9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9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8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8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1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1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9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9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9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9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96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8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8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8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8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9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9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8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8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9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11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9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9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9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1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8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8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8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8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9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9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9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8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9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9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9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12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9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12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0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9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9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9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9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1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8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8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8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8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9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9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8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8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9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9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8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8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9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9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9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9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8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8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9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9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8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8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9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9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96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8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8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9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93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9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9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8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9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0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9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0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9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0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0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8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9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9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8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8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8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8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9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11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9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1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9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93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9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8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8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9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9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96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9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9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96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8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86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9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9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8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86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8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86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9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93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9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8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86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9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9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8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86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9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9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9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96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9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01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93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02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93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02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94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03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8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8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86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8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95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97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97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96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9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96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8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86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9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94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8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0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86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0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9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96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8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86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9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96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92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94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8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86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9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9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9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9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9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96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92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94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9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9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9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0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92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94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8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5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86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9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11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97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9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97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9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96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10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9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9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9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9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9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11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96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10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84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8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86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06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9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97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97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96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84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04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5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04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86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05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9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96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84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86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9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97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97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96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84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0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5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72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86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72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92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93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94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92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94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9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00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9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96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9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00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9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97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97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95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70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97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71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97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71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96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71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98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99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00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95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97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97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98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99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00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92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93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94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98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89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99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90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99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90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00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91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84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5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86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92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94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98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99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99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77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73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78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74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84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75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86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76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84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5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98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00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92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94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92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94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98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100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92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94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98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100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84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86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95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97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96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84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86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95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97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97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97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96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98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100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95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97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97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96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84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85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85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86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95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97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97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96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98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100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84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85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86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95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97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97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97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96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84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85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85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86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92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94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98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100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95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96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92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94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92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01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94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03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84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86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95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96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92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93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94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98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99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100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95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96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98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99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100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92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93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93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93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94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98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99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100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95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97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97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97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97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97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96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98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99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100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79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80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80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81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84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85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86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92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94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98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100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3">
      <c r="A7332" s="1092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82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3">
      <c r="A7333" s="1093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83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94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84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98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89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100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91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84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85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86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95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96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92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94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98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89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100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91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84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85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85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86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92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93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94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98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99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100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92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94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98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99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100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92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93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93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93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94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84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04" t="s">
        <v>2904</v>
      </c>
      <c r="H7375" s="527" t="s">
        <v>2854</v>
      </c>
      <c r="I7375" s="528" t="s">
        <v>2970</v>
      </c>
      <c r="J7375" s="529"/>
      <c r="K7375" s="527" t="str">
        <f t="shared" ref="K7375:K7430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85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04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85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04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85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04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86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05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84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85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85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85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84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85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86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95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97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96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84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85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85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86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93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93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94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98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89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100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12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92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11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94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10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84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86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93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94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098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89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099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90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100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91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092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11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094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10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095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096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092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49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093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094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098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6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099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100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095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3">
      <c r="A7425" s="1097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096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084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086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6.25" x14ac:dyDescent="0.25">
      <c r="A7431" s="1095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x14ac:dyDescent="0.25">
      <c r="A7432" s="1097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thickBot="1" x14ac:dyDescent="0.3">
      <c r="A7433" s="1097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x14ac:dyDescent="0.25">
      <c r="A7434" s="1084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x14ac:dyDescent="0.25">
      <c r="A7435" s="1085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x14ac:dyDescent="0.25">
      <c r="A7436" s="1085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thickBot="1" x14ac:dyDescent="0.3">
      <c r="A7437" s="1086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7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x14ac:dyDescent="0.25">
      <c r="A7438" s="1092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8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x14ac:dyDescent="0.25">
      <c r="A7439" s="1093"/>
      <c r="B7439" s="824" t="s">
        <v>3031</v>
      </c>
      <c r="C7439" s="820" t="s">
        <v>952</v>
      </c>
      <c r="D7439" s="821">
        <v>1.9990000000000001</v>
      </c>
      <c r="E7439" s="822"/>
      <c r="F7439" s="819" t="s">
        <v>16</v>
      </c>
      <c r="G7439" s="1059" t="s">
        <v>3053</v>
      </c>
      <c r="H7439" s="819" t="s">
        <v>3013</v>
      </c>
      <c r="I7439" s="782"/>
      <c r="J7439" s="825"/>
      <c r="K7439" s="849"/>
      <c r="L7439" s="819" t="s">
        <v>265</v>
      </c>
      <c r="M7439" s="819">
        <v>2066.52</v>
      </c>
      <c r="N7439" s="811">
        <v>4.1666666666666664E-2</v>
      </c>
      <c r="O7439" s="897" t="s">
        <v>3082</v>
      </c>
    </row>
    <row r="7440" spans="1:17" ht="38.25" thickBot="1" x14ac:dyDescent="0.3">
      <c r="A7440" s="1094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084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thickBot="1" x14ac:dyDescent="0.3">
      <c r="A7442" s="1086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thickBot="1" x14ac:dyDescent="0.3">
      <c r="A7443" s="1050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1053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x14ac:dyDescent="0.25">
      <c r="A7446" s="1084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07" t="s">
        <v>3032</v>
      </c>
      <c r="H7446" s="483" t="s">
        <v>3031</v>
      </c>
      <c r="I7446" s="484" t="s">
        <v>3088</v>
      </c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thickBot="1" x14ac:dyDescent="0.3">
      <c r="A7447" s="1086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08"/>
      <c r="H7447" s="649" t="s">
        <v>3031</v>
      </c>
      <c r="I7447" s="651" t="s">
        <v>3088</v>
      </c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x14ac:dyDescent="0.25">
      <c r="A7449" s="1084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1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thickBot="1" x14ac:dyDescent="0.3">
      <c r="A7450" s="1086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5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x14ac:dyDescent="0.25">
      <c r="A7451" s="1095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1052" t="s">
        <v>47</v>
      </c>
      <c r="H7451" s="535" t="s">
        <v>3031</v>
      </c>
      <c r="I7451" s="537" t="s">
        <v>3088</v>
      </c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thickBot="1" x14ac:dyDescent="0.3">
      <c r="A7452" s="1096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1054"/>
      <c r="H7452" s="640" t="s">
        <v>3031</v>
      </c>
      <c r="I7452" s="642" t="s">
        <v>3088</v>
      </c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x14ac:dyDescent="0.25">
      <c r="A7454" s="1095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101" t="s">
        <v>2910</v>
      </c>
      <c r="H7454" s="535" t="s">
        <v>3033</v>
      </c>
      <c r="I7454" s="537" t="s">
        <v>3088</v>
      </c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x14ac:dyDescent="0.25">
      <c r="A7455" s="1097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02"/>
      <c r="H7455" s="567" t="s">
        <v>3033</v>
      </c>
      <c r="I7455" s="569" t="s">
        <v>3088</v>
      </c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thickBot="1" x14ac:dyDescent="0.3">
      <c r="A7456" s="1096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03"/>
      <c r="H7456" s="640" t="s">
        <v>3033</v>
      </c>
      <c r="I7456" s="642" t="s">
        <v>3088</v>
      </c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x14ac:dyDescent="0.25">
      <c r="A7458" s="1095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1052"/>
      <c r="H7458" s="535" t="s">
        <v>3033</v>
      </c>
      <c r="I7458" s="537" t="s">
        <v>3119</v>
      </c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thickBot="1" x14ac:dyDescent="0.3">
      <c r="A7459" s="1096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1054"/>
      <c r="H7459" s="640" t="s">
        <v>3033</v>
      </c>
      <c r="I7459" s="642" t="s">
        <v>3119</v>
      </c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thickBot="1" x14ac:dyDescent="0.3">
      <c r="A7460" s="513">
        <f t="shared" ref="A7460:A7467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x14ac:dyDescent="0.25">
      <c r="A7461" s="1095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1060" t="s">
        <v>844</v>
      </c>
      <c r="H7461" s="535" t="s">
        <v>3083</v>
      </c>
      <c r="I7461" s="537" t="s">
        <v>3088</v>
      </c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thickBot="1" x14ac:dyDescent="0.3">
      <c r="A7462" s="1097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1061" t="s">
        <v>845</v>
      </c>
      <c r="H7462" s="594" t="s">
        <v>3083</v>
      </c>
      <c r="I7462" s="596" t="s">
        <v>3088</v>
      </c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thickBot="1" x14ac:dyDescent="0.3">
      <c r="A7465" s="1062">
        <f t="shared" si="228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1063"/>
      <c r="H7465" s="577" t="s">
        <v>3088</v>
      </c>
      <c r="I7465" s="579" t="s">
        <v>3119</v>
      </c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thickBot="1" x14ac:dyDescent="0.3">
      <c r="A7466" s="503">
        <f t="shared" si="228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1073"/>
      <c r="H7466" s="556" t="s">
        <v>3104</v>
      </c>
      <c r="I7466" s="558" t="s">
        <v>3104</v>
      </c>
      <c r="J7466" s="559"/>
      <c r="K7466" s="552"/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x14ac:dyDescent="0.25">
      <c r="A7467" s="1098">
        <f t="shared" si="228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1072"/>
      <c r="H7467" s="483" t="s">
        <v>3104</v>
      </c>
      <c r="I7467" s="484" t="s">
        <v>3104</v>
      </c>
      <c r="J7467" s="485"/>
      <c r="K7467" s="479"/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thickBot="1" x14ac:dyDescent="0.3">
      <c r="A7468" s="1100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87"/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1074" t="s">
        <v>715</v>
      </c>
      <c r="H7469" s="640" t="s">
        <v>3104</v>
      </c>
      <c r="I7469" s="642" t="s">
        <v>3104</v>
      </c>
      <c r="J7469" s="643"/>
      <c r="K7469" s="636"/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4"/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4"/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x14ac:dyDescent="0.25">
      <c r="A7472" s="1084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1065"/>
      <c r="H7472" s="483" t="s">
        <v>3106</v>
      </c>
      <c r="I7472" s="484" t="s">
        <v>3137</v>
      </c>
      <c r="J7472" s="485"/>
      <c r="K7472" s="479"/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3186</v>
      </c>
    </row>
    <row r="7473" spans="1:21" ht="19.5" thickBot="1" x14ac:dyDescent="0.3">
      <c r="A7473" s="1086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1064"/>
      <c r="H7473" s="649" t="s">
        <v>3106</v>
      </c>
      <c r="I7473" s="651" t="s">
        <v>3137</v>
      </c>
      <c r="J7473" s="652"/>
      <c r="K7473" s="645"/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3185</v>
      </c>
    </row>
    <row r="7474" spans="1:21" x14ac:dyDescent="0.25">
      <c r="A7474" s="1095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1066" t="s">
        <v>47</v>
      </c>
      <c r="H7474" s="535" t="s">
        <v>3106</v>
      </c>
      <c r="I7474" s="537" t="s">
        <v>3106</v>
      </c>
      <c r="J7474" s="538"/>
      <c r="K7474" s="531"/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21" ht="19.5" thickBot="1" x14ac:dyDescent="0.3">
      <c r="A7475" s="1097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1070"/>
      <c r="H7475" s="594" t="s">
        <v>3106</v>
      </c>
      <c r="I7475" s="596" t="s">
        <v>3106</v>
      </c>
      <c r="J7475" s="597"/>
      <c r="K7475" s="590"/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21" x14ac:dyDescent="0.25">
      <c r="A7476" s="1084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/>
      <c r="F7476" s="483" t="s">
        <v>16</v>
      </c>
      <c r="G7476" s="1067"/>
      <c r="H7476" s="483" t="s">
        <v>3119</v>
      </c>
      <c r="I7476" s="484"/>
      <c r="J7476" s="485"/>
      <c r="K7476" s="479"/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</row>
    <row r="7477" spans="1:21" ht="19.5" thickBot="1" x14ac:dyDescent="0.3">
      <c r="A7477" s="1086"/>
      <c r="B7477" s="645" t="s">
        <v>3088</v>
      </c>
      <c r="C7477" s="646" t="s">
        <v>952</v>
      </c>
      <c r="D7477" s="647">
        <v>2.0259999999999998</v>
      </c>
      <c r="E7477" s="648"/>
      <c r="F7477" s="649" t="s">
        <v>16</v>
      </c>
      <c r="G7477" s="1069"/>
      <c r="H7477" s="649" t="s">
        <v>3119</v>
      </c>
      <c r="I7477" s="651"/>
      <c r="J7477" s="652"/>
      <c r="K7477" s="645"/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</row>
    <row r="7478" spans="1:21" x14ac:dyDescent="0.25">
      <c r="A7478" s="1095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/>
      <c r="F7478" s="535" t="s">
        <v>16</v>
      </c>
      <c r="G7478" s="1068"/>
      <c r="H7478" s="535" t="s">
        <v>3119</v>
      </c>
      <c r="I7478" s="537"/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3126</v>
      </c>
    </row>
    <row r="7479" spans="1:21" x14ac:dyDescent="0.25">
      <c r="A7479" s="1097"/>
      <c r="B7479" s="563" t="s">
        <v>3088</v>
      </c>
      <c r="C7479" s="564" t="s">
        <v>15</v>
      </c>
      <c r="D7479" s="565">
        <v>8.4</v>
      </c>
      <c r="E7479" s="566"/>
      <c r="F7479" s="567" t="s">
        <v>16</v>
      </c>
      <c r="G7479" s="568"/>
      <c r="H7479" s="567" t="s">
        <v>3119</v>
      </c>
      <c r="I7479" s="569"/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  <c r="Q7479" s="847" t="str">
        <f t="shared" ref="Q7479:Q7482" si="229">O7479</f>
        <v>TSO001133969</v>
      </c>
      <c r="R7479" s="833" t="str">
        <f t="shared" ref="R7479:R7482" si="230">C7479</f>
        <v>Бердянск</v>
      </c>
      <c r="S7479" s="2" t="str">
        <f t="shared" ref="S7479:S7482" si="231">H7479</f>
        <v>11,10,26</v>
      </c>
      <c r="T7479" s="2">
        <f t="shared" ref="T7479:T7482" si="232">M7479</f>
        <v>8560.6200000000008</v>
      </c>
      <c r="U7479" s="1081">
        <v>2</v>
      </c>
    </row>
    <row r="7480" spans="1:21" ht="19.5" thickBot="1" x14ac:dyDescent="0.3">
      <c r="A7480" s="1096"/>
      <c r="B7480" s="636" t="s">
        <v>3088</v>
      </c>
      <c r="C7480" s="637" t="s">
        <v>24</v>
      </c>
      <c r="D7480" s="638">
        <v>4.8550000000000004</v>
      </c>
      <c r="E7480" s="639"/>
      <c r="F7480" s="640" t="s">
        <v>16</v>
      </c>
      <c r="G7480" s="1071"/>
      <c r="H7480" s="640" t="s">
        <v>3119</v>
      </c>
      <c r="I7480" s="642"/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3121</v>
      </c>
      <c r="Q7480" s="847" t="str">
        <f t="shared" si="229"/>
        <v>TSO001133968</v>
      </c>
      <c r="R7480" s="833" t="str">
        <f t="shared" si="230"/>
        <v>Мелитополь</v>
      </c>
      <c r="S7480" s="2" t="str">
        <f t="shared" si="231"/>
        <v>11,10,26</v>
      </c>
      <c r="T7480" s="2">
        <f t="shared" si="232"/>
        <v>4960.67</v>
      </c>
      <c r="U7480" s="1081">
        <v>2</v>
      </c>
    </row>
    <row r="7481" spans="1:21" x14ac:dyDescent="0.25">
      <c r="A7481" s="1084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/>
      <c r="F7481" s="483" t="s">
        <v>16</v>
      </c>
      <c r="G7481" s="1067"/>
      <c r="H7481" s="483" t="s">
        <v>3119</v>
      </c>
      <c r="I7481" s="484"/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3122</v>
      </c>
      <c r="Q7481" s="847" t="str">
        <f t="shared" si="229"/>
        <v>TSO001133972</v>
      </c>
      <c r="R7481" s="833" t="str">
        <f t="shared" si="230"/>
        <v>Бутырин</v>
      </c>
      <c r="S7481" s="2" t="str">
        <f t="shared" si="231"/>
        <v>11,10,26</v>
      </c>
      <c r="T7481" s="2">
        <f t="shared" si="232"/>
        <v>3111.66</v>
      </c>
      <c r="U7481" s="1082">
        <v>3</v>
      </c>
    </row>
    <row r="7482" spans="1:21" ht="19.5" thickBot="1" x14ac:dyDescent="0.3">
      <c r="A7482" s="1085"/>
      <c r="B7482" s="495" t="s">
        <v>3088</v>
      </c>
      <c r="C7482" s="496" t="s">
        <v>23</v>
      </c>
      <c r="D7482" s="497">
        <v>14.444000000000001</v>
      </c>
      <c r="E7482" s="498"/>
      <c r="F7482" s="499" t="s">
        <v>16</v>
      </c>
      <c r="G7482" s="1079"/>
      <c r="H7482" s="499" t="s">
        <v>3119</v>
      </c>
      <c r="I7482" s="500"/>
      <c r="J7482" s="501"/>
      <c r="K7482" s="495"/>
      <c r="L7482" s="499" t="s">
        <v>28</v>
      </c>
      <c r="M7482" s="499">
        <v>14539.51</v>
      </c>
      <c r="N7482" s="502">
        <v>0.45833333333333331</v>
      </c>
      <c r="O7482" s="897" t="s">
        <v>3123</v>
      </c>
      <c r="Q7482" s="847" t="str">
        <f t="shared" si="229"/>
        <v>TSO001133971</v>
      </c>
      <c r="R7482" s="833" t="str">
        <f t="shared" si="230"/>
        <v>Донецк</v>
      </c>
      <c r="S7482" s="2" t="str">
        <f t="shared" si="231"/>
        <v>11,10,26</v>
      </c>
      <c r="T7482" s="2">
        <f t="shared" si="232"/>
        <v>14539.51</v>
      </c>
      <c r="U7482" s="1082">
        <v>3</v>
      </c>
    </row>
    <row r="7483" spans="1:21" x14ac:dyDescent="0.25">
      <c r="A7483" s="1095">
        <f t="shared" ref="A7483:A7494" si="233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1080"/>
      <c r="H7483" s="535" t="s">
        <v>3119</v>
      </c>
      <c r="I7483" s="537" t="s">
        <v>3137</v>
      </c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3187</v>
      </c>
    </row>
    <row r="7484" spans="1:21" x14ac:dyDescent="0.25">
      <c r="A7484" s="1097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3188</v>
      </c>
    </row>
    <row r="7485" spans="1:21" ht="19.5" thickBot="1" x14ac:dyDescent="0.3">
      <c r="A7485" s="1096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1078" t="s">
        <v>1702</v>
      </c>
      <c r="H7485" s="640" t="s">
        <v>3119</v>
      </c>
      <c r="I7485" s="642" t="s">
        <v>3137</v>
      </c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3189</v>
      </c>
    </row>
    <row r="7486" spans="1:21" ht="19.5" thickBot="1" x14ac:dyDescent="0.3">
      <c r="A7486" s="513">
        <f t="shared" si="233"/>
        <v>4568</v>
      </c>
      <c r="B7486" s="514" t="s">
        <v>3104</v>
      </c>
      <c r="C7486" s="515" t="s">
        <v>26</v>
      </c>
      <c r="D7486" s="516">
        <v>14.151999999999999</v>
      </c>
      <c r="E7486" s="517"/>
      <c r="F7486" s="518" t="s">
        <v>30</v>
      </c>
      <c r="G7486" s="519"/>
      <c r="H7486" s="518" t="s">
        <v>3119</v>
      </c>
      <c r="I7486" s="520"/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Q7486" s="847">
        <v>14152</v>
      </c>
      <c r="R7486" s="833" t="s">
        <v>3009</v>
      </c>
    </row>
    <row r="7487" spans="1:21" ht="19.5" thickBot="1" x14ac:dyDescent="0.3">
      <c r="A7487" s="503">
        <f t="shared" si="233"/>
        <v>4569</v>
      </c>
      <c r="B7487" s="504" t="s">
        <v>3104</v>
      </c>
      <c r="C7487" s="505" t="s">
        <v>26</v>
      </c>
      <c r="D7487" s="506">
        <v>17.513000000000002</v>
      </c>
      <c r="E7487" s="507"/>
      <c r="F7487" s="508" t="s">
        <v>16</v>
      </c>
      <c r="G7487" s="509"/>
      <c r="H7487" s="508" t="s">
        <v>3137</v>
      </c>
      <c r="I7487" s="510"/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</row>
    <row r="7488" spans="1:21" x14ac:dyDescent="0.25">
      <c r="A7488" s="1084">
        <f t="shared" si="233"/>
        <v>4570</v>
      </c>
      <c r="B7488" s="479" t="s">
        <v>3104</v>
      </c>
      <c r="C7488" s="480" t="s">
        <v>15</v>
      </c>
      <c r="D7488" s="481">
        <v>3.339</v>
      </c>
      <c r="E7488" s="482"/>
      <c r="F7488" s="483" t="s">
        <v>16</v>
      </c>
      <c r="G7488" s="1077"/>
      <c r="H7488" s="483" t="s">
        <v>3137</v>
      </c>
      <c r="I7488" s="484"/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  <c r="Q7488" s="847" t="str">
        <f t="shared" ref="Q7488:Q7492" si="234">O7488</f>
        <v>TSO001134687</v>
      </c>
      <c r="R7488" s="833" t="str">
        <f t="shared" ref="R7488:R7492" si="235">C7488</f>
        <v>Бердянск</v>
      </c>
      <c r="S7488" s="2" t="str">
        <f t="shared" ref="S7488:S7492" si="236">H7488</f>
        <v>12,10,26</v>
      </c>
      <c r="T7488" s="2">
        <f t="shared" ref="T7488:T7492" si="237">M7488</f>
        <v>3466.6200000000003</v>
      </c>
      <c r="U7488" s="2">
        <v>4</v>
      </c>
    </row>
    <row r="7489" spans="1:21" x14ac:dyDescent="0.25">
      <c r="A7489" s="1085"/>
      <c r="B7489" s="523" t="s">
        <v>3104</v>
      </c>
      <c r="C7489" s="524" t="s">
        <v>24</v>
      </c>
      <c r="D7489" s="525">
        <v>10.218</v>
      </c>
      <c r="E7489" s="526"/>
      <c r="F7489" s="527" t="s">
        <v>16</v>
      </c>
      <c r="G7489" s="561"/>
      <c r="H7489" s="527" t="s">
        <v>3137</v>
      </c>
      <c r="I7489" s="528"/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  <c r="Q7489" s="847" t="str">
        <f t="shared" si="234"/>
        <v>TSO001134685</v>
      </c>
      <c r="R7489" s="833" t="str">
        <f t="shared" si="235"/>
        <v>Мелитополь</v>
      </c>
      <c r="S7489" s="2" t="str">
        <f t="shared" si="236"/>
        <v>12,10,26</v>
      </c>
      <c r="T7489" s="2">
        <f t="shared" si="237"/>
        <v>10412.210000000003</v>
      </c>
      <c r="U7489" s="2">
        <v>4</v>
      </c>
    </row>
    <row r="7490" spans="1:21" ht="19.5" thickBot="1" x14ac:dyDescent="0.3">
      <c r="A7490" s="1086"/>
      <c r="B7490" s="645" t="s">
        <v>3104</v>
      </c>
      <c r="C7490" s="646" t="s">
        <v>20</v>
      </c>
      <c r="D7490" s="647">
        <v>3.891</v>
      </c>
      <c r="E7490" s="648"/>
      <c r="F7490" s="649" t="s">
        <v>16</v>
      </c>
      <c r="G7490" s="1076"/>
      <c r="H7490" s="649" t="s">
        <v>3137</v>
      </c>
      <c r="I7490" s="651"/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  <c r="Q7490" s="847" t="str">
        <f t="shared" si="234"/>
        <v>TSO001134688</v>
      </c>
      <c r="R7490" s="833" t="str">
        <f t="shared" si="235"/>
        <v>Мариуполь</v>
      </c>
      <c r="S7490" s="2" t="str">
        <f t="shared" si="236"/>
        <v>12,10,26</v>
      </c>
      <c r="T7490" s="2">
        <f t="shared" si="237"/>
        <v>4034.2400000000007</v>
      </c>
      <c r="U7490" s="2">
        <v>4</v>
      </c>
    </row>
    <row r="7491" spans="1:21" ht="19.5" thickBot="1" x14ac:dyDescent="0.3">
      <c r="A7491" s="503">
        <f t="shared" si="233"/>
        <v>4571</v>
      </c>
      <c r="B7491" s="504" t="s">
        <v>3104</v>
      </c>
      <c r="C7491" s="505" t="s">
        <v>47</v>
      </c>
      <c r="D7491" s="506">
        <v>17.593</v>
      </c>
      <c r="E7491" s="507"/>
      <c r="F7491" s="508" t="s">
        <v>16</v>
      </c>
      <c r="G7491" s="509"/>
      <c r="H7491" s="508" t="s">
        <v>3137</v>
      </c>
      <c r="I7491" s="510"/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  <c r="Q7491" s="847" t="str">
        <f t="shared" si="234"/>
        <v>TSO001134703</v>
      </c>
      <c r="R7491" s="833" t="str">
        <f t="shared" si="235"/>
        <v>Луганск</v>
      </c>
      <c r="S7491" s="2" t="str">
        <f t="shared" si="236"/>
        <v>12,10,26</v>
      </c>
      <c r="T7491" s="2">
        <f t="shared" si="237"/>
        <v>17814.129999999997</v>
      </c>
      <c r="U7491" s="1083">
        <v>5</v>
      </c>
    </row>
    <row r="7492" spans="1:21" ht="38.25" thickBot="1" x14ac:dyDescent="0.3">
      <c r="A7492" s="513">
        <f t="shared" si="233"/>
        <v>4572</v>
      </c>
      <c r="B7492" s="514" t="s">
        <v>3104</v>
      </c>
      <c r="C7492" s="515" t="s">
        <v>23</v>
      </c>
      <c r="D7492" s="516">
        <v>16.576000000000001</v>
      </c>
      <c r="E7492" s="517"/>
      <c r="F7492" s="518" t="s">
        <v>16</v>
      </c>
      <c r="G7492" s="519" t="s">
        <v>1633</v>
      </c>
      <c r="H7492" s="518" t="s">
        <v>3137</v>
      </c>
      <c r="I7492" s="520"/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  <c r="Q7492" s="847" t="str">
        <f t="shared" si="234"/>
        <v>TSO001134708</v>
      </c>
      <c r="R7492" s="833" t="str">
        <f t="shared" si="235"/>
        <v>Донецк</v>
      </c>
      <c r="S7492" s="2" t="str">
        <f t="shared" si="236"/>
        <v>12,10,26</v>
      </c>
      <c r="T7492" s="2">
        <f t="shared" si="237"/>
        <v>16723.899999999998</v>
      </c>
      <c r="U7492" s="2">
        <v>6</v>
      </c>
    </row>
    <row r="7493" spans="1:21" ht="19.5" thickBot="1" x14ac:dyDescent="0.3">
      <c r="A7493" s="503">
        <f t="shared" si="233"/>
        <v>4573</v>
      </c>
      <c r="B7493" s="504" t="s">
        <v>3104</v>
      </c>
      <c r="C7493" s="505" t="s">
        <v>47</v>
      </c>
      <c r="D7493" s="506">
        <v>11.917999999999999</v>
      </c>
      <c r="E7493" s="507"/>
      <c r="F7493" s="508" t="s">
        <v>30</v>
      </c>
      <c r="G7493" s="509"/>
      <c r="H7493" s="508" t="s">
        <v>3137</v>
      </c>
      <c r="I7493" s="510"/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  <c r="Q7493" s="847" t="str">
        <f t="shared" ref="Q7493:Q7494" si="238">O7493</f>
        <v>TSO001134750</v>
      </c>
      <c r="R7493" s="833" t="str">
        <f t="shared" ref="R7493:R7494" si="239">C7493</f>
        <v>Луганск</v>
      </c>
      <c r="S7493" s="2" t="str">
        <f t="shared" ref="S7493:S7494" si="240">H7493</f>
        <v>12,10,26</v>
      </c>
      <c r="T7493" s="2">
        <f t="shared" ref="T7493:T7494" si="241">M7493</f>
        <v>11918.440000000002</v>
      </c>
      <c r="U7493" s="2" t="s">
        <v>3181</v>
      </c>
    </row>
    <row r="7494" spans="1:21" ht="19.5" thickBot="1" x14ac:dyDescent="0.3">
      <c r="A7494" s="513">
        <f t="shared" si="233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3137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  <c r="Q7494" s="847" t="str">
        <f t="shared" si="238"/>
        <v>TSO001134776</v>
      </c>
      <c r="R7494" s="833" t="str">
        <f t="shared" si="239"/>
        <v>Горняк</v>
      </c>
      <c r="S7494" s="2" t="str">
        <f t="shared" si="240"/>
        <v>12,10,26</v>
      </c>
      <c r="T7494" s="2">
        <f t="shared" si="241"/>
        <v>12260.56</v>
      </c>
      <c r="U7494" s="2" t="s">
        <v>3182</v>
      </c>
    </row>
    <row r="7495" spans="1:21" x14ac:dyDescent="0.25">
      <c r="A7495" s="1095">
        <f t="shared" ref="A7495:A7508" si="242">MAX(A7268:A7494)+1</f>
        <v>4575</v>
      </c>
      <c r="B7495" s="531" t="s">
        <v>3104</v>
      </c>
      <c r="C7495" s="532" t="s">
        <v>913</v>
      </c>
      <c r="D7495" s="533">
        <v>2.395</v>
      </c>
      <c r="E7495" s="534"/>
      <c r="F7495" s="535" t="s">
        <v>30</v>
      </c>
      <c r="G7495" s="1080"/>
      <c r="H7495" s="535" t="s">
        <v>3137</v>
      </c>
      <c r="I7495" s="537"/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</row>
    <row r="7496" spans="1:21" ht="19.5" thickBot="1" x14ac:dyDescent="0.3">
      <c r="A7496" s="1096"/>
      <c r="B7496" s="636" t="s">
        <v>3104</v>
      </c>
      <c r="C7496" s="637" t="s">
        <v>23</v>
      </c>
      <c r="D7496" s="638">
        <v>9.9280000000000008</v>
      </c>
      <c r="E7496" s="639"/>
      <c r="F7496" s="640" t="s">
        <v>30</v>
      </c>
      <c r="G7496" s="1078"/>
      <c r="H7496" s="640" t="s">
        <v>3137</v>
      </c>
      <c r="I7496" s="642"/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Q7496" s="847" t="str">
        <f t="shared" ref="Q7496" si="243">O7496</f>
        <v>TSO001134746</v>
      </c>
      <c r="R7496" s="833" t="str">
        <f t="shared" ref="R7496" si="244">C7496</f>
        <v>Донецк</v>
      </c>
      <c r="S7496" s="2" t="str">
        <f t="shared" ref="S7496" si="245">H7496</f>
        <v>12,10,26</v>
      </c>
      <c r="T7496" s="2">
        <f t="shared" ref="T7496" si="246">M7496</f>
        <v>9928.64</v>
      </c>
      <c r="U7496" s="2" t="s">
        <v>3183</v>
      </c>
    </row>
    <row r="7497" spans="1:21" ht="19.5" thickBot="1" x14ac:dyDescent="0.3">
      <c r="A7497" s="513">
        <f t="shared" si="242"/>
        <v>4576</v>
      </c>
      <c r="B7497" s="514" t="s">
        <v>3104</v>
      </c>
      <c r="C7497" s="515" t="s">
        <v>26</v>
      </c>
      <c r="D7497" s="516">
        <v>17.483000000000001</v>
      </c>
      <c r="E7497" s="517"/>
      <c r="F7497" s="518" t="s">
        <v>16</v>
      </c>
      <c r="G7497" s="519"/>
      <c r="H7497" s="518" t="s">
        <v>3139</v>
      </c>
      <c r="I7497" s="520"/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</row>
    <row r="7498" spans="1:21" ht="19.5" thickBot="1" x14ac:dyDescent="0.3">
      <c r="A7498" s="503">
        <f t="shared" si="242"/>
        <v>4577</v>
      </c>
      <c r="B7498" s="504" t="s">
        <v>3104</v>
      </c>
      <c r="C7498" s="505" t="s">
        <v>26</v>
      </c>
      <c r="D7498" s="506">
        <v>15.032</v>
      </c>
      <c r="E7498" s="507"/>
      <c r="F7498" s="508" t="s">
        <v>30</v>
      </c>
      <c r="G7498" s="509"/>
      <c r="H7498" s="508" t="s">
        <v>3139</v>
      </c>
      <c r="I7498" s="510"/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</row>
    <row r="7499" spans="1:21" ht="38.25" thickBot="1" x14ac:dyDescent="0.3">
      <c r="A7499" s="513">
        <f t="shared" si="242"/>
        <v>4578</v>
      </c>
      <c r="B7499" s="514" t="s">
        <v>3104</v>
      </c>
      <c r="C7499" s="515" t="s">
        <v>47</v>
      </c>
      <c r="D7499" s="516">
        <v>17.097999999999999</v>
      </c>
      <c r="E7499" s="517"/>
      <c r="F7499" s="518" t="s">
        <v>16</v>
      </c>
      <c r="G7499" s="519" t="s">
        <v>1634</v>
      </c>
      <c r="H7499" s="518" t="s">
        <v>3139</v>
      </c>
      <c r="I7499" s="520"/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  <c r="Q7499" s="847" t="str">
        <f t="shared" ref="Q7499:Q7503" si="247">O7499</f>
        <v>TSO001134739</v>
      </c>
      <c r="R7499" s="833" t="str">
        <f t="shared" ref="R7499:R7503" si="248">C7499</f>
        <v>Луганск</v>
      </c>
      <c r="S7499" s="2" t="str">
        <f t="shared" ref="S7499:S7503" si="249">H7499</f>
        <v>13,10,26</v>
      </c>
      <c r="T7499" s="2">
        <f t="shared" ref="T7499:T7503" si="250">M7499</f>
        <v>17222.939999999999</v>
      </c>
      <c r="U7499" s="2">
        <v>7</v>
      </c>
    </row>
    <row r="7500" spans="1:21" ht="19.5" thickBot="1" x14ac:dyDescent="0.3">
      <c r="A7500" s="503">
        <f t="shared" si="242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3139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  <c r="Q7500" s="847" t="str">
        <f t="shared" si="247"/>
        <v>TSO001134743</v>
      </c>
      <c r="R7500" s="833" t="str">
        <f t="shared" si="248"/>
        <v>Донецк</v>
      </c>
      <c r="S7500" s="2" t="str">
        <f t="shared" si="249"/>
        <v>13,10,26</v>
      </c>
      <c r="T7500" s="2">
        <f t="shared" si="250"/>
        <v>17705.48</v>
      </c>
      <c r="U7500" s="2">
        <v>8</v>
      </c>
    </row>
    <row r="7501" spans="1:21" x14ac:dyDescent="0.25">
      <c r="A7501" s="1084">
        <f t="shared" si="242"/>
        <v>4580</v>
      </c>
      <c r="B7501" s="479" t="s">
        <v>3104</v>
      </c>
      <c r="C7501" s="480" t="s">
        <v>15</v>
      </c>
      <c r="D7501" s="481">
        <v>5.6550000000000002</v>
      </c>
      <c r="E7501" s="482"/>
      <c r="F7501" s="483" t="s">
        <v>30</v>
      </c>
      <c r="G7501" s="1077"/>
      <c r="H7501" s="483" t="s">
        <v>3139</v>
      </c>
      <c r="I7501" s="484"/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  <c r="Q7501" s="847" t="str">
        <f t="shared" si="247"/>
        <v>TSO001134779</v>
      </c>
      <c r="R7501" s="833" t="str">
        <f t="shared" si="248"/>
        <v>Бердянск</v>
      </c>
      <c r="S7501" s="2" t="str">
        <f t="shared" si="249"/>
        <v>13,10,26</v>
      </c>
      <c r="T7501" s="2">
        <f t="shared" si="250"/>
        <v>5655.6</v>
      </c>
      <c r="U7501" s="2" t="s">
        <v>3184</v>
      </c>
    </row>
    <row r="7502" spans="1:21" x14ac:dyDescent="0.25">
      <c r="A7502" s="1085"/>
      <c r="B7502" s="523" t="s">
        <v>3104</v>
      </c>
      <c r="C7502" s="524" t="s">
        <v>24</v>
      </c>
      <c r="D7502" s="525">
        <v>5.7779999999999996</v>
      </c>
      <c r="E7502" s="526"/>
      <c r="F7502" s="527" t="s">
        <v>30</v>
      </c>
      <c r="G7502" s="561"/>
      <c r="H7502" s="527" t="s">
        <v>3139</v>
      </c>
      <c r="I7502" s="528"/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  <c r="Q7502" s="847" t="str">
        <f t="shared" si="247"/>
        <v>TSO001134777</v>
      </c>
      <c r="R7502" s="833" t="str">
        <f t="shared" si="248"/>
        <v>Мелитополь</v>
      </c>
      <c r="S7502" s="2" t="str">
        <f t="shared" si="249"/>
        <v>13,10,26</v>
      </c>
      <c r="T7502" s="2">
        <f t="shared" si="250"/>
        <v>5778.7599999999993</v>
      </c>
      <c r="U7502" s="2" t="s">
        <v>3184</v>
      </c>
    </row>
    <row r="7503" spans="1:21" ht="19.5" thickBot="1" x14ac:dyDescent="0.3">
      <c r="A7503" s="1086"/>
      <c r="B7503" s="645" t="s">
        <v>3104</v>
      </c>
      <c r="C7503" s="646" t="s">
        <v>20</v>
      </c>
      <c r="D7503" s="647">
        <v>3.6389999999999998</v>
      </c>
      <c r="E7503" s="648"/>
      <c r="F7503" s="649" t="s">
        <v>30</v>
      </c>
      <c r="G7503" s="1076"/>
      <c r="H7503" s="649" t="s">
        <v>3139</v>
      </c>
      <c r="I7503" s="651"/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  <c r="Q7503" s="847" t="str">
        <f t="shared" si="247"/>
        <v>TSO001134782</v>
      </c>
      <c r="R7503" s="833" t="str">
        <f t="shared" si="248"/>
        <v>Мариуполь</v>
      </c>
      <c r="S7503" s="2" t="str">
        <f t="shared" si="249"/>
        <v>13,10,26</v>
      </c>
      <c r="T7503" s="2">
        <f t="shared" si="250"/>
        <v>3639.96</v>
      </c>
      <c r="U7503" s="2" t="s">
        <v>3184</v>
      </c>
    </row>
    <row r="7504" spans="1:21" ht="38.25" thickBot="1" x14ac:dyDescent="0.3">
      <c r="A7504" s="503">
        <f t="shared" si="242"/>
        <v>4581</v>
      </c>
      <c r="B7504" s="504" t="s">
        <v>2988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3146</v>
      </c>
      <c r="H7504" s="508" t="s">
        <v>3145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</row>
    <row r="7505" spans="1:14" x14ac:dyDescent="0.25">
      <c r="A7505" s="676">
        <f t="shared" si="242"/>
        <v>4582</v>
      </c>
      <c r="B7505" s="676"/>
      <c r="C7505" s="473"/>
      <c r="D7505" s="474"/>
      <c r="E7505" s="475"/>
      <c r="F7505" s="676"/>
      <c r="G7505" s="476"/>
      <c r="H7505" s="676"/>
      <c r="I7505" s="477"/>
      <c r="J7505" s="1075"/>
      <c r="K7505" s="676"/>
      <c r="L7505" s="676"/>
      <c r="M7505" s="676"/>
      <c r="N7505" s="676"/>
    </row>
    <row r="7506" spans="1:14" x14ac:dyDescent="0.25">
      <c r="A7506" s="676">
        <f t="shared" si="242"/>
        <v>4583</v>
      </c>
      <c r="B7506" s="676"/>
      <c r="C7506" s="473"/>
      <c r="D7506" s="474"/>
      <c r="E7506" s="475"/>
      <c r="F7506" s="676"/>
      <c r="G7506" s="476"/>
      <c r="H7506" s="676"/>
      <c r="I7506" s="477"/>
      <c r="J7506" s="1075"/>
      <c r="K7506" s="676"/>
      <c r="L7506" s="676"/>
      <c r="M7506" s="676"/>
      <c r="N7506" s="676"/>
    </row>
    <row r="7507" spans="1:14" x14ac:dyDescent="0.25">
      <c r="A7507" s="676">
        <f t="shared" si="242"/>
        <v>4584</v>
      </c>
      <c r="B7507" s="676"/>
      <c r="C7507" s="473"/>
      <c r="D7507" s="474"/>
      <c r="E7507" s="475"/>
      <c r="F7507" s="676"/>
      <c r="G7507" s="476"/>
      <c r="H7507" s="676"/>
      <c r="I7507" s="477"/>
      <c r="J7507" s="1075"/>
      <c r="K7507" s="676"/>
      <c r="L7507" s="676"/>
      <c r="M7507" s="676"/>
      <c r="N7507" s="676"/>
    </row>
    <row r="7508" spans="1:14" x14ac:dyDescent="0.25">
      <c r="A7508" s="676">
        <f t="shared" si="242"/>
        <v>4585</v>
      </c>
      <c r="B7508" s="676"/>
      <c r="C7508" s="473"/>
      <c r="D7508" s="474"/>
      <c r="E7508" s="475"/>
      <c r="F7508" s="676"/>
      <c r="G7508" s="476"/>
      <c r="H7508" s="676"/>
      <c r="I7508" s="477"/>
      <c r="J7508" s="1075"/>
      <c r="K7508" s="676"/>
      <c r="L7508" s="676"/>
      <c r="M7508" s="676"/>
      <c r="N7508" s="676"/>
    </row>
  </sheetData>
  <autoFilter ref="A2:R7508" xr:uid="{9E4C531E-AD50-422A-AC7C-8C5AF4C19268}">
    <filterColumn colId="10">
      <filters blank="1"/>
    </filterColumn>
  </autoFilter>
  <mergeCells count="2004"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A7501:A750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7058:A7061"/>
    <mergeCell ref="G6948:G695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2026-10-12T11:18:09Z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