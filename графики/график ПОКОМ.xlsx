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20693FAB-F46C-4037-840C-F876B7FD53BB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Лист1!$A$2:$R$7235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s="1"/>
  <c r="A7088" i="1" s="1"/>
  <c r="A7089" i="1" s="1"/>
  <c r="A7090" i="1" s="1"/>
  <c r="A7091" i="1" s="1"/>
  <c r="A7092" i="1" s="1"/>
  <c r="A7093" i="1" s="1"/>
  <c r="A7095" i="1" s="1"/>
  <c r="A7097" i="1" s="1"/>
  <c r="A7103" i="1" s="1"/>
  <c r="A7104" i="1" s="1"/>
  <c r="A7106" i="1" s="1"/>
  <c r="A7110" i="1" s="1"/>
  <c r="A7112" i="1" s="1"/>
  <c r="A7115" i="1" s="1"/>
  <c r="A7119" i="1" s="1"/>
  <c r="A7120" i="1" s="1"/>
  <c r="A7124" i="1" s="1"/>
  <c r="A7125" i="1" s="1"/>
  <c r="A7126" i="1" s="1"/>
  <c r="A7127" i="1" s="1"/>
  <c r="A7129" i="1" l="1"/>
  <c r="A7131" i="1" s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s="1"/>
  <c r="A7167" i="1" s="1"/>
  <c r="A7169" i="1" s="1"/>
  <c r="A7172" i="1" s="1"/>
  <c r="A7173" i="1" s="1"/>
  <c r="A7177" i="1" s="1"/>
  <c r="A7180" i="1" s="1"/>
  <c r="A7183" i="1" s="1"/>
  <c r="A7184" i="1" s="1"/>
  <c r="A7185" i="1" s="1"/>
  <c r="A7188" i="1" s="1"/>
  <c r="A7191" i="1" s="1"/>
  <c r="A7195" i="1" l="1"/>
  <c r="A7196" i="1" s="1"/>
  <c r="A7199" i="1" l="1"/>
  <c r="A7201" i="1" l="1"/>
  <c r="A7204" i="1" l="1"/>
  <c r="A7206" i="1" s="1"/>
  <c r="A7208" i="1" l="1"/>
  <c r="A7209" i="1" s="1"/>
  <c r="A7211" i="1" l="1"/>
  <c r="A7212" i="1" l="1"/>
  <c r="A7213" i="1" s="1"/>
  <c r="A7214" i="1" s="1"/>
  <c r="A7215" i="1" s="1"/>
  <c r="A7216" i="1" l="1"/>
  <c r="A7217" i="1" s="1"/>
  <c r="A7218" i="1" s="1"/>
  <c r="A7219" i="1" s="1"/>
  <c r="A7220" i="1" s="1"/>
  <c r="A7221" i="1" s="1"/>
  <c r="A7222" i="1" l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</calcChain>
</file>

<file path=xl/sharedStrings.xml><?xml version="1.0" encoding="utf-8"?>
<sst xmlns="http://schemas.openxmlformats.org/spreadsheetml/2006/main" count="46469" uniqueCount="2575">
  <si>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</si>
  <si>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</si>
  <si>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</si>
  <si>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</si>
  <si>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</si>
  <si>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</si>
  <si>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</si>
  <si>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</si>
  <si>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</si>
  <si>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</si>
  <si>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</si>
  <si>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</si>
  <si>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</si>
  <si>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</si>
  <si>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</si>
  <si>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</si>
  <si>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</si>
  <si>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</si>
  <si>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</si>
  <si>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</si>
  <si>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</si>
  <si>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</si>
  <si>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</si>
  <si>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</si>
  <si>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</si>
  <si>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</si>
  <si>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</si>
  <si>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</si>
  <si>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</si>
  <si>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</si>
  <si>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</si>
  <si>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</si>
  <si>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</si>
  <si>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</si>
  <si>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</si>
  <si>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</si>
  <si>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</si>
  <si>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</si>
  <si>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</si>
  <si>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</si>
  <si>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</si>
  <si>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</si>
  <si>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</si>
  <si>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</si>
  <si>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</si>
  <si>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</si>
  <si>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</si>
  <si>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</si>
  <si>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</si>
  <si>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</si>
  <si>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</si>
  <si>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</si>
  <si>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</si>
  <si>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</si>
  <si>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</si>
  <si>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</si>
  <si>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</si>
  <si>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</si>
  <si>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</si>
  <si>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</si>
  <si>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</si>
  <si>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</si>
  <si>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</si>
  <si>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</si>
  <si>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</si>
  <si>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</si>
  <si>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</si>
  <si>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</si>
  <si>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</si>
  <si>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</si>
  <si>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</si>
  <si>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</si>
  <si>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</si>
  <si>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</si>
  <si>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</si>
  <si>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</si>
  <si>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</si>
  <si>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</si>
  <si>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</si>
  <si>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</si>
  <si>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</si>
  <si>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</si>
  <si>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</si>
  <si>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</si>
  <si>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</si>
  <si>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</si>
  <si>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</si>
  <si>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</si>
  <si>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</si>
  <si>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</si>
  <si>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</si>
  <si>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</si>
  <si>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</si>
  <si>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</si>
  <si>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</si>
  <si>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</si>
  <si>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</si>
  <si>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</si>
  <si>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</si>
  <si>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</si>
  <si>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</si>
  <si>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</si>
  <si>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</si>
  <si>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</si>
  <si>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</si>
  <si>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</si>
  <si>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</si>
  <si>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</si>
  <si>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</si>
  <si>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</si>
  <si>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</si>
  <si>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</si>
  <si>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</si>
  <si>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</si>
  <si>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</si>
  <si>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</si>
  <si>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</si>
  <si>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</si>
  <si>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</si>
  <si>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</si>
  <si>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</si>
  <si>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</si>
  <si>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</si>
  <si>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</si>
  <si>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</si>
  <si>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</si>
  <si>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</si>
  <si>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</si>
  <si>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</si>
  <si>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</si>
  <si>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</si>
  <si>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</si>
  <si>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</si>
  <si>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</si>
  <si>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</si>
  <si>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</si>
  <si>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</si>
  <si>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</si>
  <si>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</si>
  <si>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</si>
  <si>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</si>
  <si>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</si>
  <si>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</si>
  <si>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</si>
  <si>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</si>
  <si>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</si>
  <si>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</si>
  <si>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</si>
  <si>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</si>
  <si>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</si>
  <si>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</si>
  <si>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</si>
  <si>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</si>
  <si>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</si>
  <si>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</si>
  <si>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</si>
  <si>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</si>
  <si>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</si>
  <si>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</si>
  <si>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</si>
  <si>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</si>
  <si>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</si>
  <si>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</si>
  <si>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</si>
  <si>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</si>
  <si>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</si>
  <si>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</si>
  <si>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</si>
  <si>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</si>
  <si>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</si>
  <si>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</si>
  <si>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</si>
  <si>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</si>
  <si>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</si>
  <si>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</si>
  <si>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</si>
  <si>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</si>
  <si>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</si>
  <si>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</si>
  <si>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</si>
  <si>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</si>
  <si>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</si>
  <si>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</si>
  <si>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</si>
  <si>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</si>
  <si>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</si>
  <si>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</si>
  <si>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</si>
  <si>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</si>
  <si>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</si>
  <si>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</si>
  <si>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</si>
  <si>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</si>
  <si>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</si>
  <si>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</si>
  <si>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</si>
  <si>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</si>
  <si>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</si>
  <si>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</si>
  <si>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</si>
  <si>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</si>
  <si>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</si>
  <si>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</si>
  <si>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</si>
  <si>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</si>
  <si>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</si>
  <si>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</si>
  <si>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</si>
  <si>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</si>
  <si>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</si>
  <si>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</si>
  <si>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</si>
  <si>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</si>
  <si>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</si>
  <si>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</si>
  <si>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</si>
  <si>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</si>
  <si>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</si>
  <si>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</si>
  <si>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</si>
  <si>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</si>
  <si>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</si>
  <si>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</si>
  <si>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</si>
  <si>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</si>
  <si>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</si>
  <si>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</si>
  <si>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</si>
  <si>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</si>
  <si>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</si>
  <si>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</si>
  <si>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</si>
  <si>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</si>
  <si>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</si>
  <si>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</si>
  <si>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</si>
  <si>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</si>
  <si>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</si>
  <si>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</si>
  <si>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</si>
  <si>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</si>
  <si>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</si>
  <si>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</si>
  <si>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</si>
  <si>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</si>
  <si>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</si>
  <si>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</si>
  <si>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</si>
  <si>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</si>
  <si>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</si>
  <si>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</si>
  <si>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</si>
  <si>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</si>
  <si>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</si>
  <si>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</si>
  <si>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</si>
  <si>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</si>
  <si>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</si>
  <si>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</si>
  <si>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</si>
  <si>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</si>
  <si>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</si>
  <si>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</si>
  <si>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</si>
  <si>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</si>
  <si>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</si>
  <si>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</si>
  <si>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</si>
  <si>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</si>
  <si>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</si>
  <si>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</si>
  <si>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</si>
  <si>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</si>
  <si>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</si>
  <si>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</si>
  <si>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</si>
  <si>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</si>
  <si>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</si>
  <si>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</si>
  <si>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</si>
  <si>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</si>
  <si>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</si>
  <si>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</si>
  <si>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</si>
  <si>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</si>
  <si>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</si>
  <si>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</si>
  <si>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</si>
  <si>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</si>
  <si>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</si>
  <si>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</si>
  <si>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</si>
  <si>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</si>
  <si>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</si>
  <si>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</si>
  <si>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</si>
  <si>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</si>
  <si>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</si>
  <si>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</si>
  <si>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</si>
  <si>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</si>
  <si>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</si>
  <si>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</si>
  <si>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</si>
  <si>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</si>
  <si>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</si>
  <si>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</si>
  <si>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</si>
  <si>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</si>
  <si>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</si>
  <si>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</si>
  <si>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</si>
  <si>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</si>
  <si>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</si>
  <si>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</si>
  <si>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</si>
  <si>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</si>
  <si>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</si>
  <si>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</si>
  <si>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</si>
  <si>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</si>
  <si>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</si>
  <si>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</si>
  <si>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</si>
  <si>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</si>
  <si>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</si>
  <si>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</si>
  <si>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</si>
  <si>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</si>
  <si>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</si>
  <si>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</si>
  <si>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</si>
  <si>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</si>
  <si>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</si>
  <si>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</si>
  <si>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</si>
  <si>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</si>
  <si>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</si>
  <si>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</si>
  <si>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</si>
  <si>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</si>
  <si>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</si>
  <si>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</si>
  <si>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</si>
  <si>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</si>
  <si>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</si>
  <si>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</si>
  <si>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</si>
  <si>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</si>
  <si>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</si>
  <si>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</si>
  <si>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</si>
  <si>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</si>
  <si>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</si>
  <si>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</si>
  <si>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</si>
  <si>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</si>
  <si>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</si>
  <si>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</si>
  <si>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</si>
  <si>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</si>
  <si>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</si>
  <si>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</si>
  <si>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</si>
  <si>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</si>
  <si>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</si>
  <si>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</si>
  <si>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</si>
  <si>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</si>
  <si>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</si>
  <si>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</si>
  <si>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</si>
  <si>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</si>
  <si>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</si>
  <si>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</si>
  <si>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</si>
  <si>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</si>
  <si>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</si>
  <si>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</si>
  <si>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</si>
  <si>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</si>
  <si>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</si>
  <si>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</si>
  <si>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</si>
  <si>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</si>
  <si>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</si>
  <si>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</si>
  <si>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</si>
  <si>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</si>
  <si>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</si>
  <si>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</si>
  <si>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</si>
  <si>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</si>
  <si>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</si>
  <si>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</si>
  <si>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</si>
  <si>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</si>
  <si>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</si>
  <si>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</si>
  <si>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</si>
  <si>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</si>
  <si>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</si>
  <si>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</si>
  <si>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</si>
  <si>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</si>
  <si>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</si>
  <si>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</si>
  <si>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</si>
  <si>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</si>
  <si>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</si>
  <si>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</si>
  <si>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</si>
  <si>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</si>
  <si>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</si>
  <si>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</si>
  <si>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</si>
  <si>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</si>
  <si>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</si>
  <si>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</si>
  <si>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</si>
  <si>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</si>
  <si>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</si>
  <si>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</si>
  <si>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</si>
  <si>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</si>
  <si>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</si>
  <si>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</si>
  <si>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</si>
  <si>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</si>
  <si>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</si>
  <si>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</si>
  <si>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</si>
  <si>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</si>
  <si>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</si>
  <si>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</si>
  <si>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</si>
  <si>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</si>
  <si>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</si>
  <si>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</si>
  <si>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</si>
  <si>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</si>
  <si>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</si>
  <si>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</si>
  <si>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</si>
  <si>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</si>
  <si>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</si>
  <si>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</si>
  <si>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</si>
  <si>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</si>
  <si>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</si>
  <si>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</si>
  <si>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</si>
  <si>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</si>
  <si>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</si>
  <si>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</si>
  <si>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</si>
  <si>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</si>
  <si>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</si>
  <si>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</si>
  <si>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</si>
  <si>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</si>
  <si>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</si>
  <si>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</si>
  <si>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</si>
  <si>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</si>
  <si>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</si>
  <si>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</si>
  <si>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</si>
  <si>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</si>
  <si>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</si>
  <si>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</si>
  <si>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</si>
  <si>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</si>
  <si>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</si>
  <si>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</si>
  <si>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</si>
  <si>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</si>
  <si>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</si>
  <si>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</si>
  <si>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</si>
  <si>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</si>
  <si>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</si>
  <si>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</si>
  <si>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</si>
  <si>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</si>
  <si>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</si>
  <si>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</si>
  <si>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</si>
  <si>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</si>
  <si>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</si>
  <si>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</si>
  <si>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</si>
  <si>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</si>
  <si>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</si>
  <si>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</si>
  <si>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</si>
  <si>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</si>
  <si>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</si>
  <si>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</si>
  <si>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</si>
  <si>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</si>
  <si>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</si>
  <si>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</si>
  <si>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</si>
  <si>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</si>
  <si>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</si>
  <si>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</si>
  <si>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</si>
  <si>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</si>
  <si>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</si>
  <si>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</si>
  <si>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</si>
  <si>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</si>
  <si>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</si>
  <si>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</si>
  <si>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</si>
  <si>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</si>
  <si>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</si>
  <si>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</si>
  <si>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</si>
  <si>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</si>
  <si>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</si>
  <si>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</si>
  <si>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</si>
  <si>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</si>
  <si>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</si>
  <si>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</si>
  <si>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</si>
  <si>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</si>
  <si>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</si>
  <si>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</si>
  <si>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</si>
  <si>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</si>
  <si>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</si>
  <si>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</si>
  <si>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</si>
  <si>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</si>
  <si>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</si>
  <si>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</si>
  <si>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</si>
  <si>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</si>
  <si>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</si>
  <si>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</si>
  <si>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</si>
  <si>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</si>
  <si>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</si>
  <si>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</si>
  <si>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</si>
  <si>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</si>
  <si>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</si>
  <si>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</si>
  <si>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</si>
  <si>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</si>
  <si>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</si>
  <si>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</si>
  <si>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</si>
  <si>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</si>
  <si>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</si>
  <si>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</si>
  <si>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</si>
  <si>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</si>
  <si>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</si>
  <si>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</si>
  <si>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</si>
  <si>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</si>
  <si>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</si>
  <si>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</si>
  <si>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</si>
  <si>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</si>
  <si>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</si>
  <si>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</si>
  <si>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</si>
  <si>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</si>
  <si>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</si>
  <si>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</si>
  <si>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</si>
  <si>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</si>
  <si>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</si>
  <si>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</si>
  <si>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</si>
  <si>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</si>
  <si>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</si>
  <si>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</si>
  <si>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</si>
  <si>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</si>
  <si>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</si>
  <si>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</si>
  <si>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</si>
  <si>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</si>
  <si>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</si>
  <si>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</si>
  <si>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</si>
  <si>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</si>
  <si>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</si>
  <si>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</si>
  <si>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</si>
  <si>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</si>
  <si>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</si>
  <si>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</si>
  <si>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</si>
  <si>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</si>
  <si>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</si>
  <si>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</si>
  <si>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</si>
  <si>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</si>
  <si>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</si>
  <si>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</si>
  <si>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</si>
  <si>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</si>
  <si>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</si>
  <si>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</si>
  <si>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</si>
  <si>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</si>
  <si>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</si>
  <si>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</si>
  <si>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</si>
  <si>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</si>
  <si>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</si>
  <si>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</si>
  <si>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</si>
  <si>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</si>
  <si>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</si>
  <si>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</si>
  <si>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</si>
  <si>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</si>
  <si>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</si>
  <si>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</si>
  <si>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</si>
  <si>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</si>
  <si>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</si>
  <si>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</si>
  <si>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</si>
  <si>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</si>
  <si>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</si>
  <si>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</si>
  <si>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</si>
  <si>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</si>
  <si>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</si>
  <si>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</si>
  <si>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</si>
  <si>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</si>
  <si>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</si>
  <si>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</si>
  <si>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</si>
  <si>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</si>
  <si>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</si>
  <si>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</si>
  <si>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</si>
  <si>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</si>
  <si>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</si>
  <si>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</si>
  <si>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</si>
  <si>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</si>
  <si>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</si>
  <si>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</si>
  <si>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</si>
  <si>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</si>
  <si>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</si>
  <si>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</si>
  <si>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</si>
  <si>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</si>
  <si>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</si>
  <si>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</si>
  <si>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</si>
  <si>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</si>
  <si>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</si>
  <si>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</si>
  <si>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</si>
  <si>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</si>
  <si>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</si>
  <si>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</si>
  <si>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</si>
  <si>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</si>
  <si>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</si>
  <si>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</si>
  <si>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</si>
  <si>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</si>
  <si>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</si>
  <si>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</si>
  <si>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</si>
  <si>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</si>
  <si>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</si>
  <si>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</si>
  <si>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</si>
  <si>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</si>
  <si>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</si>
  <si>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</si>
  <si>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</si>
  <si>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</si>
  <si>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</si>
  <si>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</si>
  <si>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</si>
  <si>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</si>
  <si>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</si>
  <si>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</si>
  <si>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</si>
  <si>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</si>
  <si>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</si>
  <si>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</si>
  <si>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</si>
  <si>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</si>
  <si>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</si>
  <si>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</si>
  <si>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</si>
  <si>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</si>
  <si>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</si>
  <si>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</si>
  <si>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</si>
  <si>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</si>
  <si>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</si>
  <si>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</si>
  <si>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</si>
  <si>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</si>
  <si>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</si>
  <si>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</si>
  <si>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</si>
  <si>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</si>
  <si>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</si>
  <si>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</si>
  <si>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</si>
  <si>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</si>
  <si>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</si>
  <si>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</si>
  <si>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</si>
  <si>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</si>
  <si>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</si>
  <si>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</si>
  <si>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</si>
  <si>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</si>
  <si>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</si>
  <si>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</si>
  <si>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</si>
  <si>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</si>
  <si>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</si>
  <si>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</si>
  <si>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</si>
  <si>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</si>
  <si>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</si>
  <si>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</si>
  <si>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</si>
  <si>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</si>
  <si>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</si>
  <si>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</si>
  <si>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</si>
  <si>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</si>
  <si>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</si>
  <si>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</si>
  <si>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</si>
  <si>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</si>
  <si>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</si>
  <si>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</si>
  <si>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</si>
  <si>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</si>
  <si>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</si>
  <si>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</si>
  <si>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</si>
  <si>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</si>
  <si>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</si>
  <si>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</si>
  <si>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</si>
  <si>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</si>
  <si>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</si>
  <si>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</si>
  <si>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</si>
  <si>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</si>
  <si>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</si>
  <si>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</si>
  <si>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</si>
  <si>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</si>
  <si>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</si>
  <si>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</si>
  <si>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</si>
  <si>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</si>
  <si>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</si>
  <si>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</si>
  <si>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</si>
  <si>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</si>
  <si>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</si>
  <si>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</si>
  <si>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</si>
  <si>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</si>
  <si>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</si>
  <si>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</si>
  <si>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</si>
  <si>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</si>
  <si>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</si>
  <si>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</si>
  <si>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</si>
  <si>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</si>
  <si>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</si>
  <si>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</si>
  <si>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</si>
  <si>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</si>
  <si>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</si>
  <si>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</si>
  <si>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</si>
  <si>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</si>
  <si>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</si>
  <si>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</si>
  <si>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</si>
  <si>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</si>
  <si>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</si>
  <si>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</si>
  <si>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</si>
  <si>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</si>
  <si>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</si>
  <si>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</si>
  <si>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</si>
  <si>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</si>
  <si>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</si>
  <si>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</si>
  <si>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</si>
  <si>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</si>
  <si>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</si>
  <si>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</si>
  <si>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</si>
  <si>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</si>
  <si>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</si>
  <si>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</si>
  <si>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</si>
  <si>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</si>
  <si>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</si>
  <si>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</si>
  <si>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</si>
  <si>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</si>
  <si>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</si>
  <si>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</si>
  <si>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</si>
  <si>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</si>
  <si>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</si>
  <si>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</si>
  <si>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</si>
  <si>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</si>
  <si>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</si>
  <si>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</si>
  <si>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</si>
  <si>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</si>
  <si>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</si>
  <si>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</si>
  <si>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</si>
  <si>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</si>
  <si>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</si>
  <si>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</si>
  <si>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</si>
  <si>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</si>
  <si>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</si>
  <si>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</si>
  <si>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</si>
  <si>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</si>
  <si>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</si>
  <si>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</si>
  <si>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</si>
  <si>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</si>
  <si>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</si>
  <si>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</si>
  <si>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</si>
  <si>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</si>
  <si>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</si>
  <si>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</si>
  <si>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</si>
  <si>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</si>
  <si>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</si>
  <si>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</si>
  <si>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</si>
  <si>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</si>
  <si>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</si>
  <si>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</si>
  <si>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</si>
  <si>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</si>
  <si>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</si>
  <si>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</si>
  <si>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</si>
  <si>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</si>
  <si>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</si>
  <si>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</si>
  <si>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</si>
  <si>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</si>
  <si>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</si>
  <si>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</si>
  <si>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</si>
  <si>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</si>
  <si>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</si>
  <si>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</si>
  <si>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</si>
  <si>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</si>
  <si>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</si>
  <si>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</si>
  <si>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</si>
  <si>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</si>
  <si>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</si>
  <si>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</si>
  <si>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</si>
  <si>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</si>
  <si>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</si>
  <si>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</si>
  <si>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</si>
  <si>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</si>
  <si>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</si>
  <si>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</si>
  <si>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</si>
  <si>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</si>
  <si>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</si>
  <si>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</si>
  <si>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</si>
  <si>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</si>
  <si>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</si>
  <si>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</si>
  <si>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</si>
  <si>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</si>
  <si>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</si>
  <si>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</si>
  <si>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</si>
  <si>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</si>
  <si>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</si>
  <si>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</si>
  <si>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</si>
  <si>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</si>
  <si>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</si>
  <si>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</si>
  <si>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</si>
  <si>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</si>
  <si>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</si>
  <si>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</si>
  <si>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</si>
  <si>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</si>
  <si>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</si>
  <si>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</si>
  <si>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</si>
  <si>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</si>
  <si>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</si>
  <si>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</si>
  <si>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</si>
  <si>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</si>
  <si>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</si>
  <si>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</si>
  <si>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</si>
  <si>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</si>
  <si>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</si>
  <si>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</si>
  <si>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</si>
  <si>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</si>
  <si>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</si>
  <si>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</si>
  <si>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</si>
  <si>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</si>
  <si>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</si>
  <si>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</si>
  <si>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</si>
  <si>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</si>
  <si>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</si>
  <si>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</si>
  <si>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</si>
  <si>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</si>
  <si>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</si>
  <si>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</si>
  <si>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</si>
  <si>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</si>
  <si>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</si>
  <si>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</si>
  <si>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</si>
  <si>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</si>
  <si>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</si>
  <si>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</si>
  <si>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</si>
  <si>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</si>
  <si>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</si>
  <si>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</si>
  <si>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</si>
  <si>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</si>
  <si>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</si>
  <si>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</si>
  <si>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</si>
  <si>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</si>
  <si>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</si>
  <si>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</si>
  <si>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</si>
  <si>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</si>
  <si>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</si>
  <si>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</si>
  <si>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</si>
  <si>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</si>
  <si>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</si>
  <si>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</si>
  <si>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</si>
  <si>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</si>
  <si>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</si>
  <si>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</si>
  <si>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</si>
  <si>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</si>
  <si>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</si>
  <si>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</si>
  <si>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</si>
  <si>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</si>
  <si>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</si>
  <si>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</si>
  <si>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</si>
  <si>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</si>
  <si>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</si>
  <si>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</si>
  <si>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</si>
  <si>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</si>
  <si>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</si>
  <si>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</si>
  <si>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</si>
  <si>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</si>
  <si>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</si>
  <si>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</si>
  <si>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</si>
  <si>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</si>
  <si>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</si>
  <si>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</si>
  <si>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</si>
  <si>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</si>
  <si>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</si>
  <si>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</si>
  <si>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</si>
  <si>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</si>
  <si>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</si>
  <si>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</si>
  <si>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</si>
  <si>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</si>
  <si>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</si>
  <si>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</si>
  <si>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</si>
  <si>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</si>
  <si>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</si>
  <si>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</si>
  <si>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</si>
  <si>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</si>
  <si>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</si>
  <si>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</si>
  <si>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</si>
  <si>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</si>
  <si>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</si>
  <si>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</si>
  <si>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</si>
  <si>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</si>
  <si>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</si>
  <si>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</si>
  <si>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</si>
  <si>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</si>
  <si>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</si>
  <si>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</si>
  <si>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</si>
  <si>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</si>
  <si>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</si>
  <si>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</si>
  <si>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</si>
  <si>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</si>
  <si>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</si>
  <si>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</si>
  <si>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</si>
  <si>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</si>
  <si>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</si>
  <si>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</si>
  <si>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</si>
  <si>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</si>
  <si>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</si>
  <si>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</si>
  <si>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</si>
  <si>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</si>
  <si>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</si>
  <si>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</si>
  <si>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</si>
  <si>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</si>
  <si>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</si>
  <si>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</si>
  <si>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</si>
  <si>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</si>
  <si>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</si>
  <si>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</si>
  <si>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</si>
  <si>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</si>
  <si>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</si>
  <si>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</si>
  <si>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</si>
  <si>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</si>
  <si>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</si>
  <si>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</si>
  <si>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</si>
  <si>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</si>
  <si>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</si>
  <si>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</si>
  <si>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</si>
  <si>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</si>
  <si>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</si>
  <si>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</si>
  <si>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</si>
  <si>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</si>
  <si>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</si>
  <si>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</si>
  <si>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</si>
  <si>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</si>
  <si>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</si>
  <si>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</si>
  <si>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</si>
  <si>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</si>
  <si>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</si>
  <si>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</si>
  <si>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</si>
  <si>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</si>
  <si>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</si>
  <si>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</si>
  <si>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</si>
  <si>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</si>
  <si>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</si>
  <si>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</si>
  <si>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</si>
  <si>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</si>
  <si>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</si>
  <si>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</si>
  <si>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</si>
  <si>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</si>
  <si>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</si>
  <si>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</si>
  <si>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</si>
  <si>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</si>
  <si>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</si>
  <si>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</si>
  <si>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</si>
  <si>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</si>
  <si>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</si>
  <si>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</si>
  <si>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</si>
  <si>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</si>
  <si>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</si>
  <si>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</si>
  <si>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</si>
  <si>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</si>
  <si>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</si>
  <si>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</si>
  <si>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</si>
  <si>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</si>
  <si>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</si>
  <si>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</si>
  <si>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</si>
  <si>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</si>
  <si>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</si>
  <si>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</si>
  <si>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</si>
  <si>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</si>
  <si>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</si>
  <si>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</si>
  <si>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</si>
  <si>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</si>
  <si>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</si>
  <si>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</si>
  <si>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</si>
  <si>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</si>
  <si>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</si>
  <si>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</si>
  <si>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</si>
  <si>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</si>
  <si>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</si>
  <si>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</si>
  <si>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</si>
  <si>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</si>
  <si>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</si>
  <si>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</si>
  <si>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</si>
  <si>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</si>
  <si>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</si>
  <si>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</si>
  <si>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</si>
  <si>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</si>
  <si>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</si>
  <si>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</si>
  <si>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</si>
  <si>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</si>
  <si>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</si>
  <si>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</si>
  <si>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</si>
  <si>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</si>
  <si>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</si>
  <si>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</si>
  <si>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</si>
  <si>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</si>
  <si>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</si>
  <si>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</si>
  <si>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</si>
  <si>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</si>
  <si>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</si>
  <si>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</si>
  <si>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</si>
  <si>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</si>
  <si>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</si>
  <si>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</si>
  <si>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</si>
  <si>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</si>
  <si>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</si>
  <si>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</si>
  <si>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</si>
  <si>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</si>
  <si>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</si>
  <si>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</si>
  <si>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</si>
  <si>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</si>
  <si>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</si>
  <si>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</si>
  <si>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</si>
  <si>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</si>
  <si>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</si>
  <si>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</si>
  <si>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</si>
  <si>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</si>
  <si>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</si>
  <si>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</si>
  <si>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</si>
  <si>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</si>
  <si>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</si>
  <si>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</si>
  <si>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</si>
  <si>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</si>
  <si>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</si>
  <si>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</si>
  <si>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</si>
  <si>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</si>
  <si>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</si>
  <si>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</si>
  <si>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</si>
  <si>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</si>
  <si>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</si>
  <si>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</si>
  <si>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</si>
  <si>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</si>
  <si>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</si>
  <si>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</si>
  <si>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</si>
  <si>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</si>
  <si>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</si>
  <si>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</si>
  <si>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</si>
  <si>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</si>
  <si>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</si>
  <si>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</si>
  <si>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</si>
  <si>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</si>
  <si>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</si>
  <si>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</si>
  <si>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</si>
  <si>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</si>
  <si>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</si>
  <si>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</si>
  <si>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</si>
  <si>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</si>
  <si>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</si>
  <si>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</si>
  <si>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</si>
  <si>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</si>
  <si>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</si>
  <si>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</si>
  <si>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</si>
  <si>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</si>
  <si>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</si>
  <si>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</si>
  <si>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</si>
  <si>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</si>
  <si>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</si>
  <si>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</si>
  <si>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</si>
  <si>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</si>
  <si>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</si>
  <si>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</si>
  <si>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</si>
  <si>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</si>
  <si>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</si>
  <si>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</si>
  <si>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</si>
  <si>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</si>
  <si>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</si>
  <si>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</si>
  <si>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</si>
  <si>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</si>
  <si>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</si>
  <si>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</si>
  <si>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</si>
  <si>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</si>
  <si>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</si>
  <si>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</si>
  <si>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</si>
  <si>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</si>
  <si>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</si>
  <si>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</si>
  <si>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</si>
  <si>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</si>
  <si>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</si>
  <si>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</si>
  <si>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</si>
  <si>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</si>
  <si>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</si>
  <si>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</si>
  <si>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</si>
  <si>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</si>
  <si>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</si>
  <si>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</si>
  <si>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</si>
  <si>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</si>
  <si>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</si>
  <si>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</si>
  <si>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</si>
  <si>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</si>
  <si>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</si>
  <si>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</si>
  <si>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</si>
  <si>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</si>
  <si>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</si>
  <si>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</si>
  <si>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</si>
  <si>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</si>
  <si>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</si>
  <si>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</si>
  <si>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</si>
  <si>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</si>
  <si>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</si>
  <si>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</si>
  <si>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</si>
  <si>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</si>
  <si>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</si>
  <si>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</si>
  <si>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</si>
  <si>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</si>
  <si>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</si>
  <si>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</si>
  <si>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</si>
  <si>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</si>
  <si>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</si>
  <si>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</si>
  <si>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</si>
  <si>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</si>
  <si>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</si>
  <si>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</si>
  <si>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</si>
  <si>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</si>
  <si>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</si>
  <si>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</si>
  <si>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</si>
  <si>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</si>
  <si>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</si>
  <si>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</si>
  <si>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</si>
  <si>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</si>
  <si>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</si>
  <si>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</si>
  <si>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</si>
  <si>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</si>
  <si>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</si>
  <si>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</si>
  <si>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</si>
  <si>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</si>
  <si>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</si>
  <si>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</si>
  <si>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</si>
  <si>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</si>
  <si>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</si>
  <si>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</si>
  <si>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</si>
  <si>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</si>
  <si>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</si>
  <si>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</si>
  <si>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</si>
  <si>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</si>
  <si>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</si>
  <si>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</si>
  <si>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</si>
  <si>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</si>
  <si>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</si>
  <si>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</si>
  <si>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</si>
  <si>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</si>
  <si>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</si>
  <si>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</si>
  <si>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</si>
  <si>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</si>
  <si>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</si>
  <si>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</si>
  <si>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</si>
  <si>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</si>
  <si>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</si>
  <si>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</si>
  <si>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</si>
  <si>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</si>
  <si>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</si>
  <si>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</si>
  <si>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</si>
  <si>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</si>
  <si>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</si>
  <si>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</si>
  <si>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</si>
  <si>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</si>
  <si>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</si>
  <si>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</si>
  <si>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</si>
  <si>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</si>
  <si>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</si>
  <si>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</si>
  <si>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</si>
  <si>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</si>
  <si>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</si>
  <si>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</si>
  <si>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</si>
  <si>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</si>
  <si>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</si>
  <si>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</si>
  <si>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</si>
  <si>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</si>
  <si>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</si>
  <si>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</si>
  <si>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</si>
  <si>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</si>
  <si>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</si>
  <si>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</si>
  <si>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</si>
  <si>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</si>
  <si>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</si>
  <si>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</si>
  <si>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</si>
  <si>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</si>
  <si>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</si>
  <si>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</si>
  <si>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</si>
  <si>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</si>
  <si>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</si>
  <si>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</si>
  <si>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</si>
  <si>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</si>
  <si>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</si>
  <si>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</si>
  <si>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</si>
  <si>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</si>
  <si>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</si>
  <si>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</si>
  <si>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</si>
  <si>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</si>
  <si>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</si>
  <si>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</si>
  <si>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</si>
  <si>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</si>
  <si>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</si>
  <si>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</si>
  <si>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</si>
  <si>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</si>
  <si>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</si>
  <si>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</si>
  <si>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</si>
  <si>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</si>
  <si>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</si>
  <si>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</si>
  <si>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</si>
  <si>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</si>
  <si>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</si>
  <si>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</si>
  <si>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</si>
  <si>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</si>
  <si>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</si>
  <si>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</si>
  <si>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</si>
  <si>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</si>
  <si>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</si>
  <si>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</si>
  <si>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</si>
  <si>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</si>
  <si>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</si>
  <si>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</si>
  <si>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</si>
  <si>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</si>
  <si>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</si>
  <si>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</si>
  <si>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</si>
  <si>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</si>
  <si>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</si>
  <si>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</si>
  <si>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</si>
  <si>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</si>
  <si>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</si>
  <si>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</si>
  <si>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</si>
  <si>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</si>
  <si>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</si>
  <si>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</si>
  <si>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</si>
  <si>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</si>
  <si>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</si>
  <si>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</si>
  <si>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</si>
  <si>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</si>
  <si>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</si>
  <si>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</si>
  <si>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</si>
  <si>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</si>
  <si>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</si>
  <si>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</si>
  <si>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</si>
  <si>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</si>
  <si>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</si>
  <si>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</si>
  <si>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</si>
  <si>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</si>
  <si>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</si>
  <si>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</si>
  <si>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</si>
  <si>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</si>
  <si>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</si>
  <si>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</si>
  <si>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</si>
  <si>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</si>
  <si>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</si>
  <si>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</si>
  <si>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</si>
  <si>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</si>
  <si>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</si>
  <si>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</si>
  <si>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</si>
  <si>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</si>
  <si>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</si>
  <si>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</si>
  <si>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</si>
  <si>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</si>
  <si>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</si>
  <si>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</si>
  <si>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</si>
  <si>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</si>
  <si>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</si>
  <si>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</si>
  <si>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</si>
  <si>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</si>
  <si>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</si>
  <si>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</si>
  <si>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</si>
  <si>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</si>
  <si>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</si>
  <si>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</si>
  <si>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</si>
  <si>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</si>
  <si>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</si>
  <si>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</si>
  <si>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</si>
  <si>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</si>
  <si>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</si>
  <si>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</si>
  <si>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</si>
  <si>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</si>
  <si>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</si>
  <si>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</si>
  <si>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</si>
  <si>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</si>
  <si>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</si>
  <si>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</si>
  <si>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</si>
  <si>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</si>
  <si>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</si>
  <si>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</si>
  <si>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</si>
  <si>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</si>
  <si>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</si>
  <si>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</si>
  <si>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</si>
  <si>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</si>
  <si>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</si>
  <si>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</si>
  <si>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</si>
  <si>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</si>
  <si>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</si>
  <si>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</si>
  <si>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</si>
  <si>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</si>
  <si>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</si>
  <si>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</si>
  <si>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</si>
  <si>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</si>
  <si>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</si>
  <si>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</si>
  <si>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</si>
  <si>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</si>
  <si>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</si>
  <si>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</si>
  <si>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</si>
  <si>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</si>
  <si>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</si>
  <si>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</si>
  <si>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</si>
  <si>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</si>
  <si>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</si>
  <si>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</si>
  <si>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</si>
  <si>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</si>
  <si>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</si>
  <si>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</si>
  <si>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</si>
  <si>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</si>
  <si>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</si>
  <si>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</si>
  <si>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</si>
  <si>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</si>
  <si>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</si>
  <si>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</si>
  <si>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</si>
  <si>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</si>
  <si>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</si>
  <si>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</si>
  <si>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</si>
  <si>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</si>
  <si>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</si>
  <si>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</si>
  <si>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</si>
  <si>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</si>
  <si>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</si>
  <si>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</si>
  <si>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</si>
  <si>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</si>
  <si>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</si>
  <si>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</si>
  <si>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</si>
  <si>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</si>
  <si>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</si>
  <si>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</si>
  <si>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</si>
  <si>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</si>
  <si>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</si>
  <si>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</si>
  <si>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</si>
  <si>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</si>
  <si>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</si>
  <si>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</si>
  <si>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</si>
  <si>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</si>
  <si>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</si>
  <si>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</si>
  <si>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</si>
  <si>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</si>
  <si>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</si>
  <si>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</si>
  <si>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</si>
  <si>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</si>
  <si>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</si>
  <si>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</si>
  <si>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</si>
  <si>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</si>
  <si>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</si>
  <si>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</si>
  <si>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</si>
  <si>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</si>
  <si>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</si>
  <si>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</si>
  <si>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</si>
  <si>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</si>
  <si>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</si>
  <si>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</si>
  <si>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</si>
  <si>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</si>
  <si>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</si>
  <si>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</si>
  <si>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</si>
  <si>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</si>
  <si>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</si>
  <si>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</si>
  <si>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</si>
  <si>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</si>
  <si>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</si>
  <si>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</si>
  <si>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</si>
  <si>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</si>
  <si>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</si>
  <si>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</si>
  <si>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</si>
  <si>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</si>
  <si>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</si>
  <si>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</si>
  <si>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</si>
  <si>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</si>
  <si>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</si>
  <si>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</si>
  <si>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</si>
  <si>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</si>
  <si>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</si>
  <si>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</si>
  <si>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</si>
  <si>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</si>
  <si>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</si>
  <si>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</si>
  <si>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</si>
  <si>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</si>
  <si>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</si>
  <si>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</si>
  <si>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</si>
  <si>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</si>
  <si>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</si>
  <si>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</si>
  <si>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</si>
  <si>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</si>
  <si>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</si>
  <si>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</si>
  <si>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</si>
  <si>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</si>
  <si>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</si>
  <si>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</si>
  <si>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</si>
  <si>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</si>
  <si>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</si>
  <si>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</si>
  <si>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</si>
  <si>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</si>
  <si>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</si>
  <si>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</si>
  <si>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</si>
  <si>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</si>
  <si>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</si>
  <si>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</si>
  <si>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</si>
  <si>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</si>
  <si>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</si>
  <si>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</si>
  <si>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</si>
  <si>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</si>
  <si>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</si>
  <si>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</si>
  <si>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</si>
  <si>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</si>
  <si>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</si>
  <si>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</si>
  <si>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</si>
  <si>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</si>
  <si>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</si>
  <si>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</si>
  <si>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</si>
  <si>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</si>
  <si>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</si>
  <si>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</si>
  <si>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</si>
  <si>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</si>
  <si>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</si>
  <si>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</si>
  <si>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</si>
  <si>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</si>
  <si>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</si>
  <si>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</si>
  <si>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</si>
  <si>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</si>
  <si>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</si>
  <si>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</si>
  <si>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</si>
  <si>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</si>
  <si>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</si>
  <si>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</si>
  <si>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</si>
  <si>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</si>
  <si>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</si>
  <si>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</si>
  <si>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</si>
  <si>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</si>
  <si>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</si>
  <si>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</si>
  <si>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</si>
  <si>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</si>
  <si>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</si>
  <si>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</si>
  <si>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</si>
  <si>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</si>
  <si>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</si>
  <si>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</si>
  <si>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</si>
  <si>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</si>
  <si>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</si>
  <si>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</si>
  <si>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</si>
  <si>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</si>
  <si>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</si>
  <si>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</si>
  <si>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</si>
  <si>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</si>
  <si>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</si>
  <si>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</si>
  <si>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</si>
  <si>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</si>
  <si>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</si>
  <si>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</si>
  <si>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</si>
  <si>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</si>
  <si>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</si>
  <si>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</si>
  <si>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</si>
  <si>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</si>
  <si>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</si>
  <si>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</si>
  <si>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</si>
  <si>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</si>
  <si>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</si>
  <si>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</si>
  <si>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</si>
  <si>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</si>
  <si>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</si>
  <si>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</si>
  <si>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</si>
  <si>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</si>
  <si>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</si>
  <si>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</si>
  <si>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</si>
  <si>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</si>
  <si>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</si>
  <si>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</si>
  <si>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</si>
  <si>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</si>
  <si>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</si>
  <si>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</si>
  <si>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</si>
  <si>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</si>
  <si>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</si>
  <si>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</si>
  <si>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</si>
  <si>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</si>
  <si>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</si>
  <si>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</si>
  <si>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</si>
  <si>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</si>
  <si>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</si>
  <si>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</si>
  <si>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</si>
  <si>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</si>
  <si>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</si>
  <si>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</si>
  <si>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</si>
  <si>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</si>
  <si>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</si>
  <si>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</si>
  <si>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</si>
  <si>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</si>
  <si>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</si>
  <si>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</si>
  <si>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</si>
  <si>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</si>
  <si>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</si>
  <si>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</si>
  <si>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</si>
  <si>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</si>
  <si>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</si>
  <si>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</si>
  <si>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</si>
  <si>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</si>
  <si>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</si>
  <si>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</si>
  <si>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</si>
  <si>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</si>
  <si>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</si>
  <si>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</si>
  <si>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</si>
  <si>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</si>
  <si>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</si>
  <si>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</si>
  <si>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</si>
  <si>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</si>
  <si>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</si>
  <si>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</si>
  <si>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</si>
  <si>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</si>
  <si>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</si>
  <si>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</si>
  <si>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</si>
  <si>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</si>
  <si>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</si>
  <si>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</si>
  <si>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</si>
  <si>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</si>
  <si>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</si>
  <si>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</si>
  <si>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</si>
  <si>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</si>
  <si>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</si>
  <si>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</si>
  <si>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</si>
  <si>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</si>
  <si>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</si>
  <si>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</si>
  <si>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</si>
  <si>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</si>
  <si>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</si>
  <si>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</si>
  <si>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</si>
  <si>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</si>
  <si>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</si>
  <si>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</si>
  <si>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</si>
  <si>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</si>
  <si>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</si>
  <si>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</si>
  <si>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</si>
  <si>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</si>
  <si>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</si>
  <si>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</si>
  <si>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</si>
  <si>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</si>
  <si>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</si>
  <si>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</si>
  <si>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</si>
  <si>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</si>
  <si>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</si>
  <si>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</si>
  <si>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</si>
  <si>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</si>
  <si>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</si>
  <si>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</si>
  <si>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</si>
  <si>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</si>
  <si>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</si>
  <si>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</si>
  <si>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</si>
  <si>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</si>
  <si>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</si>
  <si>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</si>
  <si>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</si>
  <si>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</si>
  <si>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</si>
  <si>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</si>
  <si>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</si>
  <si>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</si>
  <si>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</si>
  <si>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</si>
  <si>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</si>
  <si>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</si>
  <si>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</si>
  <si>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</si>
  <si>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</si>
  <si>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</si>
  <si>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</si>
  <si>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</si>
  <si>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</si>
  <si>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</si>
  <si>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</si>
  <si>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</si>
  <si>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</si>
  <si>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</si>
  <si>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</si>
  <si>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</si>
  <si>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</si>
  <si>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</si>
  <si>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</si>
  <si>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</si>
  <si>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</si>
  <si>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</si>
  <si>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</si>
  <si>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</si>
  <si>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</si>
  <si>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</si>
  <si>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</si>
  <si>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</si>
  <si>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</si>
  <si>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</si>
  <si>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</si>
  <si>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</si>
  <si>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</si>
  <si>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</si>
  <si>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</si>
  <si>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</si>
  <si>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</si>
  <si>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</si>
  <si>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</si>
  <si>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</si>
  <si>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</si>
  <si>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</si>
  <si>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</si>
  <si>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</si>
  <si>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</si>
  <si>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</si>
  <si>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</si>
  <si>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</si>
  <si>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</si>
  <si>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</si>
  <si>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</si>
  <si>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</si>
  <si>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</si>
  <si>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</si>
  <si>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</si>
  <si>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</si>
  <si>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</si>
  <si>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</si>
  <si>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</si>
  <si>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</si>
  <si>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</si>
  <si>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</si>
  <si>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</si>
  <si>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</si>
  <si>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</si>
  <si>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</si>
  <si>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</si>
  <si>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</si>
  <si>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</si>
  <si>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</si>
  <si>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</si>
  <si>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</si>
  <si>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</si>
  <si>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</si>
  <si>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</si>
  <si>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</si>
  <si>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</si>
  <si>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</si>
  <si>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</si>
  <si>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</si>
  <si>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</si>
  <si>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</si>
  <si>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</si>
  <si>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</si>
  <si>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</si>
  <si>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</si>
  <si>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</si>
  <si>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</si>
  <si>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</si>
  <si>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</si>
  <si>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</si>
  <si>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</si>
  <si>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</si>
  <si>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</si>
  <si>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</si>
  <si>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</si>
  <si>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</si>
  <si>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</si>
  <si>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</si>
  <si>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</si>
  <si>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</si>
  <si>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</si>
  <si>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</si>
  <si>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</si>
  <si>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</si>
  <si>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</si>
  <si>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</si>
  <si>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</si>
  <si>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</si>
  <si>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</si>
  <si>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</si>
  <si>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</si>
  <si>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</si>
  <si>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</si>
  <si>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</si>
  <si>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</si>
  <si>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</si>
  <si>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</si>
  <si>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</si>
  <si>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</si>
  <si>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</si>
  <si>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</si>
  <si>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</si>
  <si>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</si>
  <si>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</si>
  <si>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</si>
  <si>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</si>
  <si>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</si>
  <si>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</si>
  <si>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</si>
  <si>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</si>
  <si>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</si>
  <si>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</si>
  <si>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</si>
  <si>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</si>
  <si>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</si>
  <si>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</si>
  <si>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</si>
  <si>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</si>
  <si>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</si>
  <si>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</si>
  <si>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</si>
  <si>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</si>
  <si>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</si>
  <si>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</si>
  <si>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</si>
  <si>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</si>
  <si>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</si>
  <si>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</si>
  <si>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</si>
  <si>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</si>
  <si>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</si>
  <si>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</si>
  <si>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</si>
  <si>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</si>
  <si>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</si>
  <si>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</si>
  <si>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</si>
  <si>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</si>
  <si>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</si>
  <si>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</si>
  <si>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</si>
  <si>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</si>
  <si>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</si>
  <si>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</si>
  <si>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</si>
  <si>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</si>
  <si>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</si>
  <si>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</si>
  <si>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</si>
  <si>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</si>
  <si>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</si>
  <si>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</si>
  <si>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</si>
  <si>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</si>
  <si>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</si>
  <si>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</si>
  <si>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</si>
  <si>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</si>
  <si>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</si>
  <si>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</si>
  <si>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</si>
  <si>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</si>
  <si>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</si>
  <si>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</si>
  <si>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</si>
  <si>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</si>
  <si>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</si>
  <si>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</si>
  <si>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</si>
  <si>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</si>
  <si>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</si>
  <si>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</si>
  <si>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</si>
  <si>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</si>
  <si>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</si>
  <si>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</si>
  <si>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</si>
  <si>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</si>
  <si>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</si>
  <si>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</si>
  <si>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</si>
  <si>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</si>
  <si>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</si>
  <si>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</si>
  <si>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</si>
  <si>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</si>
  <si>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</si>
  <si>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</si>
  <si>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</si>
  <si>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</si>
  <si>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</si>
  <si>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</si>
  <si>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</si>
  <si>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</si>
  <si>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</si>
  <si>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</si>
  <si>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</si>
  <si>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</si>
  <si>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</si>
  <si>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</si>
  <si>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</si>
  <si>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</si>
  <si>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</si>
  <si>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</si>
  <si>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</si>
  <si>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</si>
  <si>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</si>
  <si>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</si>
  <si>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</si>
  <si>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</si>
  <si>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</si>
  <si>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</si>
  <si>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</si>
  <si>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</si>
  <si>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</si>
  <si>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</si>
  <si>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</si>
  <si>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</si>
  <si>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</si>
  <si>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</si>
  <si>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</si>
  <si>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</si>
  <si>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</si>
  <si>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</si>
  <si>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</si>
  <si>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</si>
  <si>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</si>
  <si>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</si>
  <si>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</si>
  <si>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</si>
  <si>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</si>
  <si>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</si>
  <si>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</si>
  <si>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</si>
  <si>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</si>
  <si>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</si>
  <si>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</si>
  <si>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</si>
  <si>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</si>
  <si>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</si>
  <si>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</si>
  <si>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</si>
  <si>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</si>
  <si>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</si>
  <si>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</si>
  <si>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</si>
  <si>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</si>
  <si>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</si>
  <si>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</si>
  <si>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</si>
  <si>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</si>
  <si>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</si>
  <si>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</si>
  <si>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</si>
  <si>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</si>
  <si>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</si>
  <si>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</si>
  <si>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</si>
  <si>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</si>
  <si>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</si>
  <si>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</si>
  <si>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</si>
  <si>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</si>
  <si>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</si>
  <si>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</si>
  <si>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</si>
  <si>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</si>
  <si>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</si>
  <si>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</si>
  <si>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</si>
  <si>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</si>
  <si>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</si>
  <si>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</si>
  <si>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</si>
  <si>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</si>
  <si>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</si>
  <si>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</si>
  <si>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</si>
  <si>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</si>
  <si>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</si>
  <si>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</si>
  <si>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</si>
  <si>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</si>
  <si>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</si>
  <si>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</si>
  <si>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</si>
  <si>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</si>
  <si>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</si>
  <si>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</si>
  <si>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</si>
  <si>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</si>
  <si>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</si>
  <si>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</si>
  <si>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</si>
  <si>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</si>
  <si>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</si>
  <si>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</si>
  <si>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</si>
  <si>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</si>
  <si>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</si>
  <si>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</si>
  <si>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</si>
  <si>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</si>
  <si>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</si>
  <si>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</si>
  <si>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</si>
  <si>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</si>
  <si>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</si>
  <si>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</si>
  <si>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</si>
  <si>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</si>
  <si>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</si>
  <si>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</si>
  <si>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</si>
  <si>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</si>
  <si>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</si>
  <si>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</si>
  <si>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</si>
  <si>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</si>
  <si>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</si>
  <si>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</si>
  <si>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</si>
  <si>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</si>
  <si>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</si>
  <si>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</si>
  <si>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</si>
  <si>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</si>
  <si>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</si>
  <si>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</si>
  <si>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</si>
  <si>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</si>
  <si>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</si>
  <si>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</si>
  <si>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</si>
  <si>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</si>
  <si>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</si>
  <si>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</si>
  <si>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</si>
  <si>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</si>
  <si>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</si>
  <si>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</si>
  <si>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</si>
  <si>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</si>
  <si>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</si>
  <si>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</si>
  <si>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</si>
  <si>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</si>
  <si>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</si>
  <si>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</si>
  <si>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</si>
  <si>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</si>
  <si>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</si>
  <si>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</si>
  <si>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</si>
  <si>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</si>
  <si>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</si>
  <si>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</si>
  <si>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</si>
  <si>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</si>
  <si>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</si>
  <si>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</si>
  <si>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</si>
  <si>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</si>
  <si>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</si>
  <si>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</si>
  <si>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</si>
  <si>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</si>
  <si>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</si>
  <si>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</si>
  <si>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</si>
  <si>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</si>
  <si>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</si>
  <si>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</si>
  <si>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</si>
  <si>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</si>
  <si>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</si>
  <si>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</si>
  <si>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</si>
  <si>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</si>
  <si>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</si>
  <si>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</si>
  <si>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</si>
  <si>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</si>
  <si>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</si>
  <si>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</si>
  <si>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</si>
  <si>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</si>
  <si>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</si>
  <si>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</si>
  <si>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</si>
  <si>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</si>
  <si>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</si>
  <si>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</si>
  <si>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</si>
  <si>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</si>
  <si>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</si>
  <si>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</si>
  <si>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</si>
  <si>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</si>
  <si>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</si>
  <si>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</si>
  <si>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</si>
  <si>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</si>
  <si>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</si>
  <si>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</si>
  <si>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</si>
  <si>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</si>
  <si>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</si>
  <si>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</si>
  <si>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</si>
  <si>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</si>
  <si>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</si>
  <si>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</si>
  <si>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</si>
  <si>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</si>
  <si>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</si>
  <si>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</si>
  <si>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</si>
  <si>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</si>
  <si>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</si>
  <si>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</si>
  <si>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</si>
  <si>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</si>
  <si>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</si>
  <si>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</si>
  <si>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</si>
  <si>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</si>
  <si>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</si>
  <si>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</si>
  <si>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</si>
  <si>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</si>
  <si>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</si>
  <si>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</si>
  <si>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</si>
  <si>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</si>
  <si>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</si>
  <si>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</si>
  <si>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</si>
  <si>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</si>
  <si>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</si>
  <si>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</si>
  <si>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</si>
  <si>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</si>
  <si>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</si>
  <si>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</si>
  <si>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</si>
  <si>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</si>
  <si>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</si>
  <si>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</si>
  <si>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</si>
  <si>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</si>
  <si>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</si>
  <si>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</si>
  <si>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</si>
  <si>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</si>
  <si>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</si>
  <si>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</si>
  <si>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</si>
  <si>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</si>
  <si>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</si>
  <si>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</si>
  <si>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</si>
  <si>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</si>
  <si>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</si>
  <si>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</si>
  <si>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</si>
  <si>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</si>
  <si>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</si>
  <si>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</si>
  <si>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</si>
  <si>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</si>
  <si>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</si>
  <si>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</si>
  <si>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</si>
  <si>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</si>
  <si>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</si>
  <si>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</si>
  <si>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</si>
  <si>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</si>
  <si>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</si>
  <si>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</si>
  <si>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</si>
  <si>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</si>
  <si>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</si>
  <si>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</si>
  <si>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</si>
  <si>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</si>
  <si>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</si>
  <si>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</si>
  <si>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</si>
  <si>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</si>
  <si>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</si>
  <si>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</si>
  <si>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</si>
  <si>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</si>
  <si>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</si>
  <si>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</si>
  <si>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</si>
  <si>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</si>
  <si>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</si>
  <si>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</si>
  <si>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</si>
  <si>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</si>
  <si>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</si>
  <si>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</si>
  <si>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</si>
  <si>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</si>
  <si>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</si>
  <si>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</si>
  <si>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</si>
  <si>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</si>
  <si>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</si>
  <si>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</si>
  <si>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</si>
  <si>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</si>
  <si>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</si>
  <si>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</si>
  <si>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</si>
  <si>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</si>
  <si>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</si>
  <si>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</si>
  <si>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</si>
  <si>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</si>
  <si>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</si>
  <si>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</si>
  <si>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</si>
  <si>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</si>
  <si>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</si>
  <si>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</si>
  <si>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</si>
  <si>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</si>
  <si>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</si>
  <si>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</si>
  <si>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</si>
  <si>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</si>
  <si>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</si>
  <si>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</si>
  <si>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</si>
  <si>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</si>
  <si>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</si>
  <si>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</si>
  <si>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</si>
  <si>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</si>
  <si>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</si>
  <si>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</si>
  <si>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</si>
  <si>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</si>
  <si>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</si>
  <si>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</si>
  <si>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</si>
  <si>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</si>
  <si>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</si>
  <si>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</si>
  <si>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</si>
  <si>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</si>
  <si>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</si>
  <si>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</si>
  <si>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</si>
  <si>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</si>
  <si>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</si>
  <si>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</si>
  <si>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</si>
  <si>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</si>
  <si>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</si>
  <si>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</si>
  <si>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</si>
  <si>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</si>
  <si>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</si>
  <si>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</si>
  <si>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</si>
  <si>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</si>
  <si>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</si>
  <si>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</si>
  <si>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</si>
  <si>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</si>
  <si>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</si>
  <si>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</si>
  <si>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</si>
  <si>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</si>
  <si>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</si>
  <si>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</si>
  <si>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</si>
  <si>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</si>
  <si>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</si>
  <si>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</si>
  <si>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</si>
  <si>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</si>
  <si>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</si>
  <si>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</si>
  <si>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</si>
  <si>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</si>
  <si>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</si>
  <si>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</si>
  <si>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</si>
  <si>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</si>
  <si>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</si>
  <si>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</si>
  <si>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</si>
  <si>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</si>
  <si>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</si>
  <si>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</si>
  <si>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</si>
  <si>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</si>
  <si>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</si>
  <si>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</si>
  <si>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</si>
  <si>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</si>
  <si>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</si>
  <si>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</si>
  <si>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отгружен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</si>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</sst>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7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93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45" fillId="0" borderId="0" xfId="0" applyFont="1" applyFill="1" applyAlignment="1">
      <alignment horizontal="left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0" fontId="46" fillId="16" borderId="50" xfId="0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235"/>
  <sheetViews>
    <sheetView tabSelected="1" zoomScale="70" zoomScaleNormal="70" workbookViewId="0">
      <pane ySplit="2" topLeftCell="A7204" activePane="bottomLeft" state="frozen"/>
      <selection pane="bottomLeft" activeCell="M7231" sqref="M7231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1021" width="9.140625" style="2"/>
  </cols>
  <sheetData>
    <row r="1" spans="1:18" ht="19.5" customHeight="1" thickBot="1" x14ac:dyDescent="0.3">
      <c r="A1" s="1055" t="s">
        <v>0</v>
      </c>
      <c r="B1" s="1055"/>
      <c r="C1" s="1055"/>
      <c r="D1" s="1055"/>
      <c r="E1" s="1055"/>
      <c r="F1" s="1055"/>
      <c r="G1" s="1055"/>
      <c r="H1" s="1055"/>
      <c r="I1" s="1055"/>
      <c r="J1" s="1055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56">
        <v>1</v>
      </c>
      <c r="B3" s="1056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56"/>
      <c r="B4" s="1056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52">
        <v>3</v>
      </c>
      <c r="B6" s="1052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52"/>
      <c r="B7" s="1052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52"/>
      <c r="B8" s="1052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52">
        <v>5</v>
      </c>
      <c r="B10" s="1052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52"/>
      <c r="B11" s="1052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50">
        <v>8</v>
      </c>
      <c r="B14" s="1050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50"/>
      <c r="B15" s="1050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52">
        <v>11</v>
      </c>
      <c r="B18" s="1052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52"/>
      <c r="B19" s="1052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52"/>
      <c r="B20" s="1052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52"/>
      <c r="B21" s="1052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52">
        <v>13</v>
      </c>
      <c r="B23" s="1052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52"/>
      <c r="B24" s="1052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50">
        <v>14</v>
      </c>
      <c r="B25" s="1050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50"/>
      <c r="B26" s="1050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52">
        <v>15</v>
      </c>
      <c r="B27" s="1052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52"/>
      <c r="B28" s="1052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52"/>
      <c r="B29" s="1052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52"/>
      <c r="B30" s="1052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50">
        <v>16</v>
      </c>
      <c r="B31" s="1050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50"/>
      <c r="B32" s="1050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50"/>
      <c r="B33" s="1050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50"/>
      <c r="B34" s="1050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52">
        <v>17</v>
      </c>
      <c r="B35" s="1052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52"/>
      <c r="B36" s="1052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52">
        <v>21</v>
      </c>
      <c r="B40" s="1052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52"/>
      <c r="B41" s="1052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52">
        <v>23</v>
      </c>
      <c r="B43" s="1052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52"/>
      <c r="B44" s="1052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52"/>
      <c r="B45" s="1052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50">
        <v>24</v>
      </c>
      <c r="B46" s="1050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50"/>
      <c r="B47" s="1050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52">
        <v>25</v>
      </c>
      <c r="B48" s="1052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52"/>
      <c r="B49" s="1052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52"/>
      <c r="B50" s="1052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50">
        <v>26</v>
      </c>
      <c r="B51" s="1050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50"/>
      <c r="B52" s="1050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52">
        <v>29</v>
      </c>
      <c r="B55" s="1052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52"/>
      <c r="B56" s="1052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50">
        <v>32</v>
      </c>
      <c r="B59" s="1050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50"/>
      <c r="B60" s="1050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50">
        <v>34</v>
      </c>
      <c r="B62" s="1050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50"/>
      <c r="B63" s="1050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50"/>
      <c r="B64" s="1050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50"/>
      <c r="B65" s="1050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50"/>
      <c r="B66" s="1050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52">
        <v>35</v>
      </c>
      <c r="B67" s="1052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52"/>
      <c r="B68" s="1052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37">
        <v>40</v>
      </c>
      <c r="B73" s="1050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37"/>
      <c r="B74" s="1050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36">
        <v>41</v>
      </c>
      <c r="B75" s="1052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36"/>
      <c r="B76" s="1052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36"/>
      <c r="B77" s="1052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37">
        <v>42</v>
      </c>
      <c r="B78" s="1050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37"/>
      <c r="B79" s="1050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36">
        <v>49</v>
      </c>
      <c r="B86" s="1052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36"/>
      <c r="B87" s="1052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36"/>
      <c r="B88" s="1052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37">
        <v>50</v>
      </c>
      <c r="B89" s="1050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37"/>
      <c r="B90" s="1050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36">
        <v>51</v>
      </c>
      <c r="B91" s="1052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36"/>
      <c r="B92" s="1052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36">
        <v>53</v>
      </c>
      <c r="B94" s="1052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36"/>
      <c r="B95" s="1052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37">
        <v>54</v>
      </c>
      <c r="B96" s="1050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37"/>
      <c r="B97" s="1050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37"/>
      <c r="B98" s="1050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37">
        <v>58</v>
      </c>
      <c r="B102" s="1050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37"/>
      <c r="B103" s="1050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37">
        <v>60</v>
      </c>
      <c r="B105" s="1050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37"/>
      <c r="B106" s="1050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37"/>
      <c r="B107" s="1050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36">
        <v>61</v>
      </c>
      <c r="B108" s="1052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36"/>
      <c r="B109" s="1052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36"/>
      <c r="B110" s="1052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37">
        <v>64</v>
      </c>
      <c r="B113" s="1050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37"/>
      <c r="B114" s="1050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37">
        <v>66</v>
      </c>
      <c r="B116" s="1050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37"/>
      <c r="B117" s="1050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36">
        <v>67</v>
      </c>
      <c r="B118" s="1052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36"/>
      <c r="B119" s="1052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36"/>
      <c r="B120" s="1052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37">
        <v>68</v>
      </c>
      <c r="B121" s="1050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37"/>
      <c r="B122" s="1050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36">
        <v>69</v>
      </c>
      <c r="B123" s="1052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36"/>
      <c r="B124" s="1052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37">
        <v>72</v>
      </c>
      <c r="B127" s="1050" t="s">
        <v>65</v>
      </c>
      <c r="C127" s="119" t="s">
        <v>26</v>
      </c>
      <c r="D127" s="120">
        <v>3.3</v>
      </c>
      <c r="E127" s="121"/>
      <c r="F127" s="122" t="s">
        <v>30</v>
      </c>
      <c r="G127" s="1049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37"/>
      <c r="B128" s="1050"/>
      <c r="C128" s="103" t="s">
        <v>26</v>
      </c>
      <c r="D128" s="88">
        <v>12.9</v>
      </c>
      <c r="E128" s="106"/>
      <c r="F128" s="107" t="s">
        <v>16</v>
      </c>
      <c r="G128" s="1049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37">
        <v>76</v>
      </c>
      <c r="B132" s="1051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37"/>
      <c r="B133" s="1051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37"/>
      <c r="B134" s="1051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37"/>
      <c r="B135" s="1051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37">
        <v>78</v>
      </c>
      <c r="B137" s="105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37"/>
      <c r="B138" s="105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53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53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37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37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37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3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3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37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37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3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3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3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3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3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3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3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3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37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37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37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37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37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37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3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54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3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54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37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37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37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37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37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37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37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37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37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3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3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37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37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3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3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37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37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3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3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3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3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3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37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37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3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3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3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37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37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3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3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37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37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3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3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37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37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37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3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3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37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49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37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49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37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37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3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3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3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3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37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37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37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37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37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37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3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3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37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37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37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37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3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3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37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37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37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37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37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3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3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37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37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3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3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37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59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37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59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3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3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37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49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37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49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37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37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37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37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37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37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37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37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3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3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37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37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3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3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37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37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37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37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3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3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3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3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3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3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3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3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37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37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3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54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3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54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3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3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3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3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3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3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3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3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3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3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3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3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3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3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37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37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3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3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37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37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37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37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3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3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3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3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3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3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37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37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3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3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3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3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40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3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40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37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37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37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37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37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37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37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37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37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37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37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37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3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3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37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37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3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3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3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3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3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3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3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3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37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37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3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3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3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37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37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3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3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3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40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3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40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37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37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37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37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37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37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57" t="s">
        <v>133</v>
      </c>
      <c r="J420" s="1057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3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3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37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37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3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3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37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37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37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37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3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3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3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3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3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37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37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37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3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3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37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37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3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3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37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41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37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41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3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3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37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37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37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37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37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37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4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4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4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37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37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3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3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37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37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37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37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37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37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37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37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3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3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3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3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37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37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37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3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3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3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40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3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40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37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37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3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61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3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61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37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61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37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61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37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61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37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37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37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37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37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37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3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3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3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37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37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37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3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3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3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3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3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37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37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37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3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3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3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3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3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3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37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37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37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3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3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3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3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37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37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37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3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3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3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37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41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37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41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37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37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37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37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37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3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3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3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3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37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37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37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3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3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3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37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37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37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37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37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37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3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3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3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3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3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3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3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3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37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37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37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3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40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3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40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3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3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37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37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37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37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37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37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37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37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37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37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37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37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3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3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3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37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37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37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3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3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3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3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3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37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37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3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3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3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37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37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37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37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3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3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3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3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3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3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37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37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37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3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40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3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40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3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3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60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3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60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3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37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37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37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3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3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3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37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37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3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3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3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3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3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3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37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37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3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3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37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37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37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37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37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37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37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37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37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3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40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3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40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4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4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4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3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3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3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4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4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3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3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3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4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4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37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37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37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3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3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3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37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37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37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37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37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37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37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37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3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3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3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3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3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3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3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37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62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37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62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37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37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37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37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37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3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3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3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3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3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3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3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37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37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37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37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4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4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4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4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4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4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3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40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3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40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37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37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37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3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3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3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44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44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44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44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44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3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3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3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3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3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4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4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3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3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3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37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37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3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3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37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37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37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37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3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3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3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3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3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3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3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37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37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37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37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3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3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37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41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37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41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3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3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3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3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3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3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3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3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3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3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3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3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3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37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37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37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3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3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3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37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37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3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3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3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3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37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37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37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3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3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3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3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3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3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3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3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3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37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37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37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37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37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37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37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37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37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37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3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3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3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37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37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37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37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37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3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3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37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37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37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3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3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3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37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37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37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37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37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37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37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3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3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37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37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37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3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3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3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37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37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3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3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37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37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3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3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37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37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3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3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3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3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37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41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37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41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3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3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3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3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3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37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37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3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3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3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3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3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3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3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3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37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37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37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37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37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37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4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4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37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37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3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3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37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37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37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37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37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3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3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3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3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3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37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37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37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3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3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3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37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37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37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3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40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3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40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37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37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37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3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3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37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37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37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3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3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3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3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3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37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37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4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4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37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37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3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3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37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37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37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37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37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37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37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3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3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37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37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3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3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37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37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37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3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3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37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37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3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40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3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40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37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37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37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3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3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37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37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3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3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3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37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37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3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3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3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3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3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3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3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3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37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37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37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37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37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3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3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37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37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3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3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3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37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37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37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3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3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37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41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37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41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3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3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3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3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3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3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3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3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37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37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3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3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3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3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37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37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3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3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3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37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37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3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3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3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3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37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41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37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41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3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3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37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37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37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37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3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3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37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37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3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3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37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37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3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3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3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3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37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37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37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37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37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37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37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37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3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3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3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3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37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41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37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41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37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37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3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3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37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37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37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37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3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3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37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37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3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3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3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3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3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3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3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37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37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37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37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37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37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37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41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37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41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37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37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3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3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37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37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3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3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3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3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37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37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37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37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3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3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3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3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3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3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3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3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3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3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3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3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3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37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37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3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3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37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37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3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3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37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41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37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41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3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3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3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3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37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37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37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37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3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3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3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3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37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37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37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37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37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37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37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37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37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37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3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3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37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37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37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37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3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40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3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40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3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3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37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37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37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3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3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37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37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3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3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3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3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3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3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3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3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3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3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3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3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3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37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37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3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3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3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42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3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42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37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37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37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3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3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3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37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37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37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37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3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3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3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3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37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37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3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3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37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37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37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37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37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37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3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3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3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40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3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40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3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3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37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37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3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3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37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37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3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3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3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3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37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37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3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40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3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40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3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40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3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40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37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37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3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3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3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3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3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3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3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40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3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40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3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3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3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3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37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37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3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3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3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3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3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37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37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37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37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37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37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37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37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3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3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37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37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37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3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40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3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40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3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3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3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3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37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37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3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3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3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3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3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3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3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3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3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37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37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3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3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37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41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37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41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3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3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37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37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37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3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3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3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3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3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3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3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3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37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37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3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3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37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37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37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3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40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3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40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3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3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3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37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37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37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37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37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3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3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37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37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37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37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37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3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3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37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37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37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3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3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37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37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3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3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37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37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37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37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37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37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3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3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3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3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3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3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3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3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37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37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3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3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37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37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37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41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37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41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37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37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37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3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3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3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3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3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3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3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3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3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3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3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37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37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37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37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3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3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3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3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3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37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37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3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40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3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40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37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37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37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37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37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37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37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37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3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3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3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37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41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37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41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37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37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37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37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37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3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3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3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3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3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3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3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37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37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37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37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37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3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3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37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37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37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3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40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3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40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3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3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37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37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37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37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37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37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37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3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3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37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37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37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37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36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3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37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37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3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3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37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37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3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40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3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40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3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40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37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37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3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3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3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37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37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3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3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3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3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37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41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37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41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3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3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3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3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3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3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3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3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37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37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37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37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37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37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37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37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37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37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3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3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3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3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3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3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37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37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3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3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3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3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40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3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40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37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37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37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3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3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3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3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3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3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3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3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3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3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3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3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3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3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37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37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3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40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3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40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37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37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3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3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37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37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37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3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3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3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3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36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3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3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3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3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36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3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3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37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37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3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40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3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40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3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3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37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37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37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37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3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3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3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3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37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37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37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3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3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3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3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3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3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37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41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37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41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36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3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3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3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37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37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37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37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3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3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37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37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37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37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37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37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37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3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3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3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37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37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37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37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37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37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37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37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37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3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3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37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37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37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37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3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3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37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37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37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4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4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4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37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37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37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37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3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40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3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40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36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3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37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37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3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3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37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37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37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3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40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3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40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3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3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3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3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3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37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37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3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3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37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37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37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36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3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3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3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37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41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37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41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36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3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37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37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37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37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37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37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3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3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37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37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37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3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3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37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37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37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37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3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3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3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37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37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3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3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37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37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3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3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37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37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37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37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37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37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37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37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36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3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3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3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37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37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3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3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37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37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37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37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3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3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37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37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37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37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37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37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37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3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3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63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64" t="s">
        <v>467</v>
      </c>
      <c r="H2160" s="414" t="s">
        <v>515</v>
      </c>
      <c r="I2160" s="415" t="s">
        <v>516</v>
      </c>
      <c r="J2160" s="1065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63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64"/>
      <c r="H2161" s="421" t="s">
        <v>515</v>
      </c>
      <c r="I2161" s="422" t="s">
        <v>516</v>
      </c>
      <c r="J2161" s="1065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63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64"/>
      <c r="H2162" s="429" t="s">
        <v>515</v>
      </c>
      <c r="I2162" s="430" t="s">
        <v>516</v>
      </c>
      <c r="J2162" s="1065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63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64" t="s">
        <v>467</v>
      </c>
      <c r="H2165" s="414" t="s">
        <v>516</v>
      </c>
      <c r="I2165" s="415" t="s">
        <v>516</v>
      </c>
      <c r="J2165" s="1065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63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64"/>
      <c r="H2166" s="429" t="s">
        <v>516</v>
      </c>
      <c r="I2166" s="430" t="s">
        <v>516</v>
      </c>
      <c r="J2166" s="1065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3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3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3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37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37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36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3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37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37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37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37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3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40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3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40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36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3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3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37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41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37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41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36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66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3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66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37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59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37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59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36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3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3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3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37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37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3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3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37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37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37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37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37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3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3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3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37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37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37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36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3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37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37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37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37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37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37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3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3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3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3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37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37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3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3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3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37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37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37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37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37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37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3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3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3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3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3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3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3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37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37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37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37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37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37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37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3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3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3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3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3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37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37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37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37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37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4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4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37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37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37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3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3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37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37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37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37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37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37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37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3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3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3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3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36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3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3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3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44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44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44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3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3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3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3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3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37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37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3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3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3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37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37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37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37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37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3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3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36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3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3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44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44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44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36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3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44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44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36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3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3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37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37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37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37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3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3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3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3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3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37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37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37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37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37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37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3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3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37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37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4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4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37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37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37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37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37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37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37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3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3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3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3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3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37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37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36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3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37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37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4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4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37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37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37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37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37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37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37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3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3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3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37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37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36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3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3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3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3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43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4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4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37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37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37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3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3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37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37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37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37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37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37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41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37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41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37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41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4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4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4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4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36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3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37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37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4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4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37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41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37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41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37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37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3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3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37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37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3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3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36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3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3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3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67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68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67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68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37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37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3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40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3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40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3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3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44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44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37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37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37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3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3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37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37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4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4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37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37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37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37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4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69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4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69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37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37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37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41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37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41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3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3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3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3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44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44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37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37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3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3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37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37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37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3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3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3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3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3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3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3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37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37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37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41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37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41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37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37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37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37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4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4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4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37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37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3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3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3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3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3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37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37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44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44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44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44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44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44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3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3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70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70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37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37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37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37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3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3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37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37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37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37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37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37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3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3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43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4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4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4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4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4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37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37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3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3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3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3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44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44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37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37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37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3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3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37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37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37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37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3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3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3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3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37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41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37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41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37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41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4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4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4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4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37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37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3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3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37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37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3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3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3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36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3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37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37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37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3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3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37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37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4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4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4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4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4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37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37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3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3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3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3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37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37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4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4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37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37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37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37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44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44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3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3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3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3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3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44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71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44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71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3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3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36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40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3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40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37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37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3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3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3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4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4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36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3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37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37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37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3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3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3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37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37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37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37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44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44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44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44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44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3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3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37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41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37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41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3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3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3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3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37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37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4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4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37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37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37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3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3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3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3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4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4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4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3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40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3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40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44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44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44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44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3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3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3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40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3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40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3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3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37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37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37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4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4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37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37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37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37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4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4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37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37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44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44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44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44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44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3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3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36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3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37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37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37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4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40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4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40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3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3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37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37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3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3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3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4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4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4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44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44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44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44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44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44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3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3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37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37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37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37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37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3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3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3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44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41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44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41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44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41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36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3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37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37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3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3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3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37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37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3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3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44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44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3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3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37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37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3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3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37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41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37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41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37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41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37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41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4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4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4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4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4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37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37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37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41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37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41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37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41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3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3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44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44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44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3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3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37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37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3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3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37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37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37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3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3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3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3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3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37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41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37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41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4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4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37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37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3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3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37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37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3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3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44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44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44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44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44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44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44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44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3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3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3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3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37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37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37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37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37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3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3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3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44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44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3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3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37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37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3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3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3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3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37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37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37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37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3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3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3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3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37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37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37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37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44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44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44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3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3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37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37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3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4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3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40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3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40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3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40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37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37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3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3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37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37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37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3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3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3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37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37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3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3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37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37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37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37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44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44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44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37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37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37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37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37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3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3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3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3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3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37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37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4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4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37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37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3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3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37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37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4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69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4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69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4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69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4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69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4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69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4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69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37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37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37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37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3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3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37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37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4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4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4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4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37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37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37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3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3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3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37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37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3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3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37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37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4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4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4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3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3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37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37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44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44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44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44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44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44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44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44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3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3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37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37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37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37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4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4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4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37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37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37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37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37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3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3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37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37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3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3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3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3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4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4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37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37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3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3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44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44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44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44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44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44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44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44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44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3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3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43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4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4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36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3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3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44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44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3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3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44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44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3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3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44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44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4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4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4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37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37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3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3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37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37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4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4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4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4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4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4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4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4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37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37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3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3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37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37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4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40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4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40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37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37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37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3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3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37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37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37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37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3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40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3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40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43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4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4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4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4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4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3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3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37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37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37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37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3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40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3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40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44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44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44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44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37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37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37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37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37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37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37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37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4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4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3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3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3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3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3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3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3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3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3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37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37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4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69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4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69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4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69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37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37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37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37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3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3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37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37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37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3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3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3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3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44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44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44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44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44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3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3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37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41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37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41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3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3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4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4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3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3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37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37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37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37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37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3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3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3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44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44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44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44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44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44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44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3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3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37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41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37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41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3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3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37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37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37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37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44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44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37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37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37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37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37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3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3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37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41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37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41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98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00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9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20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98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00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9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20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9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20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9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20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08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72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98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7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98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00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7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74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98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9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9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9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08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10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10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10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72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98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7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08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72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98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9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9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9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9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9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08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25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72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75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98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7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08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25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72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75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98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9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9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7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98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9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08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10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10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72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08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10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10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98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9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9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9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9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9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08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72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98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00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7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74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98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00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7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74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98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7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08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72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98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9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98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7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08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72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98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9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7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08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10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72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08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10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10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10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10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10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98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7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08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25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72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75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98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7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08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72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98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9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9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7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98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00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7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74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08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10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72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98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7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08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25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72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75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98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9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9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9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9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9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08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72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08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72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08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25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72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75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98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9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7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08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10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72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98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9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7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08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10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10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10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08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72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98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9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7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98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9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9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9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08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10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08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10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10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10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10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10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98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7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98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00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9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20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7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74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9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9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7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08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10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72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9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9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9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9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00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7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74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08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10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10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72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98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7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98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7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08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72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08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10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10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10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10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98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7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98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9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7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08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72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98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7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08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72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98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00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7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74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08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10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98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9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7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08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72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98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7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08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72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98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7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98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9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10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10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10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10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10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10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98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7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98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7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08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10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10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72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98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9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9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9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9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7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98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7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08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10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10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72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08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10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10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10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10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10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98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7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98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00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7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74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08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10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72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98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9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9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7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08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10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72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98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00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9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20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7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74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08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25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72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75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98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7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08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72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98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9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9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9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9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9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08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72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98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7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08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10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72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98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9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9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7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08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72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98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00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7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74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98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7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08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10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72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08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72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98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9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08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10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08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10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10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10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10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98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7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98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9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08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25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72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75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98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9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9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9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9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9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7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08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10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10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10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98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9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7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98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7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08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72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98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9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7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98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7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34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76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77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98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9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9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9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9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7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08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72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98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9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7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08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72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98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7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98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7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08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10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09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98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9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14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08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09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98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00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14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01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98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9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08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25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09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24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98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9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9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9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9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08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09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98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14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98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9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14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08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09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98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9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9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08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25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10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23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09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24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08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09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08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10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09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98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9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14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08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10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10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10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10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98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14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08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10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09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98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9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9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14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08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09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98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9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9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14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98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14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08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10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10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98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14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08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10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10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10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10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98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14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08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10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09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98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14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08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09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98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14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98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9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14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98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14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08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09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08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10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09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98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9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9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9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14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98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9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08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09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08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09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08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09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98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9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14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08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10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10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09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98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9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14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98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00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14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01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08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10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09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08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10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09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98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9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9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14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98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14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08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25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10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23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10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23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09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24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98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9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14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98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14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08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10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09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98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14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08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10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10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08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25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09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24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98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14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08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10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09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08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09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98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14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08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10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98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14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08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10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10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10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10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98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9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14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98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00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9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20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9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20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14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01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08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09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98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14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98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14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08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10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09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98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14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08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25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09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24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08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10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08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10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10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10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10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09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98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9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08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10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09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98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14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98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9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14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08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10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09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98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9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14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08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10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09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08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09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98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14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08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10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09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9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9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9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14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08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25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10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24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9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9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14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08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09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98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9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9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9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08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09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98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14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08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10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10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09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98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14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08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09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08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09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9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14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08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10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98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9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9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14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98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14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98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9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9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14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08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09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08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09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98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9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14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08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10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09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08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10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09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08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10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09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98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14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98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9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9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14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08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25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10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23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98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14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08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09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98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14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08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09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98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14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98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9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14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08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09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98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14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08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10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09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98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9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14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08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09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98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14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98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9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08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10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09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98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9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14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98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14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98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14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08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09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98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14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08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09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98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9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14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08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10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09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08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10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09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98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14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08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10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09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98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00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9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20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14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01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08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10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09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08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09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08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09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98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9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14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98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14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08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10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98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9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9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14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98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14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98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00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14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01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08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09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08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10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08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09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98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9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9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14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08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10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98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14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98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14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98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9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14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08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10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09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98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14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08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10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09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98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14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08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09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98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14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08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10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09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99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9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08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10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98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14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08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10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10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09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98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14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08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09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98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14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98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00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14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01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98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9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14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08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10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09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98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9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14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08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10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08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09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98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9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08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09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98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14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08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25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10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23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10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23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09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24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08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10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09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08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25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09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24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98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9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98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9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14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08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10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09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98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00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14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01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98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14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08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10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08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10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10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09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98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00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9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20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08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09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08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09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98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14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08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09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98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00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14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01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98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9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14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08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10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09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08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25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09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24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98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14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98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9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98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14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08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10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10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10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98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14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08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09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98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14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08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25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10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23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09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24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98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14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98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00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14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01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08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09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98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9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9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14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08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25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09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24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98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14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08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09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98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14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08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10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98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00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14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01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08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10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10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98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14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98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00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14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01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08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10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10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09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98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14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08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10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09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98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9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9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14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08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09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98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14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08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09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98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00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14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01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08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10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08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10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09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98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00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9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20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08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09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08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10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09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98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9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14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98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14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98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14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08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10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10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09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98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00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14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01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98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14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08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25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09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24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98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9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9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08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09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98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14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08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09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98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00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14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01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08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09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98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14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08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25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09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24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98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14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08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10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09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98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14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08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10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09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08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25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09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24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98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9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08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10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10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98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14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98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9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14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08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10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09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08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25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09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24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08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25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09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24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98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9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98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9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14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08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10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09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98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14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08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09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08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25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09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24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08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10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10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98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14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08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25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09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24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98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14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08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10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09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98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00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9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20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9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20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08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25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09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24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99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9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9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9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99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9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98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9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08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09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98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00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9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78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9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9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9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08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09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98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9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14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08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09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98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14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98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14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08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25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10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23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09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24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98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9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08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25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09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24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08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10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10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09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08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10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09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98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9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14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98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00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9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20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9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20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9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20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08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09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98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00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14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01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98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14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08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10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09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98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00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14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01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08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10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98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9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9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14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08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09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98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00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14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01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08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10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09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08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10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98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9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9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08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09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08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10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10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09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08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09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08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10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98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9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9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14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08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10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09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98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14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08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09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98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14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98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00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99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20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08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10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10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09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98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00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14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01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98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14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98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00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14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01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98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99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14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08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09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98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14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08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25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09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24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08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10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09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98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99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99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14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08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10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09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98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99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98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00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14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01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08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10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98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99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99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08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09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98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99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14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08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09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98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14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08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09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98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14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98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14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08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10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09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98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14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08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09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08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25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10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23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98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99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99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08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09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98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99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99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14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08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10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09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08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10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98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14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08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10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09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98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99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99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14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08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09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98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14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98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99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98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00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99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20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99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20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99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20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99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20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08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09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08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10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10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09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08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10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10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09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98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14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08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10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09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98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99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14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98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99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14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08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09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08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25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09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24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08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25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10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23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10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23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10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23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98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14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08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09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98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14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98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14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08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09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08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10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10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09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99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99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08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09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99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20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99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20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08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10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98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00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14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01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08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10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98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00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99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20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08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09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98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14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08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09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98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14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08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09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98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00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14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01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98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14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08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09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98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14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08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09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98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99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14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08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09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08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09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08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10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10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98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14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98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14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08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10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09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08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10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09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98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99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14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08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10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09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98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99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08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25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09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24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98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99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14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98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14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08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09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98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14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98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00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14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01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98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14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08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09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98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14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08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25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09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24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08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10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10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10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09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98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99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14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98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99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08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25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09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24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08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25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10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23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10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23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10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23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09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24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98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99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14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08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10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10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10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09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98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00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14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01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08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09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98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99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14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98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14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98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14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08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10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09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98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14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08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09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98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99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98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99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99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14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08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09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98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99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14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08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09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98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14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08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25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09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24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08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10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98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14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98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14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98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99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99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14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98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14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08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09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98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14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08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25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09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24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98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14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29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30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31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32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33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08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09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31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32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81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33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82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31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33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08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10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34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10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35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79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12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80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38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39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34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35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08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09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08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10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10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10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10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08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09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08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15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09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17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98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14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98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14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98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99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14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08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09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08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09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08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10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09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98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99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14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08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10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10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98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14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08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10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09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08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10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10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09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08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10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09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98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14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08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25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09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24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08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10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34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35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12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12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13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05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07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98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14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98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99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05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07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11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13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05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06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06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07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11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12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13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05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07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11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13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05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06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07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11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13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05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06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07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98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99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99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99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08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10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10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09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11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13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11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02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12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03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13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04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08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23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09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23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11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00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13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20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05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07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98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14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08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09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98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99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34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83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11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13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11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13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11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12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13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08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10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09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98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99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14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08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10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09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08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09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11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12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13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05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06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06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07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11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12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12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08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10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08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09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11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12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12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13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05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06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06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11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13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05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06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06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11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00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13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01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08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25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10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24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98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14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08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10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10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05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06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06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06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98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99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98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99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99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14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08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10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10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09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08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10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10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10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09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98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99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99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99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99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99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14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05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06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06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07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98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99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14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05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06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07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05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06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06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06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98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99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14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06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06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06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06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07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11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13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05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07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11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12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12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13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11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02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12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03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13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04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08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09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98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14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05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06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07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11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12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13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05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23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07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23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98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00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14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01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98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14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05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07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98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14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08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09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98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99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14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05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06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07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11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12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13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08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10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10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10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98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99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99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14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27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28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08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10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10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10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09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98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99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14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98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14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05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07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98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99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99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14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05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25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06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23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06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23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07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24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98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14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98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14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05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07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11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02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12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03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12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26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12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26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13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04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05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23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06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23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07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24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98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14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98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999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14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05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07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998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999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999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999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14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05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07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998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999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999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999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14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08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10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10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10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998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999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999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14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05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07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998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14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08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10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09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998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999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999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14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05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06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07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11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00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12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20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12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20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12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20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13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01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05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07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998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14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998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999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14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05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25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07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24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05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06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07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998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14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08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10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09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08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10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09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998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14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05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07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998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14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998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999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999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999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14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05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06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07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998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999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999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14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05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07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998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14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08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10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10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09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05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15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06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16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06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16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07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17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998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00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14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01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08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2442</v>
      </c>
      <c r="R7069" s="943"/>
    </row>
    <row r="7070" spans="1:18" ht="19.5" hidden="1" thickBot="1" x14ac:dyDescent="0.3">
      <c r="A7070" s="1010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10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09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1008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1009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998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1014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1005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1007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998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21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1014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22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1008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1009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998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1014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1008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1009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05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07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998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14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08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10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10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10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10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09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05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07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11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12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12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13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05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07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998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999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14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08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25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2439</v>
      </c>
      <c r="R7115" s="943"/>
    </row>
    <row r="7116" spans="1:18" ht="19.5" hidden="1" thickBot="1" x14ac:dyDescent="0.3">
      <c r="A7116" s="1010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23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2440</v>
      </c>
      <c r="R7116" s="943"/>
    </row>
    <row r="7117" spans="1:18" ht="19.5" hidden="1" thickBot="1" x14ac:dyDescent="0.3">
      <c r="A7117" s="1010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23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2441</v>
      </c>
      <c r="R7117" s="943"/>
    </row>
    <row r="7118" spans="1:18" ht="19.5" hidden="1" thickBot="1" x14ac:dyDescent="0.3">
      <c r="A7118" s="1009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24"/>
      <c r="H7118" s="829" t="s">
        <v>2329</v>
      </c>
      <c r="I7118" s="829" t="s">
        <v>2423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2500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2424</v>
      </c>
      <c r="J7119" s="521"/>
      <c r="K7119" s="518" t="str">
        <f t="shared" ref="K7119:K7143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2514</v>
      </c>
      <c r="Q7119" s="2"/>
      <c r="R7119" s="2"/>
    </row>
    <row r="7120" spans="1:18" ht="57" hidden="1" thickBot="1" x14ac:dyDescent="0.3">
      <c r="A7120" s="1008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10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10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982" t="s">
        <v>2414</v>
      </c>
    </row>
    <row r="7123" spans="1:18" ht="19.5" hidden="1" thickBot="1" x14ac:dyDescent="0.3">
      <c r="A7123" s="1010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982" t="s">
        <v>2415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08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25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2437</v>
      </c>
    </row>
    <row r="7128" spans="1:18" ht="19.5" hidden="1" thickBot="1" x14ac:dyDescent="0.3">
      <c r="A7128" s="1009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24"/>
      <c r="H7128" s="873" t="s">
        <v>2347</v>
      </c>
      <c r="I7128" s="788" t="s">
        <v>2423</v>
      </c>
      <c r="J7128" s="790"/>
      <c r="K7128" s="873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2422</v>
      </c>
      <c r="P7128" s="867" t="s">
        <v>2501</v>
      </c>
    </row>
    <row r="7129" spans="1:18" ht="19.5" hidden="1" thickBot="1" x14ac:dyDescent="0.3">
      <c r="A7129" s="998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00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2446</v>
      </c>
    </row>
    <row r="7130" spans="1:18" ht="19.5" hidden="1" thickBot="1" x14ac:dyDescent="0.3">
      <c r="A7130" s="1014"/>
      <c r="B7130" s="841" t="s">
        <v>2405</v>
      </c>
      <c r="C7130" s="977" t="s">
        <v>47</v>
      </c>
      <c r="D7130" s="978">
        <v>3.8</v>
      </c>
      <c r="E7130" s="978">
        <v>3.8260000000000001</v>
      </c>
      <c r="F7130" s="979" t="s">
        <v>16</v>
      </c>
      <c r="G7130" s="1020"/>
      <c r="H7130" s="979" t="s">
        <v>2405</v>
      </c>
      <c r="I7130" s="979" t="s">
        <v>2405</v>
      </c>
      <c r="J7130" s="845"/>
      <c r="K7130" s="979" t="str">
        <f t="shared" si="215"/>
        <v>09,26</v>
      </c>
      <c r="L7130" s="979" t="s">
        <v>28</v>
      </c>
      <c r="M7130" s="979">
        <v>3810</v>
      </c>
      <c r="N7130" s="846">
        <v>0.5</v>
      </c>
      <c r="O7130" s="897" t="s">
        <v>2425</v>
      </c>
      <c r="P7130" s="867" t="s">
        <v>2447</v>
      </c>
    </row>
    <row r="7131" spans="1:18" ht="19.5" hidden="1" thickBot="1" x14ac:dyDescent="0.3">
      <c r="A7131" s="1008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2464</v>
      </c>
      <c r="R7131" s="943"/>
    </row>
    <row r="7132" spans="1:18" ht="19.5" hidden="1" thickBot="1" x14ac:dyDescent="0.3">
      <c r="A7132" s="1010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2465</v>
      </c>
      <c r="R7132" s="943"/>
    </row>
    <row r="7133" spans="1:18" ht="19.5" hidden="1" thickBot="1" x14ac:dyDescent="0.3">
      <c r="A7133" s="1010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2431</v>
      </c>
      <c r="P7133" s="867" t="s">
        <v>2466</v>
      </c>
      <c r="R7133" s="943"/>
    </row>
    <row r="7134" spans="1:18" ht="19.5" hidden="1" thickBot="1" x14ac:dyDescent="0.3">
      <c r="A7134" s="1009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2434</v>
      </c>
      <c r="P7134" s="867" t="s">
        <v>2467</v>
      </c>
    </row>
    <row r="7135" spans="1:18" ht="19.5" hidden="1" thickBot="1" x14ac:dyDescent="0.3">
      <c r="A7135" s="998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18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999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18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hidden="1" thickBot="1" x14ac:dyDescent="0.3">
      <c r="A7137" s="1014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19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ht="19.5" hidden="1" thickBot="1" x14ac:dyDescent="0.3">
      <c r="A7138" s="1008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2451</v>
      </c>
    </row>
    <row r="7139" spans="1:20" ht="19.5" hidden="1" thickBot="1" x14ac:dyDescent="0.3">
      <c r="A7139" s="1009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2450</v>
      </c>
    </row>
    <row r="7140" spans="1:20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2449</v>
      </c>
    </row>
    <row r="7141" spans="1:20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ht="19.5" hidden="1" thickBot="1" x14ac:dyDescent="0.3">
      <c r="A7142" s="998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2423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2491</v>
      </c>
      <c r="Q7142" s="847" t="s">
        <v>2493</v>
      </c>
      <c r="T7142" s="833"/>
    </row>
    <row r="7143" spans="1:20" ht="19.5" hidden="1" thickBot="1" x14ac:dyDescent="0.3">
      <c r="A7143" s="1014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2423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2492</v>
      </c>
    </row>
    <row r="7144" spans="1:20" x14ac:dyDescent="0.25">
      <c r="A7144" s="1008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2423</v>
      </c>
      <c r="J7144" s="538"/>
      <c r="K7144" s="531"/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2504</v>
      </c>
    </row>
    <row r="7145" spans="1:20" x14ac:dyDescent="0.25">
      <c r="A7145" s="1010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3"/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2438</v>
      </c>
    </row>
    <row r="7146" spans="1:20" x14ac:dyDescent="0.25">
      <c r="A7146" s="1010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2423</v>
      </c>
      <c r="J7146" s="570"/>
      <c r="K7146" s="563"/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2503</v>
      </c>
    </row>
    <row r="7147" spans="1:20" ht="19.5" thickBot="1" x14ac:dyDescent="0.3">
      <c r="A7147" s="1009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2423</v>
      </c>
      <c r="J7147" s="831"/>
      <c r="K7147" s="832"/>
      <c r="L7147" s="829" t="s">
        <v>28</v>
      </c>
      <c r="M7147" s="829">
        <v>1605.1200000000001</v>
      </c>
      <c r="N7147" s="644">
        <v>0.41666666666666669</v>
      </c>
      <c r="O7147" s="897" t="s">
        <v>2432</v>
      </c>
      <c r="P7147" s="867" t="s">
        <v>2502</v>
      </c>
    </row>
    <row r="7148" spans="1:20" x14ac:dyDescent="0.25">
      <c r="A7148" s="998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21" t="s">
        <v>1633</v>
      </c>
      <c r="H7148" s="483" t="s">
        <v>2347</v>
      </c>
      <c r="I7148" s="484" t="s">
        <v>2347</v>
      </c>
      <c r="J7148" s="485"/>
      <c r="K7148" s="479"/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2443</v>
      </c>
    </row>
    <row r="7149" spans="1:20" x14ac:dyDescent="0.25">
      <c r="A7149" s="999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84"/>
      <c r="H7149" s="527" t="s">
        <v>2347</v>
      </c>
      <c r="I7149" s="528" t="s">
        <v>2347</v>
      </c>
      <c r="J7149" s="529"/>
      <c r="K7149" s="523"/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2444</v>
      </c>
    </row>
    <row r="7150" spans="1:20" ht="19.5" thickBot="1" x14ac:dyDescent="0.3">
      <c r="A7150" s="1014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84"/>
      <c r="H7150" s="499" t="s">
        <v>2347</v>
      </c>
      <c r="I7150" s="500" t="s">
        <v>2347</v>
      </c>
      <c r="J7150" s="501"/>
      <c r="K7150" s="495"/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2445</v>
      </c>
    </row>
    <row r="7151" spans="1:20" x14ac:dyDescent="0.25">
      <c r="A7151" s="1005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1"/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2468</v>
      </c>
      <c r="R7151" s="943"/>
    </row>
    <row r="7152" spans="1:20" x14ac:dyDescent="0.25">
      <c r="A7152" s="1006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49"/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2469</v>
      </c>
      <c r="R7152" s="943"/>
    </row>
    <row r="7153" spans="1:18" ht="19.5" thickBot="1" x14ac:dyDescent="0.3">
      <c r="A7153" s="1007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877"/>
      <c r="L7153" s="788" t="s">
        <v>28</v>
      </c>
      <c r="M7153" s="788">
        <v>1605</v>
      </c>
      <c r="N7153" s="784">
        <v>0.5</v>
      </c>
      <c r="O7153" s="897" t="s">
        <v>2433</v>
      </c>
      <c r="P7153" s="867" t="s">
        <v>2470</v>
      </c>
      <c r="R7153" s="943"/>
    </row>
    <row r="7154" spans="1:18" ht="19.5" thickBot="1" x14ac:dyDescent="0.3">
      <c r="A7154" s="513">
        <f t="shared" ref="A7154:A7161" si="217">MAX(A7001:A7153)+1</f>
        <v>4410</v>
      </c>
      <c r="B7154" s="645" t="s">
        <v>2294</v>
      </c>
      <c r="C7154" s="646" t="s">
        <v>1382</v>
      </c>
      <c r="D7154" s="647">
        <v>8</v>
      </c>
      <c r="E7154" s="648"/>
      <c r="F7154" s="649" t="s">
        <v>16</v>
      </c>
      <c r="G7154" s="650" t="s">
        <v>2299</v>
      </c>
      <c r="H7154" s="649" t="s">
        <v>2347</v>
      </c>
      <c r="I7154" s="651"/>
      <c r="J7154" s="652"/>
      <c r="K7154" s="645"/>
      <c r="L7154" s="649" t="s">
        <v>266</v>
      </c>
      <c r="M7154" s="649">
        <v>8001</v>
      </c>
      <c r="N7154" s="653">
        <v>0.54166666666666663</v>
      </c>
      <c r="O7154" s="897" t="s">
        <v>2373</v>
      </c>
      <c r="P7154" s="867" t="s">
        <v>2413</v>
      </c>
    </row>
    <row r="7155" spans="1:18" ht="19.5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4"/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2448</v>
      </c>
    </row>
    <row r="7156" spans="1:18" ht="19.5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2423</v>
      </c>
      <c r="J7156" s="580"/>
      <c r="K7156" s="573"/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2499</v>
      </c>
    </row>
    <row r="7157" spans="1:18" ht="19.5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2416</v>
      </c>
      <c r="I7157" s="510" t="s">
        <v>2423</v>
      </c>
      <c r="J7157" s="511"/>
      <c r="K7157" s="504"/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  <c r="P7157" s="867" t="s">
        <v>2524</v>
      </c>
    </row>
    <row r="7158" spans="1:18" ht="19.5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2416</v>
      </c>
      <c r="I7158" s="520" t="s">
        <v>2423</v>
      </c>
      <c r="J7158" s="521"/>
      <c r="K7158" s="514"/>
      <c r="L7158" s="518" t="s">
        <v>266</v>
      </c>
      <c r="M7158" s="518">
        <v>18033.18</v>
      </c>
      <c r="N7158" s="522">
        <v>0.45833333333333331</v>
      </c>
      <c r="O7158" s="897" t="s">
        <v>2418</v>
      </c>
      <c r="P7158" s="867" t="s">
        <v>2490</v>
      </c>
    </row>
    <row r="7159" spans="1:18" ht="19.5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2416</v>
      </c>
      <c r="I7159" s="669" t="s">
        <v>1496</v>
      </c>
      <c r="J7159" s="670"/>
      <c r="K7159" s="663"/>
      <c r="L7159" s="667" t="s">
        <v>266</v>
      </c>
      <c r="M7159" s="667">
        <v>17604.599999999999</v>
      </c>
      <c r="N7159" s="671">
        <v>0.5</v>
      </c>
      <c r="O7159" s="920" t="s">
        <v>2419</v>
      </c>
      <c r="P7159" s="921" t="s">
        <v>1024</v>
      </c>
    </row>
    <row r="7160" spans="1:18" ht="19.5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2416</v>
      </c>
      <c r="I7160" s="579" t="s">
        <v>2471</v>
      </c>
      <c r="J7160" s="580"/>
      <c r="K7160" s="573"/>
      <c r="L7160" s="577" t="s">
        <v>266</v>
      </c>
      <c r="M7160" s="577">
        <v>18121.16</v>
      </c>
      <c r="N7160" s="581">
        <v>0.54166666666666663</v>
      </c>
      <c r="O7160" s="897" t="s">
        <v>2420</v>
      </c>
      <c r="P7160" s="867" t="s">
        <v>2538</v>
      </c>
    </row>
    <row r="7161" spans="1:18" x14ac:dyDescent="0.25">
      <c r="A7161" s="1005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2423</v>
      </c>
      <c r="I7161" s="537" t="s">
        <v>2423</v>
      </c>
      <c r="J7161" s="538"/>
      <c r="K7161" s="531"/>
      <c r="L7161" s="535" t="s">
        <v>265</v>
      </c>
      <c r="M7161" s="535">
        <v>17770.98</v>
      </c>
      <c r="N7161" s="539">
        <v>0.375</v>
      </c>
      <c r="O7161" s="897" t="s">
        <v>2426</v>
      </c>
      <c r="P7161" s="867" t="s">
        <v>2496</v>
      </c>
    </row>
    <row r="7162" spans="1:18" ht="19.5" thickBot="1" x14ac:dyDescent="0.3">
      <c r="A7162" s="1007"/>
      <c r="B7162" s="798" t="s">
        <v>2416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2423</v>
      </c>
      <c r="I7162" s="801" t="s">
        <v>2423</v>
      </c>
      <c r="J7162" s="803"/>
      <c r="K7162" s="848"/>
      <c r="L7162" s="801" t="s">
        <v>265</v>
      </c>
      <c r="M7162" s="801">
        <v>1250</v>
      </c>
      <c r="N7162" s="804">
        <v>0.375</v>
      </c>
      <c r="O7162" s="897" t="s">
        <v>2462</v>
      </c>
      <c r="P7162" s="867" t="s">
        <v>2497</v>
      </c>
    </row>
    <row r="7163" spans="1:18" x14ac:dyDescent="0.25">
      <c r="A7163" s="1011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2423</v>
      </c>
      <c r="I7163" s="484" t="s">
        <v>2423</v>
      </c>
      <c r="J7163" s="485"/>
      <c r="K7163" s="479"/>
      <c r="L7163" s="483" t="s">
        <v>265</v>
      </c>
      <c r="M7163" s="483">
        <v>17390.300000000003</v>
      </c>
      <c r="N7163" s="486">
        <v>0.41666666666666669</v>
      </c>
      <c r="O7163" s="897" t="s">
        <v>2427</v>
      </c>
      <c r="P7163" s="867" t="s">
        <v>2494</v>
      </c>
    </row>
    <row r="7164" spans="1:18" ht="19.5" thickBot="1" x14ac:dyDescent="0.3">
      <c r="A7164" s="1013"/>
      <c r="B7164" s="805" t="s">
        <v>2416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2423</v>
      </c>
      <c r="I7164" s="808" t="s">
        <v>2423</v>
      </c>
      <c r="J7164" s="810"/>
      <c r="K7164" s="887"/>
      <c r="L7164" s="808" t="s">
        <v>265</v>
      </c>
      <c r="M7164" s="808">
        <v>3120</v>
      </c>
      <c r="N7164" s="778">
        <v>0.41666666666666669</v>
      </c>
      <c r="O7164" s="897" t="s">
        <v>2463</v>
      </c>
      <c r="P7164" s="867" t="s">
        <v>2495</v>
      </c>
    </row>
    <row r="7165" spans="1:18" x14ac:dyDescent="0.25">
      <c r="A7165" s="1008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2423</v>
      </c>
      <c r="I7165" s="569" t="s">
        <v>2423</v>
      </c>
      <c r="J7165" s="570"/>
      <c r="K7165" s="563"/>
      <c r="L7165" s="567" t="s">
        <v>28</v>
      </c>
      <c r="M7165" s="567">
        <v>8620.1999999999989</v>
      </c>
      <c r="N7165" s="571">
        <v>0.41666666666666669</v>
      </c>
      <c r="O7165" s="897" t="s">
        <v>2430</v>
      </c>
      <c r="P7165" s="867" t="s">
        <v>2506</v>
      </c>
    </row>
    <row r="7166" spans="1:18" ht="19.5" thickBot="1" x14ac:dyDescent="0.3">
      <c r="A7166" s="1009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2423</v>
      </c>
      <c r="I7166" s="642" t="s">
        <v>2423</v>
      </c>
      <c r="J7166" s="643"/>
      <c r="K7166" s="636"/>
      <c r="L7166" s="640" t="s">
        <v>28</v>
      </c>
      <c r="M7166" s="640">
        <v>5671.5599999999995</v>
      </c>
      <c r="N7166" s="644">
        <v>0.41666666666666669</v>
      </c>
      <c r="O7166" s="897" t="s">
        <v>2429</v>
      </c>
      <c r="P7166" s="867" t="s">
        <v>2505</v>
      </c>
    </row>
    <row r="7167" spans="1:18" x14ac:dyDescent="0.25">
      <c r="A7167" s="1011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980"/>
      <c r="H7167" s="483" t="s">
        <v>2424</v>
      </c>
      <c r="I7167" s="484" t="s">
        <v>2424</v>
      </c>
      <c r="J7167" s="485"/>
      <c r="K7167" s="479"/>
      <c r="L7167" s="483" t="s">
        <v>265</v>
      </c>
      <c r="M7167" s="483">
        <v>20167.020000000004</v>
      </c>
      <c r="N7167" s="486">
        <v>0.375</v>
      </c>
      <c r="O7167" s="897" t="s">
        <v>2428</v>
      </c>
      <c r="P7167" s="867" t="s">
        <v>2519</v>
      </c>
    </row>
    <row r="7168" spans="1:18" ht="19.5" thickBot="1" x14ac:dyDescent="0.3">
      <c r="A7168" s="1013"/>
      <c r="B7168" s="805" t="s">
        <v>2424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2424</v>
      </c>
      <c r="I7168" s="808" t="s">
        <v>2424</v>
      </c>
      <c r="J7168" s="810"/>
      <c r="K7168" s="887"/>
      <c r="L7168" s="808" t="s">
        <v>265</v>
      </c>
      <c r="M7168" s="808">
        <v>765</v>
      </c>
      <c r="N7168" s="778">
        <v>0.375</v>
      </c>
      <c r="O7168" s="897" t="s">
        <v>2508</v>
      </c>
      <c r="P7168" s="867" t="s">
        <v>2520</v>
      </c>
    </row>
    <row r="7169" spans="1:16" x14ac:dyDescent="0.25">
      <c r="A7169" s="1008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2424</v>
      </c>
      <c r="I7169" s="537" t="s">
        <v>2424</v>
      </c>
      <c r="J7169" s="538"/>
      <c r="K7169" s="531"/>
      <c r="L7169" s="535" t="s">
        <v>28</v>
      </c>
      <c r="M7169" s="535">
        <v>8943.9599999999991</v>
      </c>
      <c r="N7169" s="539">
        <v>0.41666666666666669</v>
      </c>
      <c r="O7169" s="897" t="s">
        <v>2436</v>
      </c>
      <c r="P7169" s="991" t="s">
        <v>2537</v>
      </c>
    </row>
    <row r="7170" spans="1:16" x14ac:dyDescent="0.25">
      <c r="A7170" s="1010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2424</v>
      </c>
      <c r="I7170" s="782" t="s">
        <v>2424</v>
      </c>
      <c r="J7170" s="825"/>
      <c r="K7170" s="849"/>
      <c r="L7170" s="819" t="s">
        <v>28</v>
      </c>
      <c r="M7170" s="819">
        <v>8766.5400000000009</v>
      </c>
      <c r="N7170" s="811">
        <v>0.41666666666666669</v>
      </c>
      <c r="O7170" s="897" t="s">
        <v>2435</v>
      </c>
      <c r="P7170" s="991" t="s">
        <v>2536</v>
      </c>
    </row>
    <row r="7171" spans="1:16" ht="19.5" thickBot="1" x14ac:dyDescent="0.3">
      <c r="A7171" s="1010"/>
      <c r="B7171" s="836" t="s">
        <v>2424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2424</v>
      </c>
      <c r="I7171" s="839" t="s">
        <v>2424</v>
      </c>
      <c r="J7171" s="840"/>
      <c r="K7171" s="836"/>
      <c r="L7171" s="839" t="s">
        <v>28</v>
      </c>
      <c r="M7171" s="839">
        <v>1830</v>
      </c>
      <c r="N7171" s="598">
        <v>0.41666666666666669</v>
      </c>
      <c r="O7171" s="897" t="s">
        <v>2507</v>
      </c>
      <c r="P7171" s="867" t="s">
        <v>2531</v>
      </c>
    </row>
    <row r="7172" spans="1:16" ht="19.5" thickBot="1" x14ac:dyDescent="0.3">
      <c r="A7172" s="513">
        <f>MAX(A7015:A7171)+1</f>
        <v>4422</v>
      </c>
      <c r="B7172" s="514" t="s">
        <v>2416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2424</v>
      </c>
      <c r="I7172" s="520" t="s">
        <v>2424</v>
      </c>
      <c r="J7172" s="521"/>
      <c r="K7172" s="514"/>
      <c r="L7172" s="518" t="s">
        <v>265</v>
      </c>
      <c r="M7172" s="518">
        <v>16049.4</v>
      </c>
      <c r="N7172" s="522">
        <v>0.375</v>
      </c>
      <c r="O7172" s="897" t="s">
        <v>2452</v>
      </c>
      <c r="P7172" s="867" t="s">
        <v>2513</v>
      </c>
    </row>
    <row r="7173" spans="1:16" x14ac:dyDescent="0.25">
      <c r="A7173" s="1008">
        <f>MAX(A7016:A7172)+1</f>
        <v>4423</v>
      </c>
      <c r="B7173" s="759" t="s">
        <v>2416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91" t="s">
        <v>2498</v>
      </c>
      <c r="H7173" s="535" t="s">
        <v>2424</v>
      </c>
      <c r="I7173" s="537" t="s">
        <v>2424</v>
      </c>
      <c r="J7173" s="538"/>
      <c r="K7173" s="531"/>
      <c r="L7173" s="535" t="s">
        <v>266</v>
      </c>
      <c r="M7173" s="535">
        <v>8637.08</v>
      </c>
      <c r="N7173" s="539">
        <v>0.45833333333333331</v>
      </c>
      <c r="O7173" s="897" t="s">
        <v>2454</v>
      </c>
      <c r="P7173" s="867" t="s">
        <v>2515</v>
      </c>
    </row>
    <row r="7174" spans="1:16" ht="37.5" x14ac:dyDescent="0.25">
      <c r="A7174" s="1010"/>
      <c r="B7174" s="989" t="s">
        <v>2416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092"/>
      <c r="H7174" s="915" t="s">
        <v>2424</v>
      </c>
      <c r="I7174" s="917" t="s">
        <v>1496</v>
      </c>
      <c r="J7174" s="990" t="s">
        <v>2544</v>
      </c>
      <c r="K7174" s="911"/>
      <c r="L7174" s="915" t="s">
        <v>266</v>
      </c>
      <c r="M7174" s="915">
        <v>312</v>
      </c>
      <c r="N7174" s="919">
        <v>0.45833333333333331</v>
      </c>
      <c r="O7174" s="920" t="s">
        <v>2455</v>
      </c>
      <c r="P7174" s="921" t="s">
        <v>1024</v>
      </c>
    </row>
    <row r="7175" spans="1:16" x14ac:dyDescent="0.25">
      <c r="A7175" s="1010"/>
      <c r="B7175" s="760" t="s">
        <v>2416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092"/>
      <c r="H7175" s="567" t="s">
        <v>2424</v>
      </c>
      <c r="I7175" s="569" t="s">
        <v>2424</v>
      </c>
      <c r="J7175" s="677" t="s">
        <v>845</v>
      </c>
      <c r="K7175" s="563"/>
      <c r="L7175" s="567" t="s">
        <v>266</v>
      </c>
      <c r="M7175" s="567">
        <v>4296.32</v>
      </c>
      <c r="N7175" s="571">
        <v>0.45833333333333331</v>
      </c>
      <c r="O7175" s="897" t="s">
        <v>2456</v>
      </c>
      <c r="P7175" s="867" t="s">
        <v>2516</v>
      </c>
    </row>
    <row r="7176" spans="1:16" ht="19.5" thickBot="1" x14ac:dyDescent="0.3">
      <c r="A7176" s="1009"/>
      <c r="B7176" s="762" t="s">
        <v>2416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092"/>
      <c r="H7176" s="594" t="s">
        <v>2424</v>
      </c>
      <c r="I7176" s="596" t="s">
        <v>2424</v>
      </c>
      <c r="J7176" s="983" t="s">
        <v>1702</v>
      </c>
      <c r="K7176" s="590"/>
      <c r="L7176" s="594" t="s">
        <v>266</v>
      </c>
      <c r="M7176" s="594">
        <v>5329.0000000000009</v>
      </c>
      <c r="N7176" s="598">
        <v>0.45833333333333331</v>
      </c>
      <c r="O7176" s="897" t="s">
        <v>2457</v>
      </c>
      <c r="P7176" s="867" t="s">
        <v>2517</v>
      </c>
    </row>
    <row r="7177" spans="1:16" x14ac:dyDescent="0.25">
      <c r="A7177" s="1011">
        <f>MAX(A7020:A7176)+1</f>
        <v>4424</v>
      </c>
      <c r="B7177" s="610" t="s">
        <v>2416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980"/>
      <c r="H7177" s="483" t="s">
        <v>2453</v>
      </c>
      <c r="I7177" s="484" t="s">
        <v>2453</v>
      </c>
      <c r="J7177" s="485"/>
      <c r="K7177" s="479"/>
      <c r="L7177" s="483" t="s">
        <v>265</v>
      </c>
      <c r="M7177" s="483">
        <v>17674.04</v>
      </c>
      <c r="N7177" s="486">
        <v>0.375</v>
      </c>
      <c r="O7177" s="897" t="s">
        <v>2458</v>
      </c>
      <c r="P7177" s="867" t="s">
        <v>2521</v>
      </c>
    </row>
    <row r="7178" spans="1:16" x14ac:dyDescent="0.25">
      <c r="A7178" s="1012"/>
      <c r="B7178" s="769" t="s">
        <v>2416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981"/>
      <c r="H7178" s="763" t="s">
        <v>2453</v>
      </c>
      <c r="I7178" s="768" t="s">
        <v>2453</v>
      </c>
      <c r="J7178" s="779"/>
      <c r="K7178" s="791"/>
      <c r="L7178" s="763" t="s">
        <v>265</v>
      </c>
      <c r="M7178" s="763">
        <v>2533.3200000000002</v>
      </c>
      <c r="N7178" s="770">
        <v>0.375</v>
      </c>
      <c r="O7178" s="897" t="s">
        <v>2459</v>
      </c>
      <c r="P7178" s="867" t="s">
        <v>2522</v>
      </c>
    </row>
    <row r="7179" spans="1:16" ht="19.5" thickBot="1" x14ac:dyDescent="0.3">
      <c r="A7179" s="1013"/>
      <c r="B7179" s="805" t="s">
        <v>2453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2453</v>
      </c>
      <c r="I7179" s="808" t="s">
        <v>2453</v>
      </c>
      <c r="J7179" s="810"/>
      <c r="K7179" s="887"/>
      <c r="L7179" s="808" t="s">
        <v>265</v>
      </c>
      <c r="M7179" s="808">
        <v>525</v>
      </c>
      <c r="N7179" s="778">
        <v>0.375</v>
      </c>
      <c r="O7179" s="897" t="s">
        <v>2509</v>
      </c>
      <c r="P7179" s="867" t="s">
        <v>2523</v>
      </c>
    </row>
    <row r="7180" spans="1:16" x14ac:dyDescent="0.25">
      <c r="A7180" s="1008">
        <f>MAX(A7022:A7179)+1</f>
        <v>4425</v>
      </c>
      <c r="B7180" s="531" t="s">
        <v>2416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2453</v>
      </c>
      <c r="I7180" s="537" t="s">
        <v>2453</v>
      </c>
      <c r="J7180" s="538"/>
      <c r="K7180" s="531"/>
      <c r="L7180" s="535" t="s">
        <v>28</v>
      </c>
      <c r="M7180" s="535">
        <v>772.8</v>
      </c>
      <c r="N7180" s="539">
        <v>0.41666666666666669</v>
      </c>
      <c r="O7180" s="897" t="s">
        <v>2461</v>
      </c>
      <c r="P7180" s="867" t="s">
        <v>2529</v>
      </c>
    </row>
    <row r="7181" spans="1:16" x14ac:dyDescent="0.25">
      <c r="A7181" s="1010"/>
      <c r="B7181" s="824" t="s">
        <v>2416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2453</v>
      </c>
      <c r="I7181" s="782" t="s">
        <v>2453</v>
      </c>
      <c r="J7181" s="825"/>
      <c r="K7181" s="849"/>
      <c r="L7181" s="819" t="s">
        <v>28</v>
      </c>
      <c r="M7181" s="819">
        <v>16789.900000000001</v>
      </c>
      <c r="N7181" s="811">
        <v>0.41666666666666669</v>
      </c>
      <c r="O7181" s="897" t="s">
        <v>2460</v>
      </c>
      <c r="P7181" s="867" t="s">
        <v>2528</v>
      </c>
    </row>
    <row r="7182" spans="1:16" ht="19.5" thickBot="1" x14ac:dyDescent="0.3">
      <c r="A7182" s="1010"/>
      <c r="B7182" s="836" t="s">
        <v>2453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2453</v>
      </c>
      <c r="I7182" s="839" t="s">
        <v>2453</v>
      </c>
      <c r="J7182" s="840"/>
      <c r="K7182" s="836"/>
      <c r="L7182" s="839" t="s">
        <v>28</v>
      </c>
      <c r="M7182" s="839">
        <v>1214.1599999999999</v>
      </c>
      <c r="N7182" s="598">
        <v>0.41666666666666669</v>
      </c>
      <c r="O7182" s="897" t="s">
        <v>2510</v>
      </c>
      <c r="P7182" s="867" t="s">
        <v>2530</v>
      </c>
    </row>
    <row r="7183" spans="1:16" ht="19.5" thickBot="1" x14ac:dyDescent="0.3">
      <c r="A7183" s="513">
        <f>MAX(A7024:A7182)+1</f>
        <v>4426</v>
      </c>
      <c r="B7183" s="514" t="s">
        <v>2423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2471</v>
      </c>
      <c r="I7183" s="520" t="s">
        <v>2471</v>
      </c>
      <c r="J7183" s="521"/>
      <c r="K7183" s="514"/>
      <c r="L7183" s="518" t="s">
        <v>265</v>
      </c>
      <c r="M7183" s="518">
        <v>16669.04</v>
      </c>
      <c r="N7183" s="522">
        <v>0.375</v>
      </c>
      <c r="O7183" s="897" t="s">
        <v>2473</v>
      </c>
      <c r="P7183" s="867" t="s">
        <v>2518</v>
      </c>
    </row>
    <row r="7184" spans="1:16" ht="57" thickBot="1" x14ac:dyDescent="0.3">
      <c r="A7184" s="503">
        <f>MAX(A7025:A7183)+1</f>
        <v>4427</v>
      </c>
      <c r="B7184" s="504" t="s">
        <v>2423</v>
      </c>
      <c r="C7184" s="505" t="s">
        <v>913</v>
      </c>
      <c r="D7184" s="506">
        <v>10.739000000000001</v>
      </c>
      <c r="E7184" s="507"/>
      <c r="F7184" s="508" t="s">
        <v>30</v>
      </c>
      <c r="G7184" s="509" t="s">
        <v>2472</v>
      </c>
      <c r="H7184" s="508" t="s">
        <v>2471</v>
      </c>
      <c r="I7184" s="510"/>
      <c r="J7184" s="511"/>
      <c r="K7184" s="504"/>
      <c r="L7184" s="508" t="s">
        <v>266</v>
      </c>
      <c r="M7184" s="508">
        <v>10739.76</v>
      </c>
      <c r="N7184" s="512">
        <v>0.5</v>
      </c>
      <c r="O7184" s="897" t="s">
        <v>2474</v>
      </c>
    </row>
    <row r="7185" spans="1:18" x14ac:dyDescent="0.25">
      <c r="A7185" s="1011">
        <f>MAX(A7026:A7184)+1</f>
        <v>4428</v>
      </c>
      <c r="B7185" s="610" t="s">
        <v>2423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980"/>
      <c r="H7185" s="483" t="s">
        <v>2471</v>
      </c>
      <c r="I7185" s="484" t="s">
        <v>2476</v>
      </c>
      <c r="J7185" s="485"/>
      <c r="K7185" s="479"/>
      <c r="L7185" s="483" t="s">
        <v>265</v>
      </c>
      <c r="M7185" s="483">
        <v>17597.66</v>
      </c>
      <c r="N7185" s="486">
        <v>0.375</v>
      </c>
      <c r="O7185" s="897" t="s">
        <v>2478</v>
      </c>
      <c r="P7185" s="867" t="s">
        <v>2555</v>
      </c>
    </row>
    <row r="7186" spans="1:18" x14ac:dyDescent="0.25">
      <c r="A7186" s="1012"/>
      <c r="B7186" s="792" t="s">
        <v>2476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/>
      <c r="H7186" s="795" t="s">
        <v>2471</v>
      </c>
      <c r="I7186" s="795" t="s">
        <v>2476</v>
      </c>
      <c r="J7186" s="797"/>
      <c r="K7186" s="992"/>
      <c r="L7186" s="795" t="s">
        <v>265</v>
      </c>
      <c r="M7186" s="795">
        <v>2325</v>
      </c>
      <c r="N7186" s="502">
        <v>0.375</v>
      </c>
      <c r="O7186" s="897" t="s">
        <v>2542</v>
      </c>
      <c r="P7186" s="867" t="s">
        <v>2564</v>
      </c>
    </row>
    <row r="7187" spans="1:18" ht="19.5" thickBot="1" x14ac:dyDescent="0.3">
      <c r="A7187" s="1013"/>
      <c r="B7187" s="805" t="s">
        <v>2453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2471</v>
      </c>
      <c r="I7187" s="808" t="s">
        <v>2476</v>
      </c>
      <c r="J7187" s="810"/>
      <c r="K7187" s="887"/>
      <c r="L7187" s="808" t="s">
        <v>265</v>
      </c>
      <c r="M7187" s="808">
        <v>2550</v>
      </c>
      <c r="N7187" s="778">
        <v>0.375</v>
      </c>
      <c r="O7187" s="897" t="s">
        <v>2511</v>
      </c>
      <c r="P7187" s="867" t="s">
        <v>2556</v>
      </c>
    </row>
    <row r="7188" spans="1:18" x14ac:dyDescent="0.25">
      <c r="A7188" s="1005">
        <f>MAX(A7027:A7185)+1</f>
        <v>4429</v>
      </c>
      <c r="B7188" s="759" t="s">
        <v>2423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2471</v>
      </c>
      <c r="I7188" s="537" t="s">
        <v>2476</v>
      </c>
      <c r="J7188" s="538"/>
      <c r="K7188" s="531"/>
      <c r="L7188" s="535" t="s">
        <v>265</v>
      </c>
      <c r="M7188" s="535">
        <v>17908.080000000002</v>
      </c>
      <c r="N7188" s="539">
        <v>0.41666666666666669</v>
      </c>
      <c r="O7188" s="897" t="s">
        <v>2477</v>
      </c>
      <c r="P7188" s="867" t="s">
        <v>2560</v>
      </c>
    </row>
    <row r="7189" spans="1:18" x14ac:dyDescent="0.25">
      <c r="A7189" s="1006"/>
      <c r="B7189" s="852" t="s">
        <v>2476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/>
      <c r="H7189" s="839" t="s">
        <v>2471</v>
      </c>
      <c r="I7189" s="839" t="s">
        <v>2476</v>
      </c>
      <c r="J7189" s="840"/>
      <c r="K7189" s="836"/>
      <c r="L7189" s="839" t="s">
        <v>265</v>
      </c>
      <c r="M7189" s="839">
        <v>1620</v>
      </c>
      <c r="N7189" s="598">
        <v>0.41666666666666669</v>
      </c>
      <c r="O7189" s="897" t="s">
        <v>2543</v>
      </c>
      <c r="P7189" s="867" t="s">
        <v>2561</v>
      </c>
    </row>
    <row r="7190" spans="1:18" ht="19.5" thickBot="1" x14ac:dyDescent="0.3">
      <c r="A7190" s="1007"/>
      <c r="B7190" s="798" t="s">
        <v>2453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2471</v>
      </c>
      <c r="I7190" s="801" t="s">
        <v>2476</v>
      </c>
      <c r="J7190" s="803"/>
      <c r="K7190" s="848"/>
      <c r="L7190" s="801" t="s">
        <v>265</v>
      </c>
      <c r="M7190" s="801">
        <v>1725</v>
      </c>
      <c r="N7190" s="804">
        <v>0.41666666666666669</v>
      </c>
      <c r="O7190" s="897" t="s">
        <v>2512</v>
      </c>
      <c r="P7190" s="867" t="s">
        <v>2562</v>
      </c>
    </row>
    <row r="7191" spans="1:18" x14ac:dyDescent="0.25">
      <c r="A7191" s="1011">
        <f>MAX(A7030:A7188)+1</f>
        <v>4430</v>
      </c>
      <c r="B7191" s="610" t="s">
        <v>2423</v>
      </c>
      <c r="C7191" s="480" t="s">
        <v>15</v>
      </c>
      <c r="D7191" s="481">
        <v>8.6010000000000009</v>
      </c>
      <c r="E7191" s="482"/>
      <c r="F7191" s="483" t="s">
        <v>16</v>
      </c>
      <c r="G7191" s="1002" t="s">
        <v>2475</v>
      </c>
      <c r="H7191" s="483" t="s">
        <v>2471</v>
      </c>
      <c r="I7191" s="484"/>
      <c r="J7191" s="485"/>
      <c r="K7191" s="479"/>
      <c r="L7191" s="483" t="s">
        <v>28</v>
      </c>
      <c r="M7191" s="483">
        <v>8730.48</v>
      </c>
      <c r="N7191" s="486">
        <v>0.5</v>
      </c>
      <c r="O7191" s="897" t="s">
        <v>2480</v>
      </c>
      <c r="Q7191" s="847">
        <v>7878</v>
      </c>
      <c r="R7191" s="833" t="s">
        <v>2545</v>
      </c>
    </row>
    <row r="7192" spans="1:18" x14ac:dyDescent="0.25">
      <c r="A7192" s="1012"/>
      <c r="B7192" s="769" t="s">
        <v>2423</v>
      </c>
      <c r="C7192" s="764" t="s">
        <v>24</v>
      </c>
      <c r="D7192" s="765">
        <v>6.9950000000000001</v>
      </c>
      <c r="E7192" s="766"/>
      <c r="F7192" s="763" t="s">
        <v>16</v>
      </c>
      <c r="G7192" s="1003"/>
      <c r="H7192" s="763" t="s">
        <v>2471</v>
      </c>
      <c r="I7192" s="768"/>
      <c r="J7192" s="779"/>
      <c r="K7192" s="791"/>
      <c r="L7192" s="763" t="s">
        <v>28</v>
      </c>
      <c r="M7192" s="763">
        <v>7135.9200000000019</v>
      </c>
      <c r="N7192" s="770">
        <v>0.5</v>
      </c>
      <c r="O7192" s="897" t="s">
        <v>2479</v>
      </c>
      <c r="Q7192" s="847">
        <v>6331</v>
      </c>
      <c r="R7192" s="833" t="s">
        <v>2545</v>
      </c>
    </row>
    <row r="7193" spans="1:18" x14ac:dyDescent="0.25">
      <c r="A7193" s="1012"/>
      <c r="B7193" s="864" t="s">
        <v>2471</v>
      </c>
      <c r="C7193" s="861" t="s">
        <v>15</v>
      </c>
      <c r="D7193" s="862">
        <v>0.86</v>
      </c>
      <c r="E7193" s="862"/>
      <c r="F7193" s="860" t="s">
        <v>16</v>
      </c>
      <c r="G7193" s="1003"/>
      <c r="H7193" s="860" t="s">
        <v>2471</v>
      </c>
      <c r="I7193" s="860"/>
      <c r="J7193" s="865"/>
      <c r="K7193" s="976"/>
      <c r="L7193" s="860" t="s">
        <v>28</v>
      </c>
      <c r="M7193" s="860">
        <v>870</v>
      </c>
      <c r="N7193" s="986">
        <v>0.5</v>
      </c>
      <c r="O7193" s="897" t="s">
        <v>2533</v>
      </c>
      <c r="Q7193" s="847">
        <v>870</v>
      </c>
      <c r="R7193" s="833" t="s">
        <v>2545</v>
      </c>
    </row>
    <row r="7194" spans="1:18" ht="19.5" thickBot="1" x14ac:dyDescent="0.3">
      <c r="A7194" s="1013"/>
      <c r="B7194" s="805" t="s">
        <v>2471</v>
      </c>
      <c r="C7194" s="806" t="s">
        <v>24</v>
      </c>
      <c r="D7194" s="807">
        <v>0.78</v>
      </c>
      <c r="E7194" s="807"/>
      <c r="F7194" s="808" t="s">
        <v>16</v>
      </c>
      <c r="G7194" s="1004"/>
      <c r="H7194" s="808" t="s">
        <v>2471</v>
      </c>
      <c r="I7194" s="808"/>
      <c r="J7194" s="810"/>
      <c r="K7194" s="887"/>
      <c r="L7194" s="808" t="s">
        <v>28</v>
      </c>
      <c r="M7194" s="808">
        <v>795</v>
      </c>
      <c r="N7194" s="987">
        <v>0.5</v>
      </c>
      <c r="O7194" s="897" t="s">
        <v>2532</v>
      </c>
      <c r="Q7194" s="847">
        <v>792</v>
      </c>
      <c r="R7194" s="833" t="s">
        <v>2545</v>
      </c>
    </row>
    <row r="7195" spans="1:18" ht="19.5" thickBot="1" x14ac:dyDescent="0.3">
      <c r="A7195" s="503">
        <f>MAX(A7032:A7194)+1</f>
        <v>4431</v>
      </c>
      <c r="B7195" s="636" t="s">
        <v>2423</v>
      </c>
      <c r="C7195" s="637" t="s">
        <v>587</v>
      </c>
      <c r="D7195" s="638">
        <v>8.6890000000000001</v>
      </c>
      <c r="E7195" s="639"/>
      <c r="F7195" s="640" t="s">
        <v>30</v>
      </c>
      <c r="G7195" s="985" t="s">
        <v>23</v>
      </c>
      <c r="H7195" s="640" t="s">
        <v>2471</v>
      </c>
      <c r="I7195" s="642"/>
      <c r="J7195" s="643"/>
      <c r="K7195" s="636"/>
      <c r="L7195" s="640" t="s">
        <v>28</v>
      </c>
      <c r="M7195" s="640">
        <v>8689.0400000000009</v>
      </c>
      <c r="N7195" s="644">
        <v>0.45833333333333331</v>
      </c>
      <c r="O7195" s="897" t="s">
        <v>2487</v>
      </c>
      <c r="Q7195" s="847">
        <v>8689</v>
      </c>
      <c r="R7195" s="833" t="s">
        <v>2545</v>
      </c>
    </row>
    <row r="7196" spans="1:18" x14ac:dyDescent="0.25">
      <c r="A7196" s="998">
        <f>MAX(A7033:A7195)+1</f>
        <v>4432</v>
      </c>
      <c r="B7196" s="479" t="s">
        <v>2423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2471</v>
      </c>
      <c r="I7196" s="484" t="s">
        <v>2471</v>
      </c>
      <c r="J7196" s="485"/>
      <c r="K7196" s="479"/>
      <c r="L7196" s="483" t="s">
        <v>266</v>
      </c>
      <c r="M7196" s="483">
        <v>2026.08</v>
      </c>
      <c r="N7196" s="486">
        <v>0.41666666666666669</v>
      </c>
      <c r="O7196" s="897" t="s">
        <v>2486</v>
      </c>
      <c r="P7196" s="867" t="s">
        <v>2539</v>
      </c>
    </row>
    <row r="7197" spans="1:18" x14ac:dyDescent="0.25">
      <c r="A7197" s="999"/>
      <c r="B7197" s="523" t="s">
        <v>2423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2471</v>
      </c>
      <c r="I7197" s="528" t="s">
        <v>2471</v>
      </c>
      <c r="J7197" s="529"/>
      <c r="K7197" s="523"/>
      <c r="L7197" s="527" t="s">
        <v>28</v>
      </c>
      <c r="M7197" s="527">
        <v>9787.68</v>
      </c>
      <c r="N7197" s="530">
        <v>0.41666666666666669</v>
      </c>
      <c r="O7197" s="897" t="s">
        <v>2488</v>
      </c>
      <c r="P7197" s="867" t="s">
        <v>2540</v>
      </c>
    </row>
    <row r="7198" spans="1:18" ht="19.5" thickBot="1" x14ac:dyDescent="0.3">
      <c r="A7198" s="1014"/>
      <c r="B7198" s="645" t="s">
        <v>2423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2471</v>
      </c>
      <c r="I7198" s="651" t="s">
        <v>2471</v>
      </c>
      <c r="J7198" s="652"/>
      <c r="K7198" s="645"/>
      <c r="L7198" s="649" t="s">
        <v>28</v>
      </c>
      <c r="M7198" s="649">
        <v>1257.5999999999999</v>
      </c>
      <c r="N7198" s="653">
        <v>0.41666666666666669</v>
      </c>
      <c r="O7198" s="897" t="s">
        <v>2485</v>
      </c>
      <c r="P7198" s="867" t="s">
        <v>2541</v>
      </c>
    </row>
    <row r="7199" spans="1:18" x14ac:dyDescent="0.25">
      <c r="A7199" s="1005">
        <f t="shared" ref="A7199" si="218">MAX(A7036:A7198)+1</f>
        <v>4433</v>
      </c>
      <c r="B7199" s="759" t="s">
        <v>2423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2476</v>
      </c>
      <c r="I7199" s="537" t="s">
        <v>2476</v>
      </c>
      <c r="J7199" s="538"/>
      <c r="K7199" s="531"/>
      <c r="L7199" s="535" t="s">
        <v>265</v>
      </c>
      <c r="M7199" s="535">
        <v>17575.240000000002</v>
      </c>
      <c r="N7199" s="539">
        <v>0.375</v>
      </c>
      <c r="O7199" s="897" t="s">
        <v>2481</v>
      </c>
      <c r="P7199" s="867" t="s">
        <v>2558</v>
      </c>
    </row>
    <row r="7200" spans="1:18" ht="19.5" thickBot="1" x14ac:dyDescent="0.3">
      <c r="A7200" s="1007"/>
      <c r="B7200" s="798" t="s">
        <v>2471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2476</v>
      </c>
      <c r="I7200" s="801" t="s">
        <v>2476</v>
      </c>
      <c r="J7200" s="803"/>
      <c r="K7200" s="848"/>
      <c r="L7200" s="801" t="s">
        <v>265</v>
      </c>
      <c r="M7200" s="801">
        <v>2700</v>
      </c>
      <c r="N7200" s="804">
        <v>0.375</v>
      </c>
      <c r="O7200" s="897" t="s">
        <v>2534</v>
      </c>
      <c r="P7200" s="867" t="s">
        <v>2559</v>
      </c>
    </row>
    <row r="7201" spans="1:18" x14ac:dyDescent="0.25">
      <c r="A7201" s="1011">
        <f>MAX(A7037:A7199)+1</f>
        <v>4434</v>
      </c>
      <c r="B7201" s="610" t="s">
        <v>2423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988"/>
      <c r="H7201" s="483" t="s">
        <v>2476</v>
      </c>
      <c r="I7201" s="484" t="s">
        <v>2476</v>
      </c>
      <c r="J7201" s="485"/>
      <c r="K7201" s="479"/>
      <c r="L7201" s="483" t="s">
        <v>265</v>
      </c>
      <c r="M7201" s="483">
        <v>17884.45</v>
      </c>
      <c r="N7201" s="486">
        <v>0.41666666666666669</v>
      </c>
      <c r="O7201" s="897" t="s">
        <v>2482</v>
      </c>
      <c r="P7201" s="867" t="s">
        <v>2563</v>
      </c>
    </row>
    <row r="7202" spans="1:18" x14ac:dyDescent="0.25">
      <c r="A7202" s="1012"/>
      <c r="B7202" s="792" t="s">
        <v>2476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2476</v>
      </c>
      <c r="I7202" s="795" t="s">
        <v>2476</v>
      </c>
      <c r="J7202" s="797"/>
      <c r="K7202" s="992"/>
      <c r="L7202" s="795" t="s">
        <v>265</v>
      </c>
      <c r="M7202" s="795">
        <v>510</v>
      </c>
      <c r="N7202" s="502">
        <v>0.41666666666666669</v>
      </c>
      <c r="O7202" s="897" t="s">
        <v>2546</v>
      </c>
      <c r="P7202" s="867" t="s">
        <v>2565</v>
      </c>
    </row>
    <row r="7203" spans="1:18" ht="19.5" thickBot="1" x14ac:dyDescent="0.3">
      <c r="A7203" s="1012"/>
      <c r="B7203" s="841" t="s">
        <v>2471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2476</v>
      </c>
      <c r="I7203" s="844" t="s">
        <v>2476</v>
      </c>
      <c r="J7203" s="845"/>
      <c r="K7203" s="886"/>
      <c r="L7203" s="844" t="s">
        <v>265</v>
      </c>
      <c r="M7203" s="844">
        <v>3225</v>
      </c>
      <c r="N7203" s="846">
        <v>0.41666666666666669</v>
      </c>
      <c r="O7203" s="897" t="s">
        <v>2535</v>
      </c>
      <c r="P7203" s="867" t="s">
        <v>2557</v>
      </c>
    </row>
    <row r="7204" spans="1:18" x14ac:dyDescent="0.25">
      <c r="A7204" s="1085">
        <f>MAX(A7038:A7201)+1</f>
        <v>4435</v>
      </c>
      <c r="B7204" s="759" t="s">
        <v>2423</v>
      </c>
      <c r="C7204" s="532" t="s">
        <v>23</v>
      </c>
      <c r="D7204" s="533">
        <v>17.199000000000002</v>
      </c>
      <c r="E7204" s="534"/>
      <c r="F7204" s="535" t="s">
        <v>16</v>
      </c>
      <c r="G7204" s="1087" t="s">
        <v>1634</v>
      </c>
      <c r="H7204" s="535" t="s">
        <v>2476</v>
      </c>
      <c r="I7204" s="537"/>
      <c r="J7204" s="538"/>
      <c r="K7204" s="531"/>
      <c r="L7204" s="535" t="s">
        <v>28</v>
      </c>
      <c r="M7204" s="535">
        <v>17311.98</v>
      </c>
      <c r="N7204" s="539">
        <v>0.45833333333333331</v>
      </c>
      <c r="O7204" s="897" t="s">
        <v>2483</v>
      </c>
      <c r="P7204" s="867">
        <v>6307622</v>
      </c>
      <c r="Q7204" s="847">
        <v>15475</v>
      </c>
      <c r="R7204" s="833" t="s">
        <v>2545</v>
      </c>
    </row>
    <row r="7205" spans="1:18" ht="19.5" thickBot="1" x14ac:dyDescent="0.3">
      <c r="A7205" s="1086"/>
      <c r="B7205" s="798" t="s">
        <v>2476</v>
      </c>
      <c r="C7205" s="799" t="s">
        <v>23</v>
      </c>
      <c r="D7205" s="800">
        <v>1.7</v>
      </c>
      <c r="E7205" s="800"/>
      <c r="F7205" s="801" t="s">
        <v>16</v>
      </c>
      <c r="G7205" s="1088"/>
      <c r="H7205" s="801" t="s">
        <v>2476</v>
      </c>
      <c r="I7205" s="801"/>
      <c r="J7205" s="803"/>
      <c r="K7205" s="848"/>
      <c r="L7205" s="801" t="s">
        <v>28</v>
      </c>
      <c r="M7205" s="801">
        <v>1717.56</v>
      </c>
      <c r="N7205" s="804">
        <v>0.45833333333333331</v>
      </c>
      <c r="O7205" s="897" t="s">
        <v>2548</v>
      </c>
      <c r="Q7205" s="847">
        <v>1719</v>
      </c>
      <c r="R7205" s="833" t="s">
        <v>2545</v>
      </c>
    </row>
    <row r="7206" spans="1:18" x14ac:dyDescent="0.25">
      <c r="A7206" s="998">
        <f>MAX(A7039:A7204)+1</f>
        <v>4436</v>
      </c>
      <c r="B7206" s="610" t="s">
        <v>2423</v>
      </c>
      <c r="C7206" s="480" t="s">
        <v>47</v>
      </c>
      <c r="D7206" s="481">
        <v>17.166</v>
      </c>
      <c r="E7206" s="482"/>
      <c r="F7206" s="483" t="s">
        <v>16</v>
      </c>
      <c r="G7206" s="1089" t="s">
        <v>1634</v>
      </c>
      <c r="H7206" s="483" t="s">
        <v>2476</v>
      </c>
      <c r="I7206" s="484"/>
      <c r="J7206" s="485"/>
      <c r="K7206" s="479"/>
      <c r="L7206" s="483" t="s">
        <v>28</v>
      </c>
      <c r="M7206" s="483">
        <v>17304.93</v>
      </c>
      <c r="N7206" s="486">
        <v>0.5</v>
      </c>
      <c r="O7206" s="897" t="s">
        <v>2484</v>
      </c>
      <c r="P7206" s="867">
        <v>6307624</v>
      </c>
      <c r="Q7206" s="847">
        <v>16513</v>
      </c>
      <c r="R7206" s="833" t="s">
        <v>2545</v>
      </c>
    </row>
    <row r="7207" spans="1:18" ht="19.5" thickBot="1" x14ac:dyDescent="0.3">
      <c r="A7207" s="1014"/>
      <c r="B7207" s="805" t="s">
        <v>2476</v>
      </c>
      <c r="C7207" s="806" t="s">
        <v>47</v>
      </c>
      <c r="D7207" s="807">
        <v>0.82</v>
      </c>
      <c r="E7207" s="807"/>
      <c r="F7207" s="808" t="s">
        <v>16</v>
      </c>
      <c r="G7207" s="1090"/>
      <c r="H7207" s="808" t="s">
        <v>2476</v>
      </c>
      <c r="I7207" s="808"/>
      <c r="J7207" s="810"/>
      <c r="K7207" s="887"/>
      <c r="L7207" s="808" t="s">
        <v>28</v>
      </c>
      <c r="M7207" s="808">
        <v>825</v>
      </c>
      <c r="N7207" s="778">
        <v>0.5</v>
      </c>
      <c r="O7207" s="897" t="s">
        <v>2549</v>
      </c>
      <c r="Q7207" s="847">
        <v>832</v>
      </c>
      <c r="R7207" s="833" t="s">
        <v>2545</v>
      </c>
    </row>
    <row r="7208" spans="1:18" ht="19.5" thickBot="1" x14ac:dyDescent="0.3">
      <c r="A7208" s="503">
        <f>MAX(A7040:A7206)+1</f>
        <v>4437</v>
      </c>
      <c r="B7208" s="636" t="s">
        <v>2423</v>
      </c>
      <c r="C7208" s="637" t="s">
        <v>23</v>
      </c>
      <c r="D7208" s="638">
        <v>12.076000000000001</v>
      </c>
      <c r="E7208" s="639"/>
      <c r="F7208" s="640" t="s">
        <v>30</v>
      </c>
      <c r="G7208" s="994"/>
      <c r="H7208" s="640" t="s">
        <v>2476</v>
      </c>
      <c r="I7208" s="642"/>
      <c r="J7208" s="643"/>
      <c r="K7208" s="636"/>
      <c r="L7208" s="640" t="s">
        <v>28</v>
      </c>
      <c r="M7208" s="640">
        <v>12076.199999999999</v>
      </c>
      <c r="N7208" s="644">
        <v>0.41666666666666669</v>
      </c>
      <c r="O7208" s="897" t="s">
        <v>2489</v>
      </c>
    </row>
    <row r="7209" spans="1:18" x14ac:dyDescent="0.25">
      <c r="A7209" s="998">
        <f>MAX(A7041:A7208)+1</f>
        <v>4438</v>
      </c>
      <c r="B7209" s="479" t="s">
        <v>2471</v>
      </c>
      <c r="C7209" s="480" t="s">
        <v>55</v>
      </c>
      <c r="D7209" s="481">
        <v>2.87</v>
      </c>
      <c r="E7209" s="482"/>
      <c r="F7209" s="483" t="s">
        <v>16</v>
      </c>
      <c r="G7209" s="984" t="s">
        <v>844</v>
      </c>
      <c r="H7209" s="483" t="s">
        <v>2547</v>
      </c>
      <c r="I7209" s="484"/>
      <c r="J7209" s="485"/>
      <c r="K7209" s="479"/>
      <c r="L7209" s="483" t="s">
        <v>266</v>
      </c>
      <c r="M7209" s="483">
        <v>2937.4599999999996</v>
      </c>
      <c r="N7209" s="486">
        <v>0.5</v>
      </c>
      <c r="O7209" s="897" t="s">
        <v>2526</v>
      </c>
    </row>
    <row r="7210" spans="1:18" ht="19.5" thickBot="1" x14ac:dyDescent="0.3">
      <c r="A7210" s="999"/>
      <c r="B7210" s="495" t="s">
        <v>2471</v>
      </c>
      <c r="C7210" s="496" t="s">
        <v>55</v>
      </c>
      <c r="D7210" s="497">
        <v>14.9</v>
      </c>
      <c r="E7210" s="498"/>
      <c r="F7210" s="499" t="s">
        <v>16</v>
      </c>
      <c r="G7210" s="993" t="s">
        <v>845</v>
      </c>
      <c r="H7210" s="499" t="s">
        <v>2547</v>
      </c>
      <c r="I7210" s="500"/>
      <c r="J7210" s="501"/>
      <c r="K7210" s="495"/>
      <c r="L7210" s="499" t="s">
        <v>266</v>
      </c>
      <c r="M7210" s="499">
        <v>15070.84</v>
      </c>
      <c r="N7210" s="502">
        <v>0.5</v>
      </c>
      <c r="O7210" s="897" t="s">
        <v>2527</v>
      </c>
    </row>
    <row r="7211" spans="1:18" ht="19.5" thickBot="1" x14ac:dyDescent="0.3">
      <c r="A7211" s="503">
        <f t="shared" ref="A7211:A7235" si="219">MAX(A7043:A7210)+1</f>
        <v>4439</v>
      </c>
      <c r="B7211" s="504" t="s">
        <v>2476</v>
      </c>
      <c r="C7211" s="505" t="s">
        <v>32</v>
      </c>
      <c r="D7211" s="506">
        <v>18.055</v>
      </c>
      <c r="E7211" s="507"/>
      <c r="F7211" s="508" t="s">
        <v>16</v>
      </c>
      <c r="G7211" s="509"/>
      <c r="H7211" s="508" t="s">
        <v>2525</v>
      </c>
      <c r="I7211" s="510"/>
      <c r="J7211" s="511"/>
      <c r="K7211" s="504"/>
      <c r="L7211" s="508" t="s">
        <v>266</v>
      </c>
      <c r="M7211" s="508">
        <v>18206.340000000004</v>
      </c>
      <c r="N7211" s="512">
        <v>0.41666666666666669</v>
      </c>
      <c r="O7211" s="897" t="s">
        <v>2550</v>
      </c>
    </row>
    <row r="7212" spans="1:18" ht="19.5" thickBot="1" x14ac:dyDescent="0.3">
      <c r="A7212" s="513">
        <f t="shared" si="219"/>
        <v>4440</v>
      </c>
      <c r="B7212" s="514" t="s">
        <v>2476</v>
      </c>
      <c r="C7212" s="515" t="s">
        <v>32</v>
      </c>
      <c r="D7212" s="516">
        <v>17.968</v>
      </c>
      <c r="E7212" s="517"/>
      <c r="F7212" s="518" t="s">
        <v>16</v>
      </c>
      <c r="G7212" s="519"/>
      <c r="H7212" s="518" t="s">
        <v>2525</v>
      </c>
      <c r="I7212" s="520"/>
      <c r="J7212" s="521"/>
      <c r="K7212" s="514"/>
      <c r="L7212" s="518" t="s">
        <v>266</v>
      </c>
      <c r="M7212" s="518">
        <v>18073.95</v>
      </c>
      <c r="N7212" s="522">
        <v>0.45833333333333331</v>
      </c>
      <c r="O7212" s="897" t="s">
        <v>2551</v>
      </c>
    </row>
    <row r="7213" spans="1:18" ht="19.5" thickBot="1" x14ac:dyDescent="0.3">
      <c r="A7213" s="503">
        <f t="shared" si="219"/>
        <v>4441</v>
      </c>
      <c r="B7213" s="504" t="s">
        <v>2476</v>
      </c>
      <c r="C7213" s="505" t="s">
        <v>32</v>
      </c>
      <c r="D7213" s="506">
        <v>18.05</v>
      </c>
      <c r="E7213" s="507"/>
      <c r="F7213" s="508" t="s">
        <v>16</v>
      </c>
      <c r="G7213" s="509"/>
      <c r="H7213" s="508" t="s">
        <v>2525</v>
      </c>
      <c r="I7213" s="510"/>
      <c r="J7213" s="511"/>
      <c r="K7213" s="504"/>
      <c r="L7213" s="508" t="s">
        <v>266</v>
      </c>
      <c r="M7213" s="508">
        <v>18103.2</v>
      </c>
      <c r="N7213" s="512">
        <v>0.5</v>
      </c>
      <c r="O7213" s="897" t="s">
        <v>2553</v>
      </c>
    </row>
    <row r="7214" spans="1:18" ht="19.5" thickBot="1" x14ac:dyDescent="0.3">
      <c r="A7214" s="513">
        <f t="shared" si="219"/>
        <v>4442</v>
      </c>
      <c r="B7214" s="514" t="s">
        <v>2476</v>
      </c>
      <c r="C7214" s="515" t="s">
        <v>32</v>
      </c>
      <c r="D7214" s="516">
        <v>17.600000000000001</v>
      </c>
      <c r="E7214" s="517"/>
      <c r="F7214" s="518" t="s">
        <v>16</v>
      </c>
      <c r="G7214" s="519" t="s">
        <v>2299</v>
      </c>
      <c r="H7214" s="518" t="s">
        <v>2525</v>
      </c>
      <c r="I7214" s="520"/>
      <c r="J7214" s="521"/>
      <c r="K7214" s="514"/>
      <c r="L7214" s="518" t="s">
        <v>266</v>
      </c>
      <c r="M7214" s="518">
        <v>17604.599999999999</v>
      </c>
      <c r="N7214" s="522">
        <v>0.54166666666666663</v>
      </c>
      <c r="O7214" s="897" t="s">
        <v>2552</v>
      </c>
      <c r="P7214" s="867" t="s">
        <v>2413</v>
      </c>
    </row>
    <row r="7215" spans="1:18" ht="19.5" thickBot="1" x14ac:dyDescent="0.3">
      <c r="A7215" s="996">
        <f t="shared" si="219"/>
        <v>4443</v>
      </c>
      <c r="B7215" s="552" t="s">
        <v>2476</v>
      </c>
      <c r="C7215" s="553" t="s">
        <v>848</v>
      </c>
      <c r="D7215" s="554">
        <v>18.02</v>
      </c>
      <c r="E7215" s="555"/>
      <c r="F7215" s="556" t="s">
        <v>16</v>
      </c>
      <c r="G7215" s="997"/>
      <c r="H7215" s="556" t="s">
        <v>2525</v>
      </c>
      <c r="I7215" s="558"/>
      <c r="J7215" s="559"/>
      <c r="K7215" s="552"/>
      <c r="L7215" s="556" t="s">
        <v>266</v>
      </c>
      <c r="M7215" s="556">
        <v>18066.18</v>
      </c>
      <c r="N7215" s="560">
        <v>0.58333333333333337</v>
      </c>
      <c r="O7215" s="897" t="s">
        <v>2554</v>
      </c>
    </row>
    <row r="7216" spans="1:18" ht="19.5" thickBot="1" x14ac:dyDescent="0.3">
      <c r="A7216" s="513">
        <f t="shared" si="219"/>
        <v>4444</v>
      </c>
      <c r="B7216" s="514" t="s">
        <v>2547</v>
      </c>
      <c r="C7216" s="515" t="s">
        <v>26</v>
      </c>
      <c r="D7216" s="516">
        <v>17.861999999999998</v>
      </c>
      <c r="E7216" s="517"/>
      <c r="F7216" s="518" t="s">
        <v>16</v>
      </c>
      <c r="G7216" s="519"/>
      <c r="H7216" s="518" t="s">
        <v>2566</v>
      </c>
      <c r="I7216" s="520"/>
      <c r="J7216" s="521"/>
      <c r="K7216" s="514"/>
      <c r="L7216" s="518" t="s">
        <v>265</v>
      </c>
      <c r="M7216" s="518">
        <v>18021.300000000003</v>
      </c>
      <c r="N7216" s="522">
        <v>0.375</v>
      </c>
      <c r="O7216" s="897" t="s">
        <v>2567</v>
      </c>
    </row>
    <row r="7217" spans="1:15" ht="19.5" thickBot="1" x14ac:dyDescent="0.3">
      <c r="A7217" s="503">
        <f t="shared" si="219"/>
        <v>4445</v>
      </c>
      <c r="B7217" s="504" t="s">
        <v>2547</v>
      </c>
      <c r="C7217" s="505" t="s">
        <v>26</v>
      </c>
      <c r="D7217" s="506">
        <v>18.989000000000001</v>
      </c>
      <c r="E7217" s="507"/>
      <c r="F7217" s="508" t="s">
        <v>16</v>
      </c>
      <c r="G7217" s="509"/>
      <c r="H7217" s="508" t="s">
        <v>2566</v>
      </c>
      <c r="I7217" s="510"/>
      <c r="J7217" s="511"/>
      <c r="K7217" s="504"/>
      <c r="L7217" s="508" t="s">
        <v>265</v>
      </c>
      <c r="M7217" s="508">
        <v>19042.120000000003</v>
      </c>
      <c r="N7217" s="512">
        <v>0.41666666666666669</v>
      </c>
      <c r="O7217" s="897" t="s">
        <v>2568</v>
      </c>
    </row>
    <row r="7218" spans="1:15" ht="19.5" thickBot="1" x14ac:dyDescent="0.3">
      <c r="A7218" s="513">
        <f t="shared" si="219"/>
        <v>4446</v>
      </c>
      <c r="B7218" s="514" t="s">
        <v>2547</v>
      </c>
      <c r="C7218" s="515" t="s">
        <v>47</v>
      </c>
      <c r="D7218" s="516">
        <v>13.638</v>
      </c>
      <c r="E7218" s="517"/>
      <c r="F7218" s="518" t="s">
        <v>30</v>
      </c>
      <c r="G7218" s="519"/>
      <c r="H7218" s="518" t="s">
        <v>2566</v>
      </c>
      <c r="I7218" s="520"/>
      <c r="J7218" s="521"/>
      <c r="K7218" s="514"/>
      <c r="L7218" s="518" t="s">
        <v>28</v>
      </c>
      <c r="M7218" s="518">
        <v>13638.64</v>
      </c>
      <c r="N7218" s="522">
        <v>0.41666666666666669</v>
      </c>
      <c r="O7218" s="897" t="s">
        <v>2570</v>
      </c>
    </row>
    <row r="7219" spans="1:15" ht="19.5" thickBot="1" x14ac:dyDescent="0.3">
      <c r="A7219" s="503">
        <f t="shared" si="219"/>
        <v>4447</v>
      </c>
      <c r="B7219" s="504" t="s">
        <v>2547</v>
      </c>
      <c r="C7219" s="505" t="s">
        <v>26</v>
      </c>
      <c r="D7219" s="506">
        <v>20.817</v>
      </c>
      <c r="E7219" s="507"/>
      <c r="F7219" s="508" t="s">
        <v>16</v>
      </c>
      <c r="G7219" s="509"/>
      <c r="H7219" s="508" t="s">
        <v>2569</v>
      </c>
      <c r="I7219" s="510"/>
      <c r="J7219" s="511"/>
      <c r="K7219" s="504"/>
      <c r="L7219" s="508" t="s">
        <v>265</v>
      </c>
      <c r="M7219" s="508">
        <v>21025.500000000004</v>
      </c>
      <c r="N7219" s="512">
        <v>0.375</v>
      </c>
      <c r="O7219" s="897" t="s">
        <v>2571</v>
      </c>
    </row>
    <row r="7220" spans="1:15" ht="19.5" thickBot="1" x14ac:dyDescent="0.3">
      <c r="A7220" s="513">
        <f t="shared" si="219"/>
        <v>4448</v>
      </c>
      <c r="B7220" s="514" t="s">
        <v>2547</v>
      </c>
      <c r="C7220" s="515" t="s">
        <v>24</v>
      </c>
      <c r="D7220" s="516">
        <v>17.606999999999999</v>
      </c>
      <c r="E7220" s="517"/>
      <c r="F7220" s="518" t="s">
        <v>16</v>
      </c>
      <c r="G7220" s="519"/>
      <c r="H7220" s="518" t="s">
        <v>2569</v>
      </c>
      <c r="I7220" s="520"/>
      <c r="J7220" s="521"/>
      <c r="K7220" s="514"/>
      <c r="L7220" s="518" t="s">
        <v>28</v>
      </c>
      <c r="M7220" s="518">
        <v>17783.120000000003</v>
      </c>
      <c r="N7220" s="522">
        <v>0.41666666666666669</v>
      </c>
      <c r="O7220" s="897" t="s">
        <v>2572</v>
      </c>
    </row>
    <row r="7221" spans="1:15" ht="19.5" thickBot="1" x14ac:dyDescent="0.3">
      <c r="A7221" s="503">
        <f t="shared" si="219"/>
        <v>4449</v>
      </c>
      <c r="B7221" s="504" t="s">
        <v>2547</v>
      </c>
      <c r="C7221" s="505" t="s">
        <v>23</v>
      </c>
      <c r="D7221" s="506">
        <v>17.388999999999999</v>
      </c>
      <c r="E7221" s="507"/>
      <c r="F7221" s="508" t="s">
        <v>16</v>
      </c>
      <c r="G7221" s="509"/>
      <c r="H7221" s="508" t="s">
        <v>2569</v>
      </c>
      <c r="I7221" s="510"/>
      <c r="J7221" s="511"/>
      <c r="K7221" s="504"/>
      <c r="L7221" s="508" t="s">
        <v>28</v>
      </c>
      <c r="M7221" s="508">
        <v>17540.11</v>
      </c>
      <c r="N7221" s="512">
        <v>0.45833333333333331</v>
      </c>
      <c r="O7221" s="897" t="s">
        <v>2573</v>
      </c>
    </row>
    <row r="7222" spans="1:15" ht="19.5" thickBot="1" x14ac:dyDescent="0.3">
      <c r="A7222" s="513">
        <f t="shared" si="219"/>
        <v>4450</v>
      </c>
      <c r="B7222" s="514" t="s">
        <v>2547</v>
      </c>
      <c r="C7222" s="515" t="s">
        <v>47</v>
      </c>
      <c r="D7222" s="516">
        <v>17.614999999999998</v>
      </c>
      <c r="E7222" s="517"/>
      <c r="F7222" s="518" t="s">
        <v>16</v>
      </c>
      <c r="G7222" s="519"/>
      <c r="H7222" s="518" t="s">
        <v>2569</v>
      </c>
      <c r="I7222" s="520"/>
      <c r="J7222" s="521"/>
      <c r="K7222" s="514"/>
      <c r="L7222" s="518" t="s">
        <v>28</v>
      </c>
      <c r="M7222" s="518">
        <v>17846.140000000003</v>
      </c>
      <c r="N7222" s="522">
        <v>0.5</v>
      </c>
      <c r="O7222" s="897" t="s">
        <v>2574</v>
      </c>
    </row>
    <row r="7223" spans="1:15" x14ac:dyDescent="0.25">
      <c r="A7223" s="676">
        <f t="shared" si="219"/>
        <v>4451</v>
      </c>
      <c r="B7223" s="676"/>
      <c r="C7223" s="473"/>
      <c r="D7223" s="474"/>
      <c r="E7223" s="475"/>
      <c r="F7223" s="676"/>
      <c r="G7223" s="476"/>
      <c r="H7223" s="676"/>
      <c r="I7223" s="477"/>
      <c r="J7223" s="995"/>
      <c r="K7223" s="676"/>
      <c r="L7223" s="676"/>
      <c r="M7223" s="676"/>
      <c r="N7223" s="676"/>
    </row>
    <row r="7224" spans="1:15" x14ac:dyDescent="0.25">
      <c r="A7224" s="676">
        <f t="shared" si="219"/>
        <v>4452</v>
      </c>
      <c r="B7224" s="676"/>
      <c r="C7224" s="473"/>
      <c r="D7224" s="474"/>
      <c r="E7224" s="475"/>
      <c r="F7224" s="676"/>
      <c r="G7224" s="476"/>
      <c r="H7224" s="676"/>
      <c r="I7224" s="477"/>
      <c r="J7224" s="995"/>
      <c r="K7224" s="676"/>
      <c r="L7224" s="676"/>
      <c r="M7224" s="676"/>
      <c r="N7224" s="676"/>
    </row>
    <row r="7225" spans="1:15" x14ac:dyDescent="0.25">
      <c r="A7225" s="676">
        <f t="shared" si="219"/>
        <v>4453</v>
      </c>
      <c r="B7225" s="676"/>
      <c r="C7225" s="473"/>
      <c r="D7225" s="474"/>
      <c r="E7225" s="475"/>
      <c r="F7225" s="676"/>
      <c r="G7225" s="476"/>
      <c r="H7225" s="676"/>
      <c r="I7225" s="477"/>
      <c r="J7225" s="995"/>
      <c r="K7225" s="676"/>
      <c r="L7225" s="676"/>
      <c r="M7225" s="676"/>
      <c r="N7225" s="676"/>
    </row>
    <row r="7226" spans="1:15" x14ac:dyDescent="0.25">
      <c r="A7226" s="676">
        <f t="shared" si="219"/>
        <v>4454</v>
      </c>
      <c r="B7226" s="676"/>
      <c r="C7226" s="473"/>
      <c r="D7226" s="474"/>
      <c r="E7226" s="475"/>
      <c r="F7226" s="676"/>
      <c r="G7226" s="476"/>
      <c r="H7226" s="676"/>
      <c r="I7226" s="477"/>
      <c r="J7226" s="995"/>
      <c r="K7226" s="676"/>
      <c r="L7226" s="676"/>
      <c r="M7226" s="676"/>
      <c r="N7226" s="676"/>
    </row>
    <row r="7227" spans="1:15" x14ac:dyDescent="0.25">
      <c r="A7227" s="676">
        <f t="shared" si="219"/>
        <v>4455</v>
      </c>
      <c r="B7227" s="676"/>
      <c r="C7227" s="473"/>
      <c r="D7227" s="474"/>
      <c r="E7227" s="475"/>
      <c r="F7227" s="676"/>
      <c r="G7227" s="476"/>
      <c r="H7227" s="676"/>
      <c r="I7227" s="477"/>
      <c r="J7227" s="995"/>
      <c r="K7227" s="676"/>
      <c r="L7227" s="676"/>
      <c r="M7227" s="676"/>
      <c r="N7227" s="676"/>
    </row>
    <row r="7228" spans="1:15" x14ac:dyDescent="0.25">
      <c r="A7228" s="676">
        <f t="shared" si="219"/>
        <v>4456</v>
      </c>
      <c r="B7228" s="676"/>
      <c r="C7228" s="473"/>
      <c r="D7228" s="474"/>
      <c r="E7228" s="475"/>
      <c r="F7228" s="676"/>
      <c r="G7228" s="476"/>
      <c r="H7228" s="676"/>
      <c r="I7228" s="477"/>
      <c r="J7228" s="995"/>
      <c r="K7228" s="676"/>
      <c r="L7228" s="676"/>
      <c r="M7228" s="676"/>
      <c r="N7228" s="676"/>
    </row>
    <row r="7229" spans="1:15" x14ac:dyDescent="0.25">
      <c r="A7229" s="676">
        <f t="shared" si="219"/>
        <v>4457</v>
      </c>
      <c r="B7229" s="676"/>
      <c r="C7229" s="473"/>
      <c r="D7229" s="474"/>
      <c r="E7229" s="475"/>
      <c r="F7229" s="676"/>
      <c r="G7229" s="476"/>
      <c r="H7229" s="676"/>
      <c r="I7229" s="477"/>
      <c r="J7229" s="995"/>
      <c r="K7229" s="676"/>
      <c r="L7229" s="676"/>
      <c r="M7229" s="676"/>
      <c r="N7229" s="676"/>
    </row>
    <row r="7230" spans="1:15" x14ac:dyDescent="0.25">
      <c r="A7230" s="676">
        <f t="shared" si="219"/>
        <v>4458</v>
      </c>
      <c r="B7230" s="676"/>
      <c r="C7230" s="473"/>
      <c r="D7230" s="474"/>
      <c r="E7230" s="475"/>
      <c r="F7230" s="676"/>
      <c r="G7230" s="476"/>
      <c r="H7230" s="676"/>
      <c r="I7230" s="477"/>
      <c r="J7230" s="995"/>
      <c r="K7230" s="676"/>
      <c r="L7230" s="676"/>
      <c r="M7230" s="676"/>
      <c r="N7230" s="676"/>
    </row>
    <row r="7231" spans="1:15" x14ac:dyDescent="0.25">
      <c r="A7231" s="676">
        <f t="shared" si="219"/>
        <v>4459</v>
      </c>
      <c r="B7231" s="676"/>
      <c r="C7231" s="473"/>
      <c r="D7231" s="474"/>
      <c r="E7231" s="475"/>
      <c r="F7231" s="676"/>
      <c r="G7231" s="476"/>
      <c r="H7231" s="676"/>
      <c r="I7231" s="477"/>
      <c r="J7231" s="995"/>
      <c r="K7231" s="676"/>
      <c r="L7231" s="676"/>
      <c r="M7231" s="676"/>
      <c r="N7231" s="676"/>
    </row>
    <row r="7232" spans="1:15" x14ac:dyDescent="0.25">
      <c r="A7232" s="676">
        <f t="shared" si="219"/>
        <v>4460</v>
      </c>
      <c r="B7232" s="676"/>
      <c r="C7232" s="473"/>
      <c r="D7232" s="474"/>
      <c r="E7232" s="475"/>
      <c r="F7232" s="676"/>
      <c r="G7232" s="476"/>
      <c r="H7232" s="676"/>
      <c r="I7232" s="477"/>
      <c r="J7232" s="995"/>
      <c r="K7232" s="676"/>
      <c r="L7232" s="676"/>
      <c r="M7232" s="676"/>
      <c r="N7232" s="676"/>
    </row>
    <row r="7233" spans="1:14" x14ac:dyDescent="0.25">
      <c r="A7233" s="676">
        <f t="shared" si="219"/>
        <v>4461</v>
      </c>
      <c r="B7233" s="676"/>
      <c r="C7233" s="473"/>
      <c r="D7233" s="474"/>
      <c r="E7233" s="475"/>
      <c r="F7233" s="676"/>
      <c r="G7233" s="476"/>
      <c r="H7233" s="676"/>
      <c r="I7233" s="477"/>
      <c r="J7233" s="995"/>
      <c r="K7233" s="676"/>
      <c r="L7233" s="676"/>
      <c r="M7233" s="676"/>
      <c r="N7233" s="676"/>
    </row>
    <row r="7234" spans="1:14" x14ac:dyDescent="0.25">
      <c r="A7234" s="676">
        <f t="shared" si="219"/>
        <v>4462</v>
      </c>
      <c r="B7234" s="676"/>
      <c r="C7234" s="473"/>
      <c r="D7234" s="474"/>
      <c r="E7234" s="475"/>
      <c r="F7234" s="676"/>
      <c r="G7234" s="476"/>
      <c r="H7234" s="676"/>
      <c r="I7234" s="477"/>
      <c r="J7234" s="995"/>
      <c r="K7234" s="676"/>
      <c r="L7234" s="676"/>
      <c r="M7234" s="676"/>
      <c r="N7234" s="676"/>
    </row>
    <row r="7235" spans="1:14" x14ac:dyDescent="0.25">
      <c r="A7235" s="676">
        <f t="shared" si="219"/>
        <v>4463</v>
      </c>
      <c r="B7235" s="676"/>
      <c r="C7235" s="473"/>
      <c r="D7235" s="474"/>
      <c r="E7235" s="475"/>
      <c r="F7235" s="676"/>
      <c r="G7235" s="476"/>
      <c r="H7235" s="676"/>
      <c r="I7235" s="477"/>
      <c r="J7235" s="995"/>
      <c r="K7235" s="676"/>
      <c r="L7235" s="676"/>
      <c r="M7235" s="676"/>
      <c r="N7235" s="676"/>
    </row>
  </sheetData>
  <autoFilter ref="A2:R7235" xr:uid="{9E4C531E-AD50-422A-AC7C-8C5AF4C19268}">
    <filterColumn colId="10">
      <filters blank="1"/>
    </filterColumn>
  </autoFilter>
  <mergeCells count="1907">
    <mergeCell ref="A7204:A7205"/>
    <mergeCell ref="G7204:G7205"/>
    <mergeCell ref="A7206:A7207"/>
    <mergeCell ref="G7206:G7207"/>
    <mergeCell ref="A7199:A7200"/>
    <mergeCell ref="A7201:A7203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A7209:A7210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2026-09-09T13:33:54Z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