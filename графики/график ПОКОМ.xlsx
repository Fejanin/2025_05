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D805819F-4D55-4B72-A0BD-280462EEA3AB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Лист1!$A$2:$N$6885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P6853" i="1" l="1"/>
  <c r="P6852" i="1"/>
  <c r="E6856" i="1" l="1"/>
  <c r="P6876" i="1" l="1"/>
  <c r="P6864" i="1"/>
  <c r="P6862" i="1"/>
  <c r="P6861" i="1"/>
  <c r="P6850" i="1"/>
  <c r="P6851" i="1"/>
  <c r="P6849" i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s="1"/>
  <c r="A6836" i="1" s="1"/>
  <c r="A6839" i="1" l="1"/>
  <c r="A6840" i="1" s="1"/>
  <c r="A6844" i="1" s="1"/>
  <c r="A6847" i="1" l="1"/>
  <c r="A6852" i="1" s="1"/>
  <c r="A6854" i="1" s="1"/>
  <c r="A6856" i="1" s="1"/>
  <c r="A6860" i="1" l="1"/>
  <c r="A6861" i="1" s="1"/>
  <c r="A6864" i="1" l="1"/>
  <c r="A6866" i="1" s="1"/>
  <c r="A6868" i="1" s="1"/>
  <c r="A6869" i="1" s="1"/>
  <c r="A6870" i="1" s="1"/>
  <c r="A6872" i="1" s="1"/>
  <c r="A6874" i="1" s="1"/>
  <c r="A6876" i="1" l="1"/>
  <c r="A6878" i="1" l="1"/>
  <c r="A6879" i="1" s="1"/>
  <c r="A6881" i="1" s="1"/>
  <c r="A6882" i="1" s="1"/>
  <c r="A6883" i="1" s="1"/>
  <c r="A6884" i="1" s="1"/>
  <c r="A6885" i="1" s="1"/>
</calcChain>
</file>

<file path=xl/sharedStrings.xml><?xml version="1.0" encoding="utf-8"?>
<sst xmlns="http://schemas.openxmlformats.org/spreadsheetml/2006/main" count="43541" uniqueCount="1845">
  <si>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</si>
  <si>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</si>
  <si>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</si>
  <si>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</si>
  <si>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</si>
  <si>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</si>
  <si>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</si>
  <si>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</si>
  <si>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</si>
  <si>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</si>
  <si>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</si>
  <si>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</si>
  <si>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</si>
  <si>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</si>
  <si>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</si>
  <si>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</si>
  <si>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</si>
  <si>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</si>
  <si>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</si>
  <si>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</si>
  <si>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</si>
  <si>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</si>
  <si>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</si>
  <si>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</si>
  <si>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</si>
  <si>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</si>
  <si>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</si>
  <si>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</si>
  <si>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</si>
  <si>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</si>
  <si>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</si>
  <si>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</si>
  <si>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</si>
  <si>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</si>
  <si>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</si>
  <si>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</si>
  <si>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</si>
  <si>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</si>
  <si>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</si>
  <si>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</si>
  <si>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</si>
  <si>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</si>
  <si>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</si>
  <si>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</si>
  <si>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</si>
  <si>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</si>
  <si>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</si>
  <si>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</si>
  <si>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</si>
  <si>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</si>
  <si>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</si>
  <si>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</si>
  <si>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</si>
  <si>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</si>
  <si>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</si>
  <si>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</si>
  <si>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</si>
  <si>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</si>
  <si>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</si>
  <si>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</si>
  <si>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</si>
  <si>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</si>
  <si>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</si>
  <si>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</si>
  <si>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</si>
  <si>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</si>
  <si>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</si>
  <si>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</si>
  <si>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</si>
  <si>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</si>
  <si>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</si>
  <si>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</si>
  <si>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</si>
  <si>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</si>
  <si>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</si>
  <si>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</si>
  <si>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</si>
  <si>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</si>
  <si>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</si>
  <si>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</si>
  <si>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</si>
  <si>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</si>
  <si>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</si>
  <si>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</si>
  <si>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</si>
  <si>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</si>
  <si>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</si>
  <si>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</si>
  <si>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</si>
  <si>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</si>
  <si>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</si>
  <si>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</si>
  <si>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</si>
  <si>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</si>
  <si>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</si>
  <si>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</si>
  <si>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</si>
  <si>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</si>
  <si>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</si>
  <si>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</si>
  <si>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</si>
  <si>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</si>
  <si>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</si>
  <si>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</si>
  <si>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</si>
  <si>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</si>
  <si>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</si>
  <si>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</si>
  <si>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</si>
  <si>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</si>
  <si>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</si>
  <si>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</si>
  <si>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</si>
  <si>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</si>
  <si>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</si>
  <si>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</si>
  <si>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</si>
  <si>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</si>
  <si>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</si>
  <si>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</si>
  <si>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</si>
  <si>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</si>
  <si>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</si>
  <si>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</si>
  <si>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</si>
  <si>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</si>
  <si>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</si>
  <si>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</si>
  <si>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</si>
  <si>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</si>
  <si>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</si>
  <si>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</si>
  <si>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</si>
  <si>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</si>
  <si>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</si>
  <si>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</si>
  <si>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</si>
  <si>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</si>
  <si>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</si>
  <si>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</si>
  <si>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</si>
  <si>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</si>
  <si>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</si>
  <si>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</si>
  <si>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</si>
  <si>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</si>
  <si>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</si>
  <si>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</si>
  <si>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</si>
  <si>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</si>
  <si>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</si>
  <si>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</si>
  <si>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</si>
  <si>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</si>
  <si>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</si>
  <si>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</si>
  <si>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</si>
  <si>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</si>
  <si>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</si>
  <si>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</si>
  <si>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</si>
  <si>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</si>
  <si>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</si>
  <si>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</si>
  <si>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</si>
  <si>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</si>
  <si>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</si>
  <si>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</si>
  <si>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</si>
  <si>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</si>
  <si>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</si>
  <si>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</si>
  <si>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</si>
  <si>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</si>
  <si>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</si>
  <si>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</si>
  <si>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</si>
  <si>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</si>
  <si>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</si>
  <si>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</si>
  <si>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</si>
  <si>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</si>
  <si>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</si>
  <si>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</si>
  <si>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</si>
  <si>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</si>
  <si>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</si>
  <si>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</si>
  <si>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</si>
  <si>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</si>
  <si>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</si>
  <si>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</si>
  <si>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</si>
  <si>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</si>
  <si>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</si>
  <si>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</si>
  <si>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</si>
  <si>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</si>
  <si>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</si>
  <si>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</si>
  <si>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</si>
  <si>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</si>
  <si>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</si>
  <si>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</si>
  <si>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</si>
  <si>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</si>
  <si>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</si>
  <si>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</si>
  <si>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</si>
  <si>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</si>
  <si>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</si>
  <si>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</si>
  <si>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</si>
  <si>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</si>
  <si>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</si>
  <si>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</si>
  <si>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</si>
  <si>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</si>
  <si>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</si>
  <si>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</si>
  <si>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</si>
  <si>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</si>
  <si>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</si>
  <si>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</si>
  <si>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</si>
  <si>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</si>
  <si>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</si>
  <si>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</si>
  <si>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</si>
  <si>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</si>
  <si>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</si>
  <si>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</si>
  <si>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</si>
  <si>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</si>
  <si>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</si>
  <si>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</si>
  <si>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</si>
  <si>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</si>
  <si>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</si>
  <si>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</si>
  <si>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</si>
  <si>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</si>
  <si>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</si>
  <si>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</si>
  <si>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</si>
  <si>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</si>
  <si>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</si>
  <si>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</si>
  <si>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</si>
  <si>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</si>
  <si>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</si>
  <si>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</si>
  <si>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</si>
  <si>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</si>
  <si>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</si>
  <si>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</si>
  <si>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</si>
  <si>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</si>
  <si>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</si>
  <si>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</si>
  <si>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</si>
  <si>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</si>
  <si>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</si>
  <si>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</si>
  <si>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</si>
  <si>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</si>
  <si>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</si>
  <si>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</si>
  <si>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</si>
  <si>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</si>
  <si>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</si>
  <si>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</si>
  <si>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</si>
  <si>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</si>
  <si>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</si>
  <si>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</si>
  <si>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</si>
  <si>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</si>
  <si>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</si>
  <si>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</si>
  <si>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</si>
  <si>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</si>
  <si>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</si>
  <si>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</si>
  <si>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</si>
  <si>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</si>
  <si>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</si>
  <si>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</si>
  <si>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</si>
  <si>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</si>
  <si>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</si>
  <si>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</si>
  <si>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</si>
  <si>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</si>
  <si>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</si>
  <si>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</si>
  <si>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</si>
  <si>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</si>
  <si>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</si>
  <si>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</si>
  <si>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</si>
  <si>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</si>
  <si>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</si>
  <si>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</si>
  <si>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</si>
  <si>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</si>
  <si>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</si>
  <si>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</si>
  <si>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</si>
  <si>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</si>
  <si>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</si>
  <si>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</si>
  <si>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</si>
  <si>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</si>
  <si>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</si>
  <si>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</si>
  <si>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</si>
  <si>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</si>
  <si>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</si>
  <si>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</si>
  <si>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</si>
  <si>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</si>
  <si>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</si>
  <si>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</si>
  <si>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</si>
  <si>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</si>
  <si>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</si>
  <si>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</si>
  <si>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</si>
  <si>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</si>
  <si>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</si>
  <si>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</si>
  <si>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</si>
  <si>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</si>
  <si>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</si>
  <si>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</si>
  <si>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</si>
  <si>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</si>
  <si>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</si>
  <si>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</si>
  <si>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</si>
  <si>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</si>
  <si>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</si>
  <si>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</si>
  <si>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</si>
  <si>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</si>
  <si>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</si>
  <si>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</si>
  <si>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</si>
  <si>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</si>
  <si>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</si>
  <si>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</si>
  <si>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</si>
  <si>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</si>
  <si>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</si>
  <si>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</si>
  <si>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</si>
  <si>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</si>
  <si>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</si>
  <si>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</si>
  <si>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</si>
  <si>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</si>
  <si>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</si>
  <si>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</si>
  <si>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</si>
  <si>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</si>
  <si>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</si>
  <si>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</si>
  <si>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</si>
  <si>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</si>
  <si>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</si>
  <si>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</si>
  <si>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</si>
  <si>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</si>
  <si>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</si>
  <si>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</si>
  <si>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</si>
  <si>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</si>
  <si>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</si>
  <si>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</si>
  <si>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</si>
  <si>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</si>
  <si>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</si>
  <si>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</si>
  <si>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</si>
  <si>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</si>
  <si>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</si>
  <si>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</si>
  <si>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</si>
  <si>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</si>
  <si>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</si>
  <si>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</si>
  <si>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</si>
  <si>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</si>
  <si>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</si>
  <si>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</si>
  <si>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</si>
  <si>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</si>
  <si>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</si>
  <si>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</si>
  <si>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</si>
  <si>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</si>
  <si>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</si>
  <si>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</si>
  <si>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</si>
  <si>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</si>
  <si>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</si>
  <si>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</si>
  <si>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</si>
  <si>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</si>
  <si>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</si>
  <si>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</si>
  <si>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</si>
  <si>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</si>
  <si>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</si>
  <si>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</si>
  <si>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</si>
  <si>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</si>
  <si>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</si>
  <si>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</si>
  <si>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</si>
  <si>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</si>
  <si>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</si>
  <si>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</si>
  <si>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</si>
  <si>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</si>
  <si>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</si>
  <si>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</si>
  <si>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</si>
  <si>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</si>
  <si>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</si>
  <si>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</si>
  <si>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</si>
  <si>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</si>
  <si>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</si>
  <si>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</si>
  <si>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</si>
  <si>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</si>
  <si>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</si>
  <si>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</si>
  <si>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</si>
  <si>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</si>
  <si>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</si>
  <si>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</si>
  <si>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</si>
  <si>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</si>
  <si>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</si>
  <si>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</si>
  <si>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</si>
  <si>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</si>
  <si>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</si>
  <si>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</si>
  <si>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</si>
  <si>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</si>
  <si>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</si>
  <si>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</si>
  <si>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</si>
  <si>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</si>
  <si>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</si>
  <si>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</si>
  <si>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</si>
  <si>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</si>
  <si>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</si>
  <si>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</si>
  <si>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</si>
  <si>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</si>
  <si>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</si>
  <si>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</si>
  <si>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</si>
  <si>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</si>
  <si>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</si>
  <si>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</si>
  <si>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</si>
  <si>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</si>
  <si>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</si>
  <si>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</si>
  <si>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</si>
  <si>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</si>
  <si>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</si>
  <si>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</si>
  <si>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</si>
  <si>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</si>
  <si>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</si>
  <si>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</si>
  <si>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</si>
  <si>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</si>
  <si>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</si>
  <si>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</si>
  <si>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</si>
  <si>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</si>
  <si>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</si>
  <si>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</si>
  <si>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</si>
  <si>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</si>
  <si>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</si>
  <si>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</si>
  <si>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</si>
  <si>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</si>
  <si>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</si>
  <si>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</si>
  <si>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</si>
  <si>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</si>
  <si>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</si>
  <si>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</si>
  <si>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</si>
  <si>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</si>
  <si>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</si>
  <si>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</si>
  <si>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</si>
  <si>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</si>
  <si>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</si>
  <si>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</si>
  <si>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</si>
  <si>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</si>
  <si>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</si>
  <si>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</si>
  <si>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</si>
  <si>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</si>
  <si>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</si>
  <si>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</si>
  <si>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</si>
  <si>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</si>
  <si>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</si>
  <si>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</si>
  <si>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</si>
  <si>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</si>
  <si>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</si>
  <si>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</si>
  <si>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</si>
  <si>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</si>
  <si>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</si>
  <si>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</si>
  <si>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</si>
  <si>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</si>
  <si>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</si>
  <si>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</si>
  <si>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</si>
  <si>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</si>
  <si>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</si>
  <si>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</si>
  <si>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</si>
  <si>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</si>
  <si>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</si>
  <si>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</si>
  <si>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</si>
  <si>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</si>
  <si>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</si>
  <si>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</si>
  <si>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</si>
  <si>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</si>
  <si>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</si>
  <si>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</si>
  <si>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</si>
  <si>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</si>
  <si>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</si>
  <si>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</si>
  <si>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</si>
  <si>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</si>
  <si>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</si>
  <si>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</si>
  <si>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</si>
  <si>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</si>
  <si>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</si>
  <si>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</si>
  <si>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</si>
  <si>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</si>
  <si>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</si>
  <si>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</si>
  <si>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</si>
  <si>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</si>
  <si>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</si>
  <si>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</si>
  <si>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</si>
  <si>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</si>
  <si>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</si>
  <si>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</si>
  <si>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</si>
  <si>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</si>
  <si>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</si>
  <si>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</si>
  <si>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</si>
  <si>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</si>
  <si>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</si>
  <si>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</si>
  <si>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</si>
  <si>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</si>
  <si>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</si>
  <si>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</si>
  <si>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</si>
  <si>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</si>
  <si>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</si>
  <si>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</si>
  <si>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</si>
  <si>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</si>
  <si>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</si>
  <si>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</si>
  <si>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</si>
  <si>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</si>
  <si>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</si>
  <si>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</si>
  <si>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</si>
  <si>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</si>
  <si>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</si>
  <si>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</si>
  <si>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</si>
  <si>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</si>
  <si>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</si>
  <si>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</si>
  <si>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</si>
  <si>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</si>
  <si>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</si>
  <si>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</si>
  <si>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</si>
  <si>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</si>
  <si>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</si>
  <si>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</si>
  <si>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</si>
  <si>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</si>
  <si>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</si>
  <si>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</si>
  <si>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</si>
  <si>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</si>
  <si>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</si>
  <si>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</si>
  <si>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</si>
  <si>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</si>
  <si>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</si>
  <si>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</si>
  <si>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</si>
  <si>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</si>
  <si>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</si>
  <si>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</si>
  <si>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</si>
  <si>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</si>
  <si>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</si>
  <si>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</si>
  <si>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</si>
  <si>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</si>
  <si>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</si>
  <si>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</si>
  <si>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</si>
  <si>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</si>
  <si>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</si>
  <si>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</si>
  <si>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</si>
  <si>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</si>
  <si>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</si>
  <si>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</si>
  <si>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</si>
  <si>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</si>
  <si>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</si>
  <si>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</si>
  <si>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</si>
  <si>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</si>
  <si>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</si>
  <si>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</si>
  <si>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</si>
  <si>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</si>
  <si>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</si>
  <si>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</si>
  <si>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</si>
  <si>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</si>
  <si>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</si>
  <si>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</si>
  <si>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</si>
  <si>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</si>
  <si>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</si>
  <si>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</si>
  <si>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</si>
  <si>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</si>
  <si>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</si>
  <si>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</si>
  <si>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</si>
  <si>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</si>
  <si>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</si>
  <si>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</si>
  <si>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</si>
  <si>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</si>
  <si>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</si>
  <si>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</si>
  <si>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</si>
  <si>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</si>
  <si>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</si>
  <si>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</si>
  <si>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</si>
  <si>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</si>
  <si>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</si>
  <si>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</si>
  <si>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</si>
  <si>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</si>
  <si>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</si>
  <si>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</si>
  <si>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</si>
  <si>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</si>
  <si>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</si>
  <si>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</si>
  <si>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</si>
  <si>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</si>
  <si>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</si>
  <si>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</si>
  <si>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</si>
  <si>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</si>
  <si>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</si>
  <si>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</si>
  <si>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</si>
  <si>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</si>
  <si>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</si>
  <si>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</si>
  <si>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</si>
  <si>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</si>
  <si>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</si>
  <si>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</si>
  <si>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</si>
  <si>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</si>
  <si>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</si>
  <si>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</si>
  <si>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</si>
  <si>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</si>
  <si>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</si>
  <si>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</si>
  <si>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</si>
  <si>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</si>
  <si>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</si>
  <si>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</si>
  <si>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</si>
  <si>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</si>
  <si>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</si>
  <si>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</si>
  <si>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</si>
  <si>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</si>
  <si>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</si>
  <si>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</si>
  <si>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</si>
  <si>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</si>
  <si>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</si>
  <si>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</si>
  <si>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</si>
  <si>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</si>
  <si>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</si>
  <si>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</si>
  <si>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</si>
  <si>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</si>
  <si>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</si>
  <si>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</si>
  <si>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</si>
  <si>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</si>
  <si>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</si>
  <si>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</si>
  <si>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</si>
  <si>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</si>
  <si>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</si>
  <si>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</si>
  <si>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</si>
  <si>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</si>
  <si>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</si>
  <si>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</si>
  <si>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</si>
  <si>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</si>
  <si>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</si>
  <si>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</si>
  <si>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</si>
  <si>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</si>
  <si>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</si>
  <si>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</si>
  <si>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</si>
  <si>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</si>
  <si>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</si>
  <si>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</si>
  <si>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</si>
  <si>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</si>
  <si>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</si>
  <si>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</si>
  <si>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</si>
  <si>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</si>
  <si>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</si>
  <si>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</si>
  <si>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</si>
  <si>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</si>
  <si>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</si>
  <si>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</si>
  <si>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</si>
  <si>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</si>
  <si>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</si>
  <si>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</si>
  <si>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</si>
  <si>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</si>
  <si>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</si>
  <si>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</si>
  <si>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</si>
  <si>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</si>
  <si>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</si>
  <si>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</si>
  <si>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</si>
  <si>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</si>
  <si>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</si>
  <si>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</si>
  <si>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</si>
  <si>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</si>
  <si>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</si>
  <si>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</si>
  <si>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</si>
  <si>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</si>
  <si>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</si>
  <si>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</si>
  <si>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</si>
  <si>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</si>
  <si>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</si>
  <si>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</si>
  <si>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</si>
  <si>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</si>
  <si>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</si>
  <si>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</si>
  <si>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</si>
  <si>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</si>
  <si>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</si>
  <si>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</si>
  <si>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</si>
  <si>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</si>
  <si>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</si>
  <si>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</si>
  <si>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</si>
  <si>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</si>
  <si>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</si>
  <si>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</si>
  <si>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</si>
  <si>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</si>
  <si>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</si>
  <si>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</si>
  <si>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</si>
  <si>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</si>
  <si>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</si>
  <si>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</si>
  <si>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</si>
  <si>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</si>
  <si>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</si>
  <si>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</si>
  <si>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</si>
  <si>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</si>
  <si>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</si>
  <si>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</si>
  <si>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</si>
  <si>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</si>
  <si>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</si>
  <si>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</si>
  <si>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</si>
  <si>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</si>
  <si>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</si>
  <si>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</si>
  <si>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</si>
  <si>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</si>
  <si>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</si>
  <si>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</si>
  <si>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</si>
  <si>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</si>
  <si>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</si>
  <si>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</si>
  <si>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</si>
  <si>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</si>
  <si>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</si>
  <si>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</si>
  <si>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</si>
  <si>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</si>
  <si>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</si>
  <si>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</si>
  <si>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</si>
  <si>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</si>
  <si>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</si>
  <si>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</si>
  <si>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</si>
  <si>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</si>
  <si>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</si>
  <si>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</si>
  <si>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</si>
  <si>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</si>
  <si>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</si>
  <si>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</si>
  <si>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</si>
  <si>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</si>
  <si>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</si>
  <si>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</si>
  <si>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</si>
  <si>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</si>
  <si>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</si>
  <si>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</si>
  <si>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</si>
  <si>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</si>
  <si>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</si>
  <si>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</si>
  <si>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</si>
  <si>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</si>
  <si>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</si>
  <si>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</si>
  <si>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</si>
  <si>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</si>
  <si>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</si>
  <si>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</si>
  <si>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</si>
  <si>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</si>
  <si>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</si>
  <si>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</si>
  <si>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</si>
  <si>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</si>
  <si>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</si>
  <si>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</si>
  <si>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</si>
  <si>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</si>
  <si>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</si>
  <si>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</si>
  <si>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</si>
  <si>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</si>
  <si>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</si>
  <si>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</si>
  <si>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</si>
  <si>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</si>
  <si>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</si>
  <si>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</si>
  <si>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</si>
  <si>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</si>
  <si>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</si>
  <si>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</si>
  <si>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</si>
  <si>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</si>
  <si>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</si>
  <si>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</si>
  <si>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</si>
  <si>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</si>
  <si>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</si>
  <si>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</si>
  <si>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</si>
  <si>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</si>
  <si>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</si>
  <si>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</si>
  <si>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</si>
  <si>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</si>
  <si>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</si>
  <si>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</si>
  <si>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</si>
  <si>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</si>
  <si>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</si>
  <si>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</si>
  <si>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</si>
  <si>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</si>
  <si>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</si>
  <si>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</si>
  <si>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</si>
  <si>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</si>
  <si>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</si>
  <si>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</si>
  <si>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</si>
  <si>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</si>
  <si>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</si>
  <si>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</si>
  <si>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</si>
  <si>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</si>
  <si>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</si>
  <si>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</si>
  <si>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</si>
  <si>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</si>
  <si>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</si>
  <si>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</si>
  <si>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</si>
  <si>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</si>
  <si>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</si>
  <si>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</si>
  <si>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</si>
  <si>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</si>
  <si>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</si>
  <si>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</si>
  <si>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</si>
  <si>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</si>
  <si>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</si>
  <si>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</si>
  <si>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</si>
  <si>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</si>
  <si>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</si>
  <si>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</si>
  <si>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</si>
  <si>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</si>
  <si>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</si>
  <si>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</si>
  <si>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</si>
  <si>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</si>
  <si>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</si>
  <si>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</si>
  <si>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</si>
  <si>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</si>
  <si>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</si>
  <si>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</si>
  <si>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</si>
  <si>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</si>
  <si>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</si>
  <si>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</si>
  <si>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</si>
  <si>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</si>
  <si>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</si>
  <si>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</si>
  <si>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</si>
  <si>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</si>
  <si>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</si>
  <si>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</si>
  <si>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</si>
  <si>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</si>
  <si>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</si>
  <si>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</si>
  <si>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</si>
  <si>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</si>
  <si>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</si>
  <si>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</si>
  <si>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</si>
  <si>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</si>
  <si>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</si>
  <si>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</si>
  <si>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</si>
  <si>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</si>
  <si>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</si>
  <si>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</si>
  <si>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</si>
  <si>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</si>
  <si>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</si>
  <si>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</si>
  <si>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</si>
  <si>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</si>
  <si>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</si>
  <si>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</si>
  <si>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</si>
  <si>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</si>
  <si>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</si>
  <si>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</si>
  <si>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</si>
  <si>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</si>
  <si>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</si>
  <si>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</si>
  <si>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</si>
  <si>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</si>
  <si>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</si>
  <si>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</si>
  <si>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</si>
  <si>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</si>
  <si>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</si>
  <si>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</si>
  <si>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</si>
  <si>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</si>
  <si>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</si>
  <si>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</si>
  <si>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</si>
  <si>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</si>
  <si>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</si>
  <si>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</si>
  <si>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</si>
  <si>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</si>
  <si>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</si>
  <si>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</si>
  <si>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</si>
  <si>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</si>
  <si>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</si>
  <si>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</si>
  <si>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</si>
  <si>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</si>
  <si>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</si>
  <si>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</si>
  <si>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</si>
  <si>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</si>
  <si>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</si>
  <si>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</si>
  <si>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</si>
  <si>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</si>
  <si>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</si>
  <si>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</si>
  <si>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</si>
  <si>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</si>
  <si>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</si>
  <si>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</si>
  <si>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</si>
  <si>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</si>
  <si>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</si>
  <si>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</si>
  <si>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</si>
  <si>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</si>
  <si>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</si>
  <si>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</si>
  <si>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</si>
  <si>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</si>
  <si>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</si>
  <si>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</si>
  <si>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</si>
  <si>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</si>
  <si>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</si>
  <si>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</si>
  <si>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</si>
  <si>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</si>
  <si>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</si>
  <si>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</si>
  <si>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</si>
  <si>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</si>
  <si>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</si>
  <si>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</si>
  <si>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</si>
  <si>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</si>
  <si>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</si>
  <si>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</si>
  <si>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</si>
  <si>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</si>
  <si>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</si>
  <si>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</si>
  <si>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</si>
  <si>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</si>
  <si>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</si>
  <si>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</si>
  <si>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</si>
  <si>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</si>
  <si>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</si>
  <si>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</si>
  <si>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</si>
  <si>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</si>
  <si>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</si>
  <si>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</si>
  <si>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</si>
  <si>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</si>
  <si>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</si>
  <si>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</si>
  <si>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</si>
  <si>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</si>
  <si>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</si>
  <si>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</si>
  <si>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</si>
  <si>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</si>
  <si>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</si>
  <si>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</si>
  <si>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</si>
  <si>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</si>
  <si>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</si>
  <si>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</si>
  <si>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</si>
  <si>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</si>
  <si>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</si>
  <si>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</si>
  <si>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</si>
  <si>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</si>
  <si>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</si>
  <si>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</si>
  <si>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</si>
  <si>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</si>
  <si>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</si>
  <si>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</si>
  <si>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</si>
  <si>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</si>
  <si>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</si>
  <si>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</si>
  <si>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</si>
  <si>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</si>
  <si>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</si>
  <si>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</si>
  <si>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</si>
  <si>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</si>
  <si>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</si>
  <si>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</si>
  <si>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</si>
  <si>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</si>
  <si>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</si>
  <si>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</si>
  <si>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</si>
  <si>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</si>
  <si>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</si>
  <si>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</si>
  <si>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</si>
  <si>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</si>
  <si>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</si>
  <si>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</si>
  <si>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</si>
  <si>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</si>
  <si>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</si>
  <si>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</si>
  <si>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</si>
  <si>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</si>
  <si>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</si>
  <si>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</si>
  <si>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</si>
  <si>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</si>
  <si>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</si>
  <si>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</si>
  <si>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</si>
  <si>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</si>
  <si>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</si>
  <si>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</si>
  <si>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</si>
  <si>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</si>
  <si>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</si>
  <si>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</si>
  <si>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</si>
  <si>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</si>
  <si>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</si>
  <si>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</si>
  <si>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</si>
  <si>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</si>
  <si>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</si>
  <si>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</si>
  <si>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</si>
  <si>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</si>
  <si>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</si>
  <si>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</si>
  <si>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</si>
  <si>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</si>
  <si>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</si>
  <si>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</si>
  <si>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</si>
  <si>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</si>
  <si>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</si>
  <si>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</si>
  <si>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</si>
  <si>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</si>
  <si>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</si>
  <si>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</si>
  <si>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</si>
  <si>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</si>
  <si>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</si>
  <si>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</si>
  <si>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</si>
  <si>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</si>
  <si>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</si>
  <si>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</si>
  <si>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</si>
  <si>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</si>
  <si>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</si>
  <si>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</si>
  <si>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</si>
  <si>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</si>
  <si>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</si>
  <si>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</si>
  <si>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</si>
  <si>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</si>
  <si>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</si>
  <si>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</si>
  <si>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</si>
  <si>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</si>
  <si>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</si>
  <si>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</si>
  <si>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</si>
  <si>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</si>
  <si>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</si>
  <si>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</si>
  <si>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</si>
  <si>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</si>
  <si>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</si>
  <si>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</si>
  <si>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</si>
  <si>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</si>
  <si>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</si>
  <si>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</si>
  <si>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</si>
  <si>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</si>
  <si>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</si>
  <si>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</si>
  <si>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</si>
  <si>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</si>
  <si>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</si>
  <si>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</si>
  <si>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</si>
  <si>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</si>
  <si>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</si>
  <si>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</si>
  <si>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</si>
  <si>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</si>
  <si>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</si>
  <si>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</si>
  <si>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</si>
  <si>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</si>
  <si>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</si>
  <si>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</si>
  <si>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</si>
  <si>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</si>
  <si>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</si>
  <si>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</si>
  <si>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</si>
  <si>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</si>
  <si>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</si>
  <si>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</si>
  <si>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</si>
  <si>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</si>
  <si>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</si>
  <si>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</si>
  <si>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</si>
  <si>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</si>
  <si>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</si>
  <si>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</si>
  <si>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</si>
  <si>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</si>
  <si>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</si>
  <si>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</si>
  <si>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</si>
  <si>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</si>
  <si>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</si>
  <si>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</si>
  <si>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</si>
  <si>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</si>
  <si>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</si>
  <si>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</si>
  <si>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</si>
  <si>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</si>
  <si>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</si>
  <si>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</si>
  <si>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</si>
  <si>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</si>
  <si>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</si>
  <si>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</si>
  <si>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</si>
  <si>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</si>
  <si>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</si>
  <si>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</si>
  <si>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</si>
  <si>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</si>
  <si>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</si>
  <si>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</si>
  <si>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</si>
  <si>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</si>
  <si>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</si>
  <si>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</si>
  <si>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</si>
  <si>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</si>
  <si>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</si>
  <si>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</si>
  <si>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</si>
  <si>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</si>
  <si>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</si>
  <si>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</si>
  <si>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</si>
  <si>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</si>
  <si>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</si>
  <si>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</si>
  <si>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</si>
  <si>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</si>
  <si>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</si>
  <si>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</si>
  <si>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</si>
  <si>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</si>
  <si>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</si>
  <si>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</si>
  <si>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</si>
  <si>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</si>
  <si>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</si>
  <si>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</si>
  <si>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</si>
  <si>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</si>
  <si>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</si>
  <si>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</si>
  <si>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</si>
  <si>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</si>
  <si>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</si>
  <si>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</si>
  <si>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</si>
  <si>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</si>
  <si>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</si>
  <si>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</si>
  <si>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</si>
  <si>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</si>
  <si>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</si>
  <si>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</si>
  <si>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</si>
  <si>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</si>
  <si>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</si>
  <si>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</si>
  <si>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</si>
  <si>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</si>
  <si>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</si>
  <si>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</si>
  <si>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</si>
  <si>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</si>
  <si>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</si>
  <si>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</si>
  <si>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</si>
  <si>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</si>
  <si>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</si>
  <si>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</si>
  <si>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</si>
  <si>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</si>
  <si>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</si>
  <si>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</si>
  <si>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</si>
  <si>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</si>
  <si>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</si>
  <si>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</si>
  <si>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</si>
  <si>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</si>
  <si>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</si>
  <si>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</si>
  <si>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</si>
  <si>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</si>
  <si>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</si>
  <si>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</si>
  <si>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</si>
  <si>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</si>
  <si>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</si>
  <si>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</si>
  <si>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</si>
  <si>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</si>
  <si>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</si>
  <si>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</si>
  <si>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</si>
  <si>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</si>
  <si>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</si>
  <si>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</si>
  <si>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</si>
  <si>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</si>
  <si>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</si>
  <si>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</si>
  <si>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</si>
  <si>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</si>
  <si>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</si>
  <si>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</si>
  <si>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</si>
  <si>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</si>
  <si>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</si>
  <si>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</si>
  <si>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</si>
  <si>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</si>
  <si>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</si>
  <si>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</si>
  <si>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</si>
  <si>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</si>
  <si>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</si>
  <si>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</si>
  <si>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</si>
  <si>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</si>
  <si>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</si>
  <si>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</si>
  <si>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</si>
  <si>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</si>
  <si>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</si>
  <si>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</si>
  <si>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</si>
  <si>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</si>
  <si>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</si>
  <si>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</si>
  <si>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</si>
  <si>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</si>
  <si>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</si>
  <si>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</si>
  <si>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</si>
  <si>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</si>
  <si>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</si>
  <si>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</si>
  <si>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</si>
  <si>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</si>
  <si>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</si>
  <si>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</si>
  <si>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</si>
  <si>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</si>
  <si>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</si>
  <si>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</si>
  <si>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</si>
  <si>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</si>
  <si>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</si>
  <si>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</si>
  <si>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</si>
  <si>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</si>
  <si>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</si>
  <si>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</si>
  <si>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</si>
  <si>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</si>
  <si>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</si>
  <si>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</si>
  <si>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</si>
  <si>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</si>
  <si>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</si>
  <si>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</si>
  <si>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</si>
  <si>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</si>
  <si>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</si>
  <si>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</si>
  <si>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</si>
  <si>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</si>
  <si>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</si>
  <si>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</si>
  <si>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</si>
  <si>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</si>
  <si>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</si>
  <si>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</si>
  <si>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</si>
  <si>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</si>
  <si>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</si>
  <si>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</si>
  <si>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</si>
  <si>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</si>
  <si>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</si>
  <si>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</si>
  <si>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</si>
  <si>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</si>
  <si>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</si>
  <si>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</si>
  <si>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</si>
  <si>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</si>
  <si>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</si>
  <si>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</si>
  <si>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</si>
  <si>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</si>
  <si>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</si>
  <si>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</si>
  <si>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</si>
  <si>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</si>
  <si>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</si>
  <si>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</si>
  <si>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</si>
  <si>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</si>
  <si>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</si>
  <si>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</si>
  <si>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</si>
  <si>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</si>
  <si>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</si>
  <si>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</si>
  <si>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</si>
  <si>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</si>
  <si>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</si>
  <si>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</si>
  <si>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</si>
  <si>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</si>
  <si>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</si>
  <si>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</si>
  <si>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</si>
  <si>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</si>
  <si>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</si>
  <si>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</si>
  <si>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</si>
  <si>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</si>
  <si>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</si>
  <si>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</si>
  <si>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</si>
  <si>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</si>
  <si>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</si>
  <si>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</si>
  <si>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</si>
  <si>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</si>
  <si>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</si>
  <si>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</si>
  <si>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</si>
  <si>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</si>
  <si>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</si>
  <si>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</si>
  <si>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</si>
  <si>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</si>
  <si>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</si>
  <si>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</si>
  <si>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</si>
  <si>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</si>
  <si>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</si>
  <si>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</si>
  <si>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</si>
  <si>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</si>
  <si>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</si>
  <si>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</si>
  <si>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</si>
  <si>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</si>
  <si>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</si>
  <si>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</si>
  <si>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</si>
  <si>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</si>
  <si>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</si>
  <si>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</si>
  <si>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</si>
  <si>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</si>
  <si>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</si>
  <si>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</si>
  <si>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</si>
  <si>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</si>
  <si>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</si>
  <si>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</si>
  <si>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</si>
  <si>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</si>
  <si>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</si>
  <si>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</si>
  <si>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</si>
  <si>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</si>
  <si>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</si>
  <si>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</si>
  <si>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</si>
  <si>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</si>
  <si>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</si>
  <si>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</si>
  <si>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</si>
  <si>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</si>
  <si>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</si>
  <si>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</si>
  <si>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</si>
  <si>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</si>
  <si>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</si>
  <si>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</si>
  <si>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</si>
  <si>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</si>
  <si>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</si>
  <si>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</si>
  <si>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</si>
  <si>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</si>
  <si>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</si>
  <si>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</si>
  <si>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</si>
  <si>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</si>
  <si>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</si>
  <si>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</si>
  <si>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</si>
  <si>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</si>
  <si>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</si>
  <si>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</si>
  <si>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</si>
  <si>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</si>
  <si>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</si>
  <si>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</si>
  <si>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</si>
  <si>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</si>
  <si>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</si>
  <si>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</si>
  <si>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</si>
  <si>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</si>
  <si>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</si>
  <si>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</si>
  <si>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</si>
  <si>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</si>
  <si>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</si>
  <si>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</si>
  <si>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</si>
  <si>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</si>
  <si>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</si>
  <si>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</si>
  <si>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</si>
  <si>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</si>
  <si>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</si>
  <si>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</si>
  <si>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</si>
  <si>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</si>
  <si>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</si>
  <si>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</si>
  <si>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</si>
  <si>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</si>
  <si>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</si>
  <si>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</si>
  <si>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</si>
  <si>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</si>
  <si>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</si>
  <si>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</si>
  <si>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</si>
  <si>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</si>
  <si>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</si>
  <si>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</si>
  <si>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</si>
  <si>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</si>
  <si>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</si>
  <si>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</si>
  <si>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</si>
  <si>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</si>
  <si>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</si>
  <si>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</si>
  <si>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</si>
  <si>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</si>
  <si>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</si>
  <si>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</si>
  <si>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</si>
  <si>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</si>
  <si>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</si>
  <si>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</si>
  <si>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</si>
  <si>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</si>
  <si>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</si>
  <si>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</si>
  <si>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</si>
  <si>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</si>
  <si>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</si>
  <si>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</si>
  <si>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</si>
  <si>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</si>
  <si>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</si>
  <si>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</si>
  <si>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</si>
  <si>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</si>
  <si>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</si>
  <si>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</si>
  <si>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</si>
  <si>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</si>
  <si>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</si>
  <si>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</si>
  <si>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</si>
  <si>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</si>
  <si>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</si>
  <si>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</si>
  <si>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</si>
  <si>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</si>
  <si>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</si>
  <si>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</si>
  <si>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</si>
  <si>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</si>
  <si>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</si>
  <si>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</si>
  <si>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</si>
  <si>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</si>
  <si>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</si>
  <si>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</si>
  <si>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</si>
  <si>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</si>
  <si>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</si>
  <si>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</si>
  <si>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</si>
  <si>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</si>
  <si>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</si>
  <si>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</si>
  <si>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</si>
  <si>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</si>
  <si>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</si>
  <si>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</si>
  <si>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</si>
  <si>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</si>
  <si>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</si>
  <si>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</si>
  <si>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</si>
  <si>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</si>
  <si>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</si>
  <si>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</si>
  <si>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</si>
  <si>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</si>
  <si>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</si>
  <si>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</si>
  <si>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</si>
  <si>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</si>
  <si>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</si>
  <si>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</si>
  <si>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</si>
  <si>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</si>
  <si>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</si>
  <si>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</si>
  <si>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</si>
  <si>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</si>
  <si>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</si>
  <si>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</si>
  <si>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</si>
  <si>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</si>
  <si>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</si>
  <si>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</si>
  <si>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</si>
  <si>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</si>
  <si>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</si>
  <si>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</si>
  <si>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</si>
  <si>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</si>
  <si>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</si>
  <si>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</si>
  <si>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</si>
  <si>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</si>
  <si>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</si>
  <si>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</si>
  <si>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</si>
  <si>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</si>
  <si>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</si>
  <si>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</si>
  <si>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</si>
  <si>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</si>
  <si>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</si>
  <si>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</si>
  <si>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</si>
  <si>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</si>
  <si>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</si>
  <si>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</si>
  <si>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</si>
  <si>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</si>
  <si>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</si>
  <si>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</si>
  <si>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</si>
  <si>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</si>
  <si>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</si>
  <si>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</si>
  <si>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</si>
  <si>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</si>
  <si>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</si>
  <si>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</si>
  <si>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</si>
  <si>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</si>
  <si>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</si>
  <si>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</si>
  <si>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</si>
  <si>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</si>
  <si>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</si>
  <si>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</si>
  <si>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</si>
  <si>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</si>
  <si>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</si>
  <si>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</si>
  <si>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</si>
  <si>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</si>
  <si>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</si>
  <si>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</si>
  <si>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</si>
  <si>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</si>
  <si>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</si>
  <si>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</si>
  <si>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</si>
  <si>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</si>
  <si>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</si>
  <si>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</si>
  <si>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</si>
  <si>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</si>
  <si>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</si>
  <si>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</si>
  <si>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</si>
  <si>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</si>
  <si>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</si>
  <si>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</si>
  <si>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</si>
  <si>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+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</si>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</sst>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7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0" fontId="14" fillId="17" borderId="42" xfId="0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166" fontId="43" fillId="44" borderId="0" xfId="0" applyNumberFormat="1" applyFont="1" applyFill="1" applyAlignment="1">
      <alignment horizontal="left" vertical="center"/>
    </xf>
    <xf numFmtId="166" fontId="43" fillId="43" borderId="0" xfId="0" applyNumberFormat="1" applyFont="1" applyFill="1" applyAlignment="1">
      <alignment horizontal="left" vertical="center"/>
    </xf>
    <xf numFmtId="166" fontId="43" fillId="45" borderId="0" xfId="0" applyNumberFormat="1" applyFont="1" applyFill="1" applyAlignment="1">
      <alignment horizontal="left" vertical="center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43" fillId="0" borderId="0" xfId="0" applyFont="1" applyFill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aer4\Downloads\&#1047;&#1072;&#1082;&#1072;&#1079;&#1099;%20&#1053;&#1042;%2003.08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Заказ</v>
          </cell>
          <cell r="B1" t="str">
            <v>"Счет на" в заказе</v>
          </cell>
          <cell r="C1" t="str">
            <v>Краткое наименование</v>
          </cell>
          <cell r="D1" t="str">
            <v>Вес нетто</v>
          </cell>
        </row>
        <row r="2">
          <cell r="A2">
            <v>6283298</v>
          </cell>
          <cell r="B2" t="str">
            <v>Нв900</v>
          </cell>
          <cell r="C2" t="str">
            <v>НВ, ООО 9001015535</v>
          </cell>
          <cell r="D2">
            <v>1612.56</v>
          </cell>
        </row>
        <row r="3">
          <cell r="A3">
            <v>6284442</v>
          </cell>
          <cell r="B3" t="str">
            <v>Нв900</v>
          </cell>
          <cell r="C3" t="str">
            <v>НВ, ООО 9001015535</v>
          </cell>
          <cell r="D3">
            <v>3740.54</v>
          </cell>
        </row>
        <row r="4">
          <cell r="A4">
            <v>6284451</v>
          </cell>
          <cell r="B4" t="str">
            <v>Нв900</v>
          </cell>
          <cell r="C4" t="str">
            <v>НВ, ООО 9001015535</v>
          </cell>
          <cell r="D4">
            <v>10246</v>
          </cell>
        </row>
        <row r="5">
          <cell r="A5">
            <v>6284611</v>
          </cell>
          <cell r="B5" t="str">
            <v>Нв900</v>
          </cell>
          <cell r="C5" t="str">
            <v>НВ, ООО 9001015535</v>
          </cell>
          <cell r="D5">
            <v>14005.28</v>
          </cell>
        </row>
        <row r="6">
          <cell r="A6">
            <v>6284634</v>
          </cell>
          <cell r="B6" t="str">
            <v>Нв900</v>
          </cell>
          <cell r="C6" t="str">
            <v>НВ, ООО 9001015535</v>
          </cell>
          <cell r="D6">
            <v>9617.7000000000007</v>
          </cell>
        </row>
        <row r="7">
          <cell r="A7">
            <v>6284749</v>
          </cell>
          <cell r="B7" t="str">
            <v>Нв900</v>
          </cell>
          <cell r="C7" t="str">
            <v>НВ, ООО 9001015535</v>
          </cell>
          <cell r="D7">
            <v>4110</v>
          </cell>
        </row>
        <row r="8">
          <cell r="A8">
            <v>6284896</v>
          </cell>
          <cell r="B8" t="str">
            <v>Нв900</v>
          </cell>
          <cell r="C8" t="str">
            <v>НВ, ООО 9001015535</v>
          </cell>
          <cell r="D8">
            <v>3510</v>
          </cell>
        </row>
        <row r="9">
          <cell r="D9">
            <v>2866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85"/>
  <sheetViews>
    <sheetView tabSelected="1" zoomScale="85" zoomScaleNormal="85" workbookViewId="0">
      <pane ySplit="2" topLeftCell="A6862" activePane="bottomLeft" state="frozen"/>
      <selection pane="bottomLeft" activeCell="L6884" sqref="L688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.28515625" style="867" customWidth="1"/>
    <col min="16" max="16" width="16.7109375" style="847" customWidth="1"/>
    <col min="17" max="17" width="10.42578125" style="833" customWidth="1"/>
    <col min="18" max="18" width="17" style="2" customWidth="1"/>
    <col min="19" max="1021" width="9.140625" style="2"/>
  </cols>
  <sheetData>
    <row r="1" spans="1:17" ht="19.5" customHeight="1" thickBot="1" x14ac:dyDescent="0.3">
      <c r="A1" s="947" t="s">
        <v>0</v>
      </c>
      <c r="B1" s="947"/>
      <c r="C1" s="947"/>
      <c r="D1" s="947"/>
      <c r="E1" s="947"/>
      <c r="F1" s="947"/>
      <c r="G1" s="947"/>
      <c r="H1" s="947"/>
      <c r="I1" s="947"/>
      <c r="J1" s="947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48">
        <v>1</v>
      </c>
      <c r="B3" s="94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48"/>
      <c r="B4" s="94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42">
        <v>3</v>
      </c>
      <c r="B6" s="94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42"/>
      <c r="B7" s="94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42"/>
      <c r="B8" s="94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42">
        <v>5</v>
      </c>
      <c r="B10" s="94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42"/>
      <c r="B11" s="94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44">
        <v>8</v>
      </c>
      <c r="B14" s="94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44"/>
      <c r="B15" s="94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42">
        <v>11</v>
      </c>
      <c r="B18" s="94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42"/>
      <c r="B19" s="94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42"/>
      <c r="B20" s="94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42"/>
      <c r="B21" s="94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42">
        <v>13</v>
      </c>
      <c r="B23" s="94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42"/>
      <c r="B24" s="94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44">
        <v>14</v>
      </c>
      <c r="B25" s="94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44"/>
      <c r="B26" s="94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42">
        <v>15</v>
      </c>
      <c r="B27" s="94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42"/>
      <c r="B28" s="94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42"/>
      <c r="B29" s="94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42"/>
      <c r="B30" s="94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44">
        <v>16</v>
      </c>
      <c r="B31" s="94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44"/>
      <c r="B32" s="94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44"/>
      <c r="B33" s="94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44"/>
      <c r="B34" s="94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42">
        <v>17</v>
      </c>
      <c r="B35" s="94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42"/>
      <c r="B36" s="94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42">
        <v>21</v>
      </c>
      <c r="B40" s="94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42"/>
      <c r="B41" s="94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42">
        <v>23</v>
      </c>
      <c r="B43" s="94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42"/>
      <c r="B44" s="94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42"/>
      <c r="B45" s="94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44">
        <v>24</v>
      </c>
      <c r="B46" s="94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44"/>
      <c r="B47" s="94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42">
        <v>25</v>
      </c>
      <c r="B48" s="94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42"/>
      <c r="B49" s="94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42"/>
      <c r="B50" s="94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44">
        <v>26</v>
      </c>
      <c r="B51" s="94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44"/>
      <c r="B52" s="94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42">
        <v>29</v>
      </c>
      <c r="B55" s="94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42"/>
      <c r="B56" s="94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44">
        <v>32</v>
      </c>
      <c r="B59" s="94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44"/>
      <c r="B60" s="94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44">
        <v>34</v>
      </c>
      <c r="B62" s="94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44"/>
      <c r="B63" s="94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44"/>
      <c r="B64" s="94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44"/>
      <c r="B65" s="94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44"/>
      <c r="B66" s="94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42">
        <v>35</v>
      </c>
      <c r="B67" s="94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42"/>
      <c r="B68" s="94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33">
        <v>40</v>
      </c>
      <c r="B73" s="94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33"/>
      <c r="B74" s="94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32">
        <v>41</v>
      </c>
      <c r="B75" s="94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32"/>
      <c r="B76" s="94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32"/>
      <c r="B77" s="94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33">
        <v>42</v>
      </c>
      <c r="B78" s="94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33"/>
      <c r="B79" s="94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32">
        <v>49</v>
      </c>
      <c r="B86" s="94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32"/>
      <c r="B87" s="94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32"/>
      <c r="B88" s="94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33">
        <v>50</v>
      </c>
      <c r="B89" s="94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33"/>
      <c r="B90" s="94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32">
        <v>51</v>
      </c>
      <c r="B91" s="94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32"/>
      <c r="B92" s="94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32">
        <v>53</v>
      </c>
      <c r="B94" s="94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32"/>
      <c r="B95" s="94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33">
        <v>54</v>
      </c>
      <c r="B96" s="94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33"/>
      <c r="B97" s="94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33"/>
      <c r="B98" s="94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33">
        <v>58</v>
      </c>
      <c r="B102" s="94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33"/>
      <c r="B103" s="94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33">
        <v>60</v>
      </c>
      <c r="B105" s="94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33"/>
      <c r="B106" s="94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33"/>
      <c r="B107" s="94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32">
        <v>61</v>
      </c>
      <c r="B108" s="94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32"/>
      <c r="B109" s="94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32"/>
      <c r="B110" s="94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33">
        <v>64</v>
      </c>
      <c r="B113" s="94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33"/>
      <c r="B114" s="94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33">
        <v>66</v>
      </c>
      <c r="B116" s="94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33"/>
      <c r="B117" s="94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32">
        <v>67</v>
      </c>
      <c r="B118" s="94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32"/>
      <c r="B119" s="94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32"/>
      <c r="B120" s="94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33">
        <v>68</v>
      </c>
      <c r="B121" s="94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33"/>
      <c r="B122" s="94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32">
        <v>69</v>
      </c>
      <c r="B123" s="94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32"/>
      <c r="B124" s="94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33">
        <v>72</v>
      </c>
      <c r="B127" s="944" t="s">
        <v>65</v>
      </c>
      <c r="C127" s="119" t="s">
        <v>26</v>
      </c>
      <c r="D127" s="120">
        <v>3.3</v>
      </c>
      <c r="E127" s="121"/>
      <c r="F127" s="122" t="s">
        <v>30</v>
      </c>
      <c r="G127" s="943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33"/>
      <c r="B128" s="944"/>
      <c r="C128" s="103" t="s">
        <v>26</v>
      </c>
      <c r="D128" s="88">
        <v>12.9</v>
      </c>
      <c r="E128" s="106"/>
      <c r="F128" s="107" t="s">
        <v>16</v>
      </c>
      <c r="G128" s="943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33">
        <v>76</v>
      </c>
      <c r="B132" s="94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33"/>
      <c r="B133" s="94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33"/>
      <c r="B134" s="94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33"/>
      <c r="B135" s="94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33">
        <v>78</v>
      </c>
      <c r="B137" s="94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33"/>
      <c r="B138" s="94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4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4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3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3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3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3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3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3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3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3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3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3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3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3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3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3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3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3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3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3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3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3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3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3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4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3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4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3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3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3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3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3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3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3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3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3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3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3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3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3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3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3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3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3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3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3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3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3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3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3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3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3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3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3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3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3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3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3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3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3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3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3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3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3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3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3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3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3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3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3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3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3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3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3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3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3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3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3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3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3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3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3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3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3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3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3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3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3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3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3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3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3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3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3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3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3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3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3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3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3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3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3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3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3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2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3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3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3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3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3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3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3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3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3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3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3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3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3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3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3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3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3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3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3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3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3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3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3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3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3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3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3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3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3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3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3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3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3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3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3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4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3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4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3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3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3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3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3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3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3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3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3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3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3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3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3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3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3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3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3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3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3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3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3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3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3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3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3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3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3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3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3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3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3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3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3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3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3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3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3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3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3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3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3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3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3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3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3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3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3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3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3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3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3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3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3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3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3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3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3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3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3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3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3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3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3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3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3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3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3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3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3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3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3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3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3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3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3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3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3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3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3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3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51" t="s">
        <v>133</v>
      </c>
      <c r="J420" s="951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3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3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3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3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3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3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3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3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3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3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3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3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3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3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3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3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3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3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3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3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3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3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3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3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3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4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3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4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3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3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3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3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3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3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3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3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3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3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3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3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3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3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3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3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3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3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3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3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3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3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3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3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3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3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3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3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3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3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3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3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3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3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3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3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3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3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3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5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3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50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3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50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3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50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3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50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3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3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3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3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3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3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3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3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3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3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3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3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3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3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3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3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3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3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3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3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3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3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3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3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3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3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3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3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3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3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3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3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3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3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3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3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3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3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3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3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4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3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4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3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3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3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3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3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3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3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3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3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3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3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3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3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3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3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3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3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3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3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3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3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3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3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3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3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3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3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3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3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3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3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3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3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3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3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3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3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3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3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3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3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3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3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3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3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3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3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3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3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3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3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3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3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3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3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3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3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3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3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3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3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3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3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3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3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3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3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3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3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3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3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3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3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3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3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3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3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3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3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3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3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3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3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3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3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5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3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53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3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3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3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3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3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3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3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3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3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3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3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3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3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3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3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3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3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3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3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3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3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3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3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3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3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3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3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3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3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3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3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3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3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3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3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3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3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3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3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3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3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3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3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3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3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3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3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3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3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3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3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3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3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3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3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3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3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3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3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3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3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3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3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3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3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3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3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5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3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54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3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3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3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3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3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3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3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3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3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3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3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3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3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3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3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3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3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3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3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3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3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3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3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3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3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3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3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3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3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3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3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3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3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3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3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3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3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3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3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3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3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3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3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3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3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3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3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3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3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3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3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3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3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3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3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3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3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3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3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3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3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3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3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3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3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3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3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3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3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4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3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4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3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3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3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3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3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3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3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3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3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3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3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3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3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3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3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3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3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3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3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3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3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3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3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3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3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3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3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3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3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3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3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3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3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3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3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3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3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3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3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3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3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3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3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3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3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3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3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3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3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3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3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3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3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3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3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3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3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3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3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3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3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3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3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3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3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3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3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3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3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3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3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3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3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3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3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3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3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3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3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3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3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3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3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3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3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3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3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3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3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3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3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3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3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4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3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4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3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3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3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3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3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3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3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3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3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3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3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3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3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3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3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3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3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3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3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3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3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5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5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3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3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3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3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3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3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3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3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3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3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3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3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3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3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3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3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3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3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3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3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3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3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3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3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3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3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3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3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3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3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3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3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3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3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3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3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3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3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3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3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3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3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3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3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3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3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3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3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3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3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3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3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3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3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3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3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3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3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3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3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3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3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3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3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3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3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3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3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3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3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3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3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3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3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3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3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3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3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3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3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3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3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3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3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3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3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3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3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3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3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3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3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3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3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3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3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3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3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3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3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3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3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3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3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3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3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3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3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3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3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4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3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4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3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3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3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3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3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3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3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3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3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3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3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3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3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3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3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3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3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3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3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3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3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3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3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3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3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3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4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3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4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3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3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3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3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3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3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3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3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3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3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3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3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3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3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3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3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3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3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3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3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3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3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3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3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3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3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3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3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3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3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3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4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3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4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3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3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3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3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3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3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3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3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3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3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3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3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3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3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3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3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3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3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3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3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3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3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3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3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3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3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4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3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4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3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3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3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3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3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3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3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3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3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3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3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3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3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3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3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3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3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3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3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3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3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3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3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3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3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3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3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3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3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3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3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3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3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3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3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3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4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3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4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3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3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3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3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3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3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3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3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3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3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3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3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3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3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3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3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3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3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3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3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3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3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3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3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3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3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3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3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3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3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3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3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3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3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3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3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3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3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3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3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3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3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3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3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3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3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3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3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3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3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3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3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3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3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3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3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3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3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3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56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3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56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3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3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3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3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3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3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3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3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3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3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3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3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3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3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3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3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3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3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3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3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3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3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3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3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3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3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3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3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3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3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3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3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3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3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3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3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3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3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3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3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3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3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3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3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3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3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3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3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3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3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3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3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3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3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3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3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3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3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3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3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3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3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3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3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3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3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3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3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3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3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3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3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3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3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3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3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3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3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3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3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3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3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3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3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3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3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3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3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3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3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3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3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3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3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3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3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3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3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3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3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3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3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3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3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3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3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3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3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3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3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3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3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4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3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4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3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3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3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3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3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3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3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3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3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3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3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3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3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3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3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3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3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3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3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3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3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3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3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3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3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3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3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3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3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3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3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3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3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3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3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3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3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3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3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3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3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3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3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3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3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3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3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3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3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3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3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3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3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3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3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3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3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3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3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3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3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3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3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3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3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3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3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3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3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3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3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4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3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4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3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3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3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3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3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3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3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3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3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3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3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3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3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3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3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3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3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3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3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3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3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3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3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3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3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3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3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3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3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3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3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3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3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3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3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3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3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3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3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3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3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4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3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4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3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3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3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3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3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3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3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3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3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3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3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3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3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3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3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3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3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3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3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3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3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3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3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3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3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3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3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3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3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3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3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3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3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3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3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3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3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3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3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3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3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3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3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3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3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3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3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3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3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3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3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3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3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3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3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3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3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3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3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3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3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3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3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3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3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3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3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4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3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4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3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3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3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3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3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3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3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3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3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3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3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3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3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3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3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3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3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3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3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3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3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3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3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3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3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3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3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3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3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3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3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3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3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3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3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3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3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3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3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3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3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3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3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3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3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3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3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3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3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3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3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3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3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3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3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3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3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3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3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3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3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3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3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3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3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3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3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3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3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3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3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3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3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3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3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3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3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3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3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3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3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3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3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3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3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3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3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3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3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3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3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3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3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3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3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3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3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3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3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3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3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4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3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4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3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3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3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3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3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3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3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3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3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3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3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3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3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3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3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3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3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3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3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3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3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3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3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3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3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3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3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3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3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3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3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3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3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3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3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3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3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3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3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3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3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3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3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3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3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3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3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3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3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3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3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3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3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3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3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3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3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3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3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3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3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3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3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3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3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3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3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3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3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3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3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3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3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3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3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3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3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3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3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3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3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4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3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4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3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3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3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3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3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3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3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3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3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3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3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3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3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3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3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3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3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3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3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3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3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3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3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3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3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3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3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3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3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3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3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3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3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3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3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3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3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3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3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3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3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3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3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3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3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3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3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3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3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3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3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3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3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3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3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3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3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3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3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3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3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5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8" t="s">
        <v>467</v>
      </c>
      <c r="H2160" s="414" t="s">
        <v>515</v>
      </c>
      <c r="I2160" s="415" t="s">
        <v>516</v>
      </c>
      <c r="J2160" s="95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5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8"/>
      <c r="H2161" s="421" t="s">
        <v>515</v>
      </c>
      <c r="I2161" s="422" t="s">
        <v>516</v>
      </c>
      <c r="J2161" s="95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5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8"/>
      <c r="H2162" s="429" t="s">
        <v>515</v>
      </c>
      <c r="I2162" s="430" t="s">
        <v>516</v>
      </c>
      <c r="J2162" s="95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5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8" t="s">
        <v>467</v>
      </c>
      <c r="H2165" s="414" t="s">
        <v>516</v>
      </c>
      <c r="I2165" s="415" t="s">
        <v>516</v>
      </c>
      <c r="J2165" s="95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5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8"/>
      <c r="H2166" s="429" t="s">
        <v>516</v>
      </c>
      <c r="I2166" s="430" t="s">
        <v>516</v>
      </c>
      <c r="J2166" s="95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3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3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3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3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3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3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3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3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3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3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3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3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3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3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3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3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3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3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3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4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3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4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3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6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3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6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3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3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3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3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3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3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3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3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3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3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3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3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3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3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3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3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3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3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3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3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3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3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3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3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3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3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3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3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3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3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3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3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3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3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3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3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3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3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3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3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3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3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3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3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3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3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3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3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3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3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3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3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3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3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3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3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3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3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3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3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3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3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3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3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3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3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3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3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3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3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3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3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3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3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3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3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3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3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3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3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3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3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3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3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3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3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3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3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3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3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3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3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3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3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3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3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3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3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3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3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3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3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3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3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3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3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3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3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3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3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3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3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3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3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3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3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3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3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3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3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3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3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3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3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3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3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3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3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3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3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3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3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3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3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3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3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3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3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3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3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3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3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3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3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3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3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3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3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3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3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3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3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3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3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3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3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3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3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3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3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3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3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3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3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3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3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3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3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3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3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3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3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3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3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3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3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3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3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3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3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3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3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3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3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3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3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3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3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3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3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3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3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3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3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3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4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3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4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3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4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3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3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3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3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3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3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3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3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3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3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3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4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3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4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3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3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3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3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3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3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3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3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3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3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3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3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6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6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6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62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3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3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3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3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3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3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3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3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3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3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3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3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3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3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3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3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3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3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3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3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3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3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3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3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63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3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63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3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3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3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4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3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4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3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3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3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3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3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3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3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3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3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3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3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3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3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3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3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3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3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3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3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3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3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3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3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4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3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4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3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3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3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3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3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3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3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3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3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3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3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3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3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3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3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3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3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3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3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3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3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3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3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3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6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6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3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3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3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3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3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3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3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3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3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3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3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3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3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3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3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3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3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3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3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3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3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3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3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3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3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3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3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3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3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3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3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3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3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3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3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3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3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3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3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3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3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3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4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3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4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3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4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3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3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3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3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3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3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3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3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3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3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3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3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3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3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3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3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3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3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3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3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3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3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3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3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3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3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3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3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3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3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3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3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3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3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3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3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3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3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3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3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3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3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3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3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3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3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3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3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3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65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3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65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3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3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3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3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3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3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3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3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3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3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3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3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3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3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3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3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3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3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3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3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3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3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3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3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3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3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3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3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3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3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3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3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3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4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3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4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3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3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3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3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3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3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3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3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3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3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3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3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3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3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3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3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3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3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3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3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3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3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3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3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3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3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3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3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3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3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3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3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3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3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3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3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3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3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3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3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3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3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3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3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3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3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3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3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3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3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3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3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3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3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3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3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3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3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3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3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3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3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3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3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3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3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3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3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3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3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3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3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3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3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3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3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3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3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3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3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3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3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3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3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3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3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3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3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3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3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4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3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4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3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4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3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3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3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3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3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3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3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3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3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3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3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3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3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3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3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3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3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3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3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3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4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3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4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3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4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3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4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3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3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3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3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3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3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3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3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4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3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4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3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4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3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3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3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3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3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3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3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3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3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3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3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3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3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3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3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3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3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3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3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3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4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3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4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3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3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3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3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3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3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3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3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3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3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3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3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3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3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3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3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3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3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3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3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3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3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3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3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3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3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3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3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3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3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3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3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3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3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3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3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3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3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3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3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3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3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3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3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3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3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3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3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3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3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3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3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3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3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3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3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3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3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3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3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3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3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3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3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3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3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3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3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3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3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3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3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3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3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3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3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3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3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3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3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3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3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3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3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3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3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3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3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3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3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3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3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3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3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3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3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3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3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3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3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3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3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3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3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3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3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3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3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3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63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3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63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3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63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3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63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3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63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3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63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3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3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3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3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3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3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3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3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3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3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3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3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3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3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3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3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3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3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3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3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3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3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3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3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3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3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3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3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3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3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3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3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3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3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3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3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3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3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3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3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3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3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3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3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3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3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3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3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3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3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3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3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3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3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3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3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3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3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3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3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3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3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3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3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3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3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3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3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3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3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3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3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3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3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3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3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3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3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3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3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3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3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3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3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3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3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3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3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3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3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3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3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3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3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3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3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3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3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3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3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3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3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3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3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3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3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3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3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3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3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3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3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3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3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3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3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3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3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3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3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3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3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3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3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3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3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3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3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3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3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3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3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3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3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3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3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3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3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3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3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3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3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3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3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3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3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3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3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3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3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3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3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3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3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3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3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3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3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3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3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3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3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3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3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3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3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3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3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3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3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3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3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3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3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3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3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63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3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63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3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63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3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3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3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3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3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3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3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3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3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3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3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3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3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3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3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3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3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3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3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3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3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4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3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4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3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3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3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3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3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3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3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3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3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3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3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3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3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3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3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3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3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3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3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3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3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3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3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3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4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3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4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3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3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3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3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3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3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3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3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3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3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3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3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3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3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3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3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4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3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4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3">
      <c r="A3552" s="90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2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91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2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90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2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91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2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91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2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91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2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90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6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90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6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90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2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6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6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90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91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91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91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90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91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91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91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6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90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6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90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6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90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91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91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91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91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91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3">
      <c r="A3598" s="90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1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6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6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90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6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90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1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6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6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90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91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91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6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90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91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90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91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91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6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90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91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91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90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91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91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91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91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91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90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6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90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2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6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6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90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2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6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6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90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6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90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6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90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91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90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6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90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6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90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91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6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90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91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6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90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91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91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91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91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91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90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6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90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1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6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6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90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6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90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6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90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91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91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6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3">
      <c r="A3694" s="90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2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6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6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90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91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6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90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6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3">
      <c r="A3703" s="90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1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6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6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90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91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91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91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91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91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90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6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90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6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90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1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6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6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90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91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6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90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91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6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90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91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6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90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91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91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91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90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6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90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91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6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90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91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91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91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90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91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90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91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91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91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91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91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90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6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90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2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91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2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6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6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90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91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6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90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91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6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90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91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91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3">
      <c r="A3779" s="90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2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6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6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90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91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91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6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90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6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90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6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90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6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90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91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91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91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91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90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6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90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91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6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90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6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90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6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90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6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90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2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6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6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90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91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90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91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6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90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6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90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6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90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6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90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6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90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91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91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91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91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91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91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91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90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6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90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6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90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91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91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6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90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91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91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91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91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6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90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6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90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91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91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6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90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91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91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91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91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91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90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6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90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2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6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6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90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91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6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90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91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91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6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90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91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6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90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2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91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2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6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6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90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1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6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6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90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6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90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6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90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91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91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91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91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91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90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6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90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6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90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91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6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90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91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91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6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90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6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90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2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6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6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90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6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90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91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6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90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6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90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91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90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91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90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91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91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91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91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90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6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90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91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90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1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6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6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90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91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91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91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91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91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6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90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91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91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91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90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91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6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90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6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90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6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90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91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6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90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6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1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7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7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90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91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91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91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91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6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90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6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90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91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6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90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6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90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6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90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6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90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91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90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90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91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91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90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90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90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2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91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90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91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90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1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90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1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90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91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91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91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91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90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90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90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91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90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91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91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90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90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90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91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91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3">
      <c r="A4090" s="90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1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3">
      <c r="A4091" s="91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2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90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1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90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90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90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91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90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90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91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91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90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91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91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91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91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90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91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90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91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90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90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91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91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91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90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90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90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91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91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91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90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91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90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91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91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90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91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90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91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91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91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91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90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91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90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91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90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90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91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90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90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90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91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90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91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91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90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91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90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90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90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91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90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90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91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91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91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91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90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91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90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90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90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90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90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90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90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91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91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90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91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91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90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90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91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91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3">
      <c r="A4231" s="90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2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91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90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91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90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90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91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90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90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91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91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91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90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91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3">
      <c r="A4251" s="90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1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3">
      <c r="A4252" s="91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2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3">
      <c r="A4253" s="91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2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90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1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90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91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91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90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91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90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91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90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90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91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90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91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91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3">
      <c r="A4278" s="90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1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90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1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90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91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90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91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90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90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90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90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91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90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91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90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91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90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91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91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91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91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90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91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91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90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2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91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2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91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2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91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90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90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90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91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90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91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90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91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90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90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91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3">
      <c r="A4331" s="90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1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90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1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90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91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90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91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91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91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91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90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90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91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90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91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90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90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91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90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91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91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90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91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90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90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91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91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90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91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90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90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90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90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91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90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91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90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90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91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91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91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90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1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91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1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90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91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91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90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90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90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91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91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91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90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90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90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91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90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91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91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90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90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91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90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90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90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90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90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91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90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91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90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91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91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91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90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91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90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91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91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91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90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90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90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90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90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91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91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90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91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90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90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91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90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90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91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90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90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91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90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91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91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91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90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1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91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2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90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91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90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90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90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91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90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90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90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91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90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91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91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90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90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90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91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90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91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90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90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91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91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90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90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90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91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90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91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90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91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90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90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91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91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90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91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90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91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90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90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90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91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90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90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90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91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91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90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91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90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90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91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90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90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91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90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91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90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3">
      <c r="A4579" s="90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2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3">
      <c r="A4580" s="91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2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91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90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91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90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90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90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90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90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90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91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91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90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91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90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91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90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91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91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91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90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91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3">
      <c r="A4615" s="90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2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91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90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90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90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91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90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90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90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91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91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91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90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91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90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91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90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91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90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91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91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90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91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90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90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91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90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91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90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90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91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90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90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90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91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90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91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90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91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91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90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91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90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91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90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91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91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90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90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91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90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90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90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91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3">
      <c r="A4700" s="90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2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91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90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91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91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90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91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90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90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91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91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90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91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90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90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90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91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90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90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90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91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90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1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91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2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91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2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90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1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90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91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90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90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1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90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1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90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91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90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91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91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90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91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90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90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2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91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90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91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90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91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90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91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91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90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90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2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91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2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90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90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90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90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90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91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90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90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3">
      <c r="A4776" s="90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2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91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90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91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91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90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91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90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3">
      <c r="A4792" s="90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1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90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1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90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91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90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91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90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91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90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91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91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91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90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91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90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90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90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91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90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1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91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2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90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1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90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91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90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2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91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90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90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90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91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91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91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3">
      <c r="A4838" s="90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1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90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1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90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91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90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90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90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91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90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91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90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2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91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90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91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91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90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91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3">
      <c r="A4866" s="90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2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91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90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91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91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90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90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91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90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91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90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90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91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91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91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90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90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90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91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90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90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3">
      <c r="A4893" s="90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2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91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90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91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90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91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90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3">
      <c r="A4903" s="90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2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91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2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90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90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90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91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90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90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91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91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90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91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90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91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90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91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91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90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90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2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91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90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91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3">
      <c r="A4935" s="90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1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90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1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90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91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91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90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90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90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91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90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90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3">
      <c r="A4950" s="90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2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91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90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90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90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91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90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1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90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1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90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91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90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91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90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90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91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90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91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90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90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1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90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1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90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91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90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91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91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90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91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90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91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91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90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91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90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3">
      <c r="A4996" s="90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1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90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1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90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1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90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1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90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91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90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91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91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90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91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90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90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91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90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90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3">
      <c r="A5019" s="90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1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90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1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90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91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91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90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91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3">
      <c r="A5035" s="90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1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90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1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90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91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90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91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90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90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2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91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2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91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2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90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1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90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1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91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91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91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91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91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91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90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91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90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90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90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2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91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91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91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91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90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90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90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91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91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90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90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90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91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90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91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90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1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91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2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90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1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90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91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90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1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90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1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90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91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91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90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90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91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90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90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91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91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90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2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91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2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91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2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91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2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90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90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90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2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91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90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91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90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91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90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90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2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91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90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91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90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91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91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91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90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90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3">
      <c r="A5140" s="90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2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91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90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91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90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90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91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90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91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91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90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90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90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91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91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90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90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90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90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91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90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91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91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91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90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91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90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90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91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90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90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90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91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90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2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91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2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90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91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91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90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90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2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91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90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91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3">
      <c r="A5202" s="90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2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91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90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91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91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90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90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90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91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90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1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90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1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90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91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90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90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91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91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91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90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91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90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90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91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90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2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91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90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91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90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91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91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90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90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90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91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91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90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90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90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91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90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90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90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91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90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91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90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91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90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90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91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90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90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90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1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91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2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90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91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91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90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90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90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91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91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91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90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91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90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90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91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90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91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90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91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90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90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91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91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91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90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90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90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91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90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91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90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2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91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2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91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2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91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2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91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2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90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90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90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91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91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90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90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91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91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90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90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91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90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91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90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90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91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91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90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91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91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90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90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90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1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90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1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90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1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91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2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91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2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91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2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90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91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90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90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90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91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90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91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90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90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90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91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91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90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91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91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90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90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3">
      <c r="A5402" s="91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2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91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2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90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91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90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2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91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90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91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90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2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91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2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90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90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90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91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90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90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90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91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90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90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90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2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91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90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91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90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90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90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91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90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90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90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91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91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90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90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90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90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90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91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91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90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91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90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91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90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91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90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90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91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90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90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91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91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90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91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90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90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91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90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1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90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1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90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91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91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90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91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90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90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90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91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90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2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91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90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91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90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90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90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91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90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1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90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1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90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91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91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91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90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90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91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91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90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91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90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1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90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1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90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1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91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2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91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2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91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2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90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1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90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91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91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90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91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91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91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90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3">
      <c r="A5549" s="90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2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91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90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90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90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91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91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90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91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90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91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90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91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90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90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91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90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90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90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91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90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91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91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91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90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90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90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91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91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90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90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90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91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90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1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90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1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90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91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90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91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90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91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90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91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91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91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90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91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90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90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90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91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3">
      <c r="A5623" s="90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1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90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1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90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91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3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3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0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0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0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90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90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0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3">
      <c r="A6560" s="90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0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0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0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90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91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1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91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1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1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91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1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2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2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1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1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90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90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90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91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91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91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91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90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90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90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90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4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90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91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90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91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90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91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91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90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90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90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90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90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91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90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90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91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91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90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91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91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90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91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90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91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90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90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91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91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90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90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91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32.25" hidden="1" thickBot="1" x14ac:dyDescent="0.3">
      <c r="A6651" s="90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90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91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90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1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90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1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90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91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1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1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91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91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908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90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4"/>
    </row>
    <row r="6674" spans="1:17" ht="18.75" hidden="1" customHeight="1" thickBot="1" x14ac:dyDescent="0.3">
      <c r="A6674" s="90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4"/>
    </row>
    <row r="6675" spans="1:17" ht="19.5" hidden="1" thickBot="1" x14ac:dyDescent="0.3">
      <c r="A6675" s="90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4"/>
    </row>
    <row r="6676" spans="1:17" ht="19.5" hidden="1" thickBot="1" x14ac:dyDescent="0.3">
      <c r="A6676" s="91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4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4"/>
    </row>
    <row r="6678" spans="1:17" ht="19.5" hidden="1" thickBot="1" x14ac:dyDescent="0.3">
      <c r="A6678" s="90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91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90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4" t="s">
        <v>1647</v>
      </c>
      <c r="Q6680" s="833" t="s">
        <v>1648</v>
      </c>
    </row>
    <row r="6681" spans="1:17" ht="18.75" hidden="1" customHeight="1" thickBot="1" x14ac:dyDescent="0.3">
      <c r="A6681" s="90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4"/>
    </row>
    <row r="6682" spans="1:17" ht="19.5" hidden="1" thickBot="1" x14ac:dyDescent="0.3">
      <c r="A6682" s="90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4" t="s">
        <v>1651</v>
      </c>
      <c r="Q6682" s="833" t="s">
        <v>1652</v>
      </c>
    </row>
    <row r="6683" spans="1:17" ht="18.75" hidden="1" customHeight="1" thickBot="1" x14ac:dyDescent="0.3">
      <c r="A6683" s="908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4"/>
    </row>
    <row r="6684" spans="1:17" ht="19.5" hidden="1" thickBot="1" x14ac:dyDescent="0.3">
      <c r="A6684" s="90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2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758" t="s">
        <v>1679</v>
      </c>
    </row>
    <row r="6686" spans="1:17" ht="19.5" hidden="1" thickBot="1" x14ac:dyDescent="0.3">
      <c r="A6686" s="92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758" t="s">
        <v>1680</v>
      </c>
    </row>
    <row r="6687" spans="1:17" ht="19.5" hidden="1" thickBot="1" x14ac:dyDescent="0.3">
      <c r="A6687" s="90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90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91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4"/>
    </row>
    <row r="6690" spans="1:16" ht="19.5" hidden="1" thickBot="1" x14ac:dyDescent="0.3">
      <c r="A6690" s="908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4"/>
    </row>
    <row r="6691" spans="1:16" ht="19.5" hidden="1" thickBot="1" x14ac:dyDescent="0.3">
      <c r="A6691" s="90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0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90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908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90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4"/>
    </row>
    <row r="6696" spans="1:16" ht="19.5" hidden="1" thickBot="1" x14ac:dyDescent="0.3">
      <c r="A6696" s="92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758" t="s">
        <v>1655</v>
      </c>
      <c r="P6696" s="834"/>
    </row>
    <row r="6697" spans="1:16" ht="32.25" hidden="1" thickBot="1" x14ac:dyDescent="0.3">
      <c r="A6697" s="90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4"/>
    </row>
    <row r="6698" spans="1:16" ht="19.5" hidden="1" thickBot="1" x14ac:dyDescent="0.3">
      <c r="A6698" s="90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4"/>
    </row>
    <row r="6699" spans="1:16" ht="18.75" hidden="1" customHeight="1" thickBot="1" x14ac:dyDescent="0.3">
      <c r="A6699" s="908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4"/>
    </row>
    <row r="6700" spans="1:16" ht="19.5" hidden="1" thickBot="1" x14ac:dyDescent="0.3">
      <c r="A6700" s="90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4"/>
    </row>
    <row r="6701" spans="1:16" ht="19.5" hidden="1" thickBot="1" x14ac:dyDescent="0.3">
      <c r="A6701" s="92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758" t="s">
        <v>1638</v>
      </c>
    </row>
    <row r="6702" spans="1:16" ht="19.5" hidden="1" thickBot="1" x14ac:dyDescent="0.3">
      <c r="A6702" s="90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90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7" t="s">
        <v>1666</v>
      </c>
    </row>
    <row r="6704" spans="1:16" ht="19.5" hidden="1" thickBot="1" x14ac:dyDescent="0.3">
      <c r="A6704" s="91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7" t="s">
        <v>1667</v>
      </c>
    </row>
    <row r="6705" spans="1:16" ht="19.5" hidden="1" thickBot="1" x14ac:dyDescent="0.3">
      <c r="A6705" s="91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7" t="s">
        <v>1668</v>
      </c>
    </row>
    <row r="6706" spans="1:16" ht="19.5" hidden="1" thickBot="1" x14ac:dyDescent="0.3">
      <c r="A6706" s="91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7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7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7" t="s">
        <v>1659</v>
      </c>
    </row>
    <row r="6709" spans="1:16" ht="19.5" hidden="1" thickBot="1" x14ac:dyDescent="0.3">
      <c r="A6709" s="90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7" t="s">
        <v>1673</v>
      </c>
      <c r="P6709" s="847" t="s">
        <v>1675</v>
      </c>
    </row>
    <row r="6710" spans="1:16" ht="19.5" hidden="1" thickBot="1" x14ac:dyDescent="0.3">
      <c r="A6710" s="91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7" t="s">
        <v>1671</v>
      </c>
    </row>
    <row r="6711" spans="1:16" ht="19.5" hidden="1" thickBot="1" x14ac:dyDescent="0.3">
      <c r="A6711" s="91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7" t="s">
        <v>1672</v>
      </c>
    </row>
    <row r="6712" spans="1:16" ht="19.5" hidden="1" thickBot="1" x14ac:dyDescent="0.3">
      <c r="A6712" s="90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867" t="s">
        <v>1674</v>
      </c>
    </row>
    <row r="6713" spans="1:16" ht="19.5" hidden="1" thickBot="1" x14ac:dyDescent="0.3">
      <c r="A6713" s="90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7" t="s">
        <v>1698</v>
      </c>
    </row>
    <row r="6714" spans="1:16" ht="19.5" hidden="1" thickBot="1" x14ac:dyDescent="0.3">
      <c r="A6714" s="908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7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7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7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7" t="s">
        <v>1664</v>
      </c>
      <c r="P6717" s="847" t="s">
        <v>1665</v>
      </c>
    </row>
    <row r="6718" spans="1:16" ht="19.5" hidden="1" thickBot="1" x14ac:dyDescent="0.3">
      <c r="A6718" s="90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7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7" t="s">
        <v>1690</v>
      </c>
    </row>
    <row r="6719" spans="1:16" ht="19.5" hidden="1" thickBot="1" x14ac:dyDescent="0.3">
      <c r="A6719" s="91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8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7" t="s">
        <v>1689</v>
      </c>
    </row>
    <row r="6720" spans="1:16" ht="19.5" hidden="1" thickBot="1" x14ac:dyDescent="0.3">
      <c r="A6720" s="908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9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7" t="s">
        <v>1691</v>
      </c>
    </row>
    <row r="6721" spans="1:17" ht="19.5" hidden="1" thickBot="1" x14ac:dyDescent="0.3">
      <c r="A6721" s="90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2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7" t="s">
        <v>1682</v>
      </c>
    </row>
    <row r="6722" spans="1:17" ht="19.5" hidden="1" thickBot="1" x14ac:dyDescent="0.3">
      <c r="A6722" s="90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2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867" t="s">
        <v>1683</v>
      </c>
    </row>
    <row r="6723" spans="1:17" ht="19.5" hidden="1" thickBot="1" x14ac:dyDescent="0.3">
      <c r="A6723" s="90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2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7" t="s">
        <v>1669</v>
      </c>
    </row>
    <row r="6724" spans="1:17" ht="19.5" hidden="1" thickBot="1" x14ac:dyDescent="0.3">
      <c r="A6724" s="908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2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867" t="s">
        <v>1670</v>
      </c>
      <c r="Q6724" s="835"/>
    </row>
    <row r="6725" spans="1:17" ht="19.5" hidden="1" thickBot="1" x14ac:dyDescent="0.3">
      <c r="A6725" s="90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7" t="s">
        <v>1685</v>
      </c>
      <c r="P6725" s="834"/>
    </row>
    <row r="6726" spans="1:17" ht="19.5" hidden="1" thickBot="1" x14ac:dyDescent="0.3">
      <c r="A6726" s="90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7" t="s">
        <v>1686</v>
      </c>
      <c r="P6726" s="834"/>
    </row>
    <row r="6727" spans="1:17" ht="19.5" hidden="1" thickBot="1" x14ac:dyDescent="0.3">
      <c r="A6727" s="90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7" t="s">
        <v>1687</v>
      </c>
    </row>
    <row r="6728" spans="1:17" ht="19.5" hidden="1" thickBot="1" x14ac:dyDescent="0.3">
      <c r="A6728" s="91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7" t="s">
        <v>1688</v>
      </c>
    </row>
    <row r="6729" spans="1:17" ht="19.5" hidden="1" thickBot="1" x14ac:dyDescent="0.3">
      <c r="A6729" s="90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7" t="s">
        <v>1696</v>
      </c>
    </row>
    <row r="6730" spans="1:17" ht="19.5" hidden="1" thickBot="1" x14ac:dyDescent="0.3">
      <c r="A6730" s="90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7" t="s">
        <v>1697</v>
      </c>
      <c r="P6730" s="834"/>
    </row>
    <row r="6731" spans="1:17" ht="19.5" hidden="1" thickBot="1" x14ac:dyDescent="0.3">
      <c r="A6731" s="90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7" t="s">
        <v>1694</v>
      </c>
    </row>
    <row r="6732" spans="1:17" ht="19.5" hidden="1" thickBot="1" x14ac:dyDescent="0.3">
      <c r="A6732" s="91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7" t="s">
        <v>1695</v>
      </c>
      <c r="P6732" s="834"/>
    </row>
    <row r="6733" spans="1:17" ht="19.5" hidden="1" thickBot="1" x14ac:dyDescent="0.3">
      <c r="A6733" s="91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7" t="s">
        <v>1692</v>
      </c>
      <c r="P6733" s="834"/>
    </row>
    <row r="6734" spans="1:17" ht="19.5" hidden="1" thickBot="1" x14ac:dyDescent="0.3">
      <c r="A6734" s="97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7" t="s">
        <v>1693</v>
      </c>
      <c r="P6734" s="834"/>
    </row>
    <row r="6735" spans="1:17" ht="19.5" hidden="1" thickBot="1" x14ac:dyDescent="0.3">
      <c r="A6735" s="90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7" t="s">
        <v>1709</v>
      </c>
      <c r="P6735" s="834"/>
    </row>
    <row r="6736" spans="1:17" ht="19.5" hidden="1" thickBot="1" x14ac:dyDescent="0.3">
      <c r="A6736" s="908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7" t="s">
        <v>1710</v>
      </c>
      <c r="P6736" s="834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7" t="s">
        <v>1706</v>
      </c>
      <c r="P6737" s="834"/>
    </row>
    <row r="6738" spans="1:16" ht="19.5" hidden="1" thickBot="1" x14ac:dyDescent="0.3">
      <c r="A6738" s="90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7" t="s">
        <v>1707</v>
      </c>
      <c r="P6738" s="834"/>
    </row>
    <row r="6739" spans="1:16" ht="19.5" hidden="1" thickBot="1" x14ac:dyDescent="0.3">
      <c r="A6739" s="908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7" t="s">
        <v>1708</v>
      </c>
      <c r="P6739" s="834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7" t="s">
        <v>1716</v>
      </c>
    </row>
    <row r="6741" spans="1:16" ht="19.5" hidden="1" thickBot="1" x14ac:dyDescent="0.3">
      <c r="A6741" s="90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7" t="s">
        <v>1728</v>
      </c>
      <c r="P6741" s="847" t="s">
        <v>1731</v>
      </c>
    </row>
    <row r="6742" spans="1:16" ht="19.5" hidden="1" thickBot="1" x14ac:dyDescent="0.3">
      <c r="A6742" s="91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867" t="s">
        <v>1730</v>
      </c>
    </row>
    <row r="6743" spans="1:16" ht="19.5" hidden="1" thickBot="1" x14ac:dyDescent="0.3">
      <c r="A6743" s="908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867" t="s">
        <v>1729</v>
      </c>
    </row>
    <row r="6744" spans="1:16" ht="19.5" hidden="1" thickBot="1" x14ac:dyDescent="0.3">
      <c r="A6744" s="90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7" t="s">
        <v>1712</v>
      </c>
      <c r="P6744" s="847" t="s">
        <v>1715</v>
      </c>
    </row>
    <row r="6745" spans="1:16" ht="19.5" hidden="1" thickBot="1" x14ac:dyDescent="0.3">
      <c r="A6745" s="91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867" t="s">
        <v>1714</v>
      </c>
    </row>
    <row r="6746" spans="1:16" ht="19.5" hidden="1" thickBot="1" x14ac:dyDescent="0.3">
      <c r="A6746" s="90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7" t="s">
        <v>1713</v>
      </c>
      <c r="P6746" s="847" t="s">
        <v>1720</v>
      </c>
    </row>
    <row r="6747" spans="1:16" ht="19.5" hidden="1" thickBot="1" x14ac:dyDescent="0.3">
      <c r="A6747" s="90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7" t="s">
        <v>1717</v>
      </c>
    </row>
    <row r="6748" spans="1:16" ht="19.5" hidden="1" thickBot="1" x14ac:dyDescent="0.3">
      <c r="A6748" s="91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867" t="s">
        <v>1719</v>
      </c>
    </row>
    <row r="6749" spans="1:16" ht="19.5" hidden="1" thickBot="1" x14ac:dyDescent="0.3">
      <c r="A6749" s="91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7" t="s">
        <v>1718</v>
      </c>
    </row>
    <row r="6750" spans="1:16" ht="19.5" hidden="1" thickBot="1" x14ac:dyDescent="0.3">
      <c r="A6750" s="90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7" t="s">
        <v>1747</v>
      </c>
    </row>
    <row r="6751" spans="1:16" ht="19.5" hidden="1" thickBot="1" x14ac:dyDescent="0.3">
      <c r="A6751" s="91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7" t="s">
        <v>1748</v>
      </c>
    </row>
    <row r="6752" spans="1:16" ht="19.5" hidden="1" thickBot="1" x14ac:dyDescent="0.3">
      <c r="A6752" s="90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7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7" t="s">
        <v>1711</v>
      </c>
    </row>
    <row r="6754" spans="1:15" ht="19.5" hidden="1" thickBot="1" x14ac:dyDescent="0.3">
      <c r="A6754" s="90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7" t="s">
        <v>1736</v>
      </c>
    </row>
    <row r="6755" spans="1:15" ht="19.5" hidden="1" thickBot="1" x14ac:dyDescent="0.3">
      <c r="A6755" s="90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867" t="s">
        <v>1737</v>
      </c>
    </row>
    <row r="6756" spans="1:15" ht="19.5" hidden="1" thickBot="1" x14ac:dyDescent="0.3">
      <c r="A6756" s="90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7" t="s">
        <v>1738</v>
      </c>
    </row>
    <row r="6757" spans="1:15" ht="19.5" hidden="1" thickBot="1" x14ac:dyDescent="0.3">
      <c r="A6757" s="91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867" t="s">
        <v>1740</v>
      </c>
    </row>
    <row r="6758" spans="1:15" ht="19.5" hidden="1" thickBot="1" x14ac:dyDescent="0.3">
      <c r="A6758" s="908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867" t="s">
        <v>1739</v>
      </c>
    </row>
    <row r="6759" spans="1:15" ht="19.5" hidden="1" thickBot="1" x14ac:dyDescent="0.3">
      <c r="A6759" s="90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7" t="s">
        <v>1732</v>
      </c>
    </row>
    <row r="6760" spans="1:15" ht="19.5" hidden="1" thickBot="1" x14ac:dyDescent="0.3">
      <c r="A6760" s="92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867" t="s">
        <v>1733</v>
      </c>
    </row>
    <row r="6761" spans="1:15" ht="19.5" hidden="1" thickBot="1" x14ac:dyDescent="0.3">
      <c r="A6761" s="92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867" t="s">
        <v>1734</v>
      </c>
    </row>
    <row r="6762" spans="1:15" ht="19.5" hidden="1" thickBot="1" x14ac:dyDescent="0.3">
      <c r="A6762" s="90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867" t="s">
        <v>1735</v>
      </c>
    </row>
    <row r="6763" spans="1:15" ht="19.5" hidden="1" thickBot="1" x14ac:dyDescent="0.3">
      <c r="A6763" s="90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7" t="s">
        <v>1725</v>
      </c>
    </row>
    <row r="6764" spans="1:15" ht="19.5" hidden="1" thickBot="1" x14ac:dyDescent="0.3">
      <c r="A6764" s="91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7" t="s">
        <v>1726</v>
      </c>
    </row>
    <row r="6765" spans="1:15" ht="19.5" hidden="1" thickBot="1" x14ac:dyDescent="0.3">
      <c r="A6765" s="91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7" t="s">
        <v>1727</v>
      </c>
    </row>
    <row r="6766" spans="1:15" ht="19.5" hidden="1" thickBot="1" x14ac:dyDescent="0.3">
      <c r="A6766" s="90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7" t="s">
        <v>1741</v>
      </c>
    </row>
    <row r="6767" spans="1:15" ht="19.5" hidden="1" thickBot="1" x14ac:dyDescent="0.3">
      <c r="A6767" s="91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867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7" t="s">
        <v>1749</v>
      </c>
    </row>
    <row r="6769" spans="1:15" ht="19.5" hidden="1" thickBot="1" x14ac:dyDescent="0.3">
      <c r="A6769" s="90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7" t="s">
        <v>1753</v>
      </c>
    </row>
    <row r="6770" spans="1:15" ht="19.5" hidden="1" thickBot="1" x14ac:dyDescent="0.3">
      <c r="A6770" s="90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7" t="s">
        <v>1752</v>
      </c>
    </row>
    <row r="6771" spans="1:15" ht="19.5" hidden="1" thickBot="1" x14ac:dyDescent="0.3">
      <c r="A6771" s="90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867" t="s">
        <v>1743</v>
      </c>
    </row>
    <row r="6772" spans="1:15" ht="19.5" hidden="1" thickBot="1" x14ac:dyDescent="0.3">
      <c r="A6772" s="91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867" t="s">
        <v>1745</v>
      </c>
    </row>
    <row r="6773" spans="1:15" ht="19.5" hidden="1" thickBot="1" x14ac:dyDescent="0.3">
      <c r="A6773" s="91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867" t="s">
        <v>1744</v>
      </c>
    </row>
    <row r="6774" spans="1:15" ht="19.5" hidden="1" thickBot="1" x14ac:dyDescent="0.3">
      <c r="A6774" s="908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867" t="s">
        <v>1746</v>
      </c>
    </row>
    <row r="6775" spans="1:15" ht="19.5" hidden="1" thickBot="1" x14ac:dyDescent="0.3">
      <c r="A6775" s="90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867" t="s">
        <v>1754</v>
      </c>
    </row>
    <row r="6776" spans="1:15" ht="19.5" hidden="1" thickBot="1" x14ac:dyDescent="0.3">
      <c r="A6776" s="92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867" t="s">
        <v>1755</v>
      </c>
    </row>
    <row r="6777" spans="1:15" ht="19.5" hidden="1" thickBot="1" x14ac:dyDescent="0.3">
      <c r="A6777" s="92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867" t="s">
        <v>1756</v>
      </c>
    </row>
    <row r="6778" spans="1:15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867" t="s">
        <v>1757</v>
      </c>
    </row>
    <row r="6779" spans="1:15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867" t="s">
        <v>1751</v>
      </c>
    </row>
    <row r="6780" spans="1:15" ht="19.5" hidden="1" thickBot="1" x14ac:dyDescent="0.3">
      <c r="A6780" s="90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867" t="s">
        <v>1760</v>
      </c>
    </row>
    <row r="6781" spans="1:15" ht="19.5" hidden="1" thickBot="1" x14ac:dyDescent="0.3">
      <c r="A6781" s="908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867" t="s">
        <v>1761</v>
      </c>
    </row>
    <row r="6782" spans="1:15" ht="19.5" hidden="1" thickBot="1" x14ac:dyDescent="0.3">
      <c r="A6782" s="90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867" t="s">
        <v>1762</v>
      </c>
    </row>
    <row r="6783" spans="1:15" ht="19.5" hidden="1" thickBot="1" x14ac:dyDescent="0.3">
      <c r="A6783" s="92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867" t="s">
        <v>1763</v>
      </c>
    </row>
    <row r="6784" spans="1:15" ht="19.5" hidden="1" thickBot="1" x14ac:dyDescent="0.3">
      <c r="A6784" s="92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867" t="s">
        <v>1764</v>
      </c>
    </row>
    <row r="6785" spans="1:15" ht="18.75" hidden="1" customHeight="1" x14ac:dyDescent="0.3">
      <c r="A6785" s="90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2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867" t="s">
        <v>1767</v>
      </c>
    </row>
    <row r="6786" spans="1:15" ht="19.5" hidden="1" thickBot="1" x14ac:dyDescent="0.3">
      <c r="A6786" s="908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867" t="s">
        <v>1768</v>
      </c>
    </row>
    <row r="6787" spans="1:15" ht="49.5" hidden="1" customHeight="1" x14ac:dyDescent="0.3">
      <c r="A6787" s="90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1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867" t="s">
        <v>1780</v>
      </c>
    </row>
    <row r="6788" spans="1:15" ht="49.5" hidden="1" customHeight="1" thickBot="1" x14ac:dyDescent="0.3">
      <c r="A6788" s="91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1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867" t="s">
        <v>1781</v>
      </c>
    </row>
    <row r="6789" spans="1:15" ht="19.5" hidden="1" thickBot="1" x14ac:dyDescent="0.3">
      <c r="A6789" s="90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867" t="s">
        <v>1765</v>
      </c>
    </row>
    <row r="6790" spans="1:15" ht="19.5" hidden="1" thickBot="1" x14ac:dyDescent="0.3">
      <c r="A6790" s="91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867" t="s">
        <v>1766</v>
      </c>
    </row>
    <row r="6791" spans="1:15" ht="19.5" hidden="1" thickBot="1" x14ac:dyDescent="0.3">
      <c r="A6791" s="903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867" t="s">
        <v>1772</v>
      </c>
    </row>
    <row r="6792" spans="1:15" ht="19.5" hidden="1" thickBot="1" x14ac:dyDescent="0.3">
      <c r="A6792" s="91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867" t="s">
        <v>1024</v>
      </c>
    </row>
    <row r="6793" spans="1:15" ht="19.5" hidden="1" thickBot="1" x14ac:dyDescent="0.3">
      <c r="A6793" s="91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867" t="s">
        <v>1773</v>
      </c>
    </row>
    <row r="6794" spans="1:15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867" t="s">
        <v>1782</v>
      </c>
    </row>
    <row r="6795" spans="1:15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867" t="s">
        <v>1771</v>
      </c>
    </row>
    <row r="6796" spans="1:15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867" t="s">
        <v>1788</v>
      </c>
    </row>
    <row r="6797" spans="1:15" ht="19.5" hidden="1" thickBot="1" x14ac:dyDescent="0.3">
      <c r="A6797" s="90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02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867" t="s">
        <v>1776</v>
      </c>
    </row>
    <row r="6798" spans="1:15" ht="19.5" hidden="1" thickBot="1" x14ac:dyDescent="0.3">
      <c r="A6798" s="92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867" t="s">
        <v>1778</v>
      </c>
    </row>
    <row r="6799" spans="1:15" ht="19.5" hidden="1" thickBot="1" x14ac:dyDescent="0.3">
      <c r="A6799" s="92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867" t="s">
        <v>1779</v>
      </c>
    </row>
    <row r="6800" spans="1:15" ht="19.5" hidden="1" thickBot="1" x14ac:dyDescent="0.3">
      <c r="A6800" s="92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867" t="s">
        <v>1777</v>
      </c>
    </row>
    <row r="6801" spans="1:15" ht="19.5" hidden="1" thickBot="1" x14ac:dyDescent="0.3">
      <c r="A6801" s="90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867" t="s">
        <v>1790</v>
      </c>
    </row>
    <row r="6802" spans="1:15" ht="19.5" hidden="1" thickBot="1" x14ac:dyDescent="0.3">
      <c r="A6802" s="91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867" t="s">
        <v>1789</v>
      </c>
    </row>
    <row r="6803" spans="1:15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04"/>
      <c r="L6803" s="508" t="s">
        <v>266</v>
      </c>
      <c r="M6803" s="508">
        <v>18126.759999999998</v>
      </c>
      <c r="N6803" s="512">
        <v>0.41666666666666669</v>
      </c>
      <c r="O6803" s="867" t="s">
        <v>1835</v>
      </c>
    </row>
    <row r="6804" spans="1:15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14"/>
      <c r="L6804" s="518" t="s">
        <v>266</v>
      </c>
      <c r="M6804" s="518">
        <v>18171.45</v>
      </c>
      <c r="N6804" s="522">
        <v>0.45833333333333331</v>
      </c>
      <c r="O6804" s="867" t="s">
        <v>1791</v>
      </c>
    </row>
    <row r="6805" spans="1:15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5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14"/>
      <c r="L6806" s="518" t="s">
        <v>266</v>
      </c>
      <c r="M6806" s="518">
        <v>18182.159999999996</v>
      </c>
      <c r="N6806" s="522">
        <v>0.54166666666666663</v>
      </c>
      <c r="O6806" s="867" t="s">
        <v>1802</v>
      </c>
    </row>
    <row r="6807" spans="1:15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2"/>
      <c r="L6807" s="556" t="s">
        <v>266</v>
      </c>
      <c r="M6807" s="556">
        <v>18167.34</v>
      </c>
      <c r="N6807" s="560">
        <v>0.58333333333333337</v>
      </c>
      <c r="O6807" s="867" t="s">
        <v>1803</v>
      </c>
    </row>
    <row r="6808" spans="1:15" ht="56.25" x14ac:dyDescent="0.25">
      <c r="A6808" s="90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79"/>
      <c r="L6808" s="483" t="s">
        <v>28</v>
      </c>
      <c r="M6808" s="483">
        <v>1104.48</v>
      </c>
      <c r="N6808" s="486">
        <v>0.625</v>
      </c>
      <c r="O6808" s="867" t="s">
        <v>1784</v>
      </c>
    </row>
    <row r="6809" spans="1:15" x14ac:dyDescent="0.25">
      <c r="A6809" s="91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91"/>
      <c r="L6809" s="763" t="s">
        <v>28</v>
      </c>
      <c r="M6809" s="763">
        <v>8809.7200000000012</v>
      </c>
      <c r="N6809" s="770">
        <v>0.625</v>
      </c>
      <c r="O6809" s="867" t="s">
        <v>1785</v>
      </c>
    </row>
    <row r="6810" spans="1:15" x14ac:dyDescent="0.25">
      <c r="A6810" s="91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91"/>
      <c r="L6810" s="763" t="s">
        <v>28</v>
      </c>
      <c r="M6810" s="763">
        <v>8130.0599999999995</v>
      </c>
      <c r="N6810" s="770">
        <v>0.625</v>
      </c>
      <c r="O6810" s="978" t="s">
        <v>1786</v>
      </c>
    </row>
    <row r="6811" spans="1:15" ht="19.5" thickBot="1" x14ac:dyDescent="0.3">
      <c r="A6811" s="91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9"/>
      <c r="L6811" s="808" t="s">
        <v>28</v>
      </c>
      <c r="M6811" s="856">
        <v>5715</v>
      </c>
      <c r="N6811" s="778">
        <v>0.625</v>
      </c>
      <c r="O6811" s="978" t="s">
        <v>1787</v>
      </c>
    </row>
    <row r="6812" spans="1:15" x14ac:dyDescent="0.25">
      <c r="A6812" s="903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1"/>
      <c r="L6812" s="535" t="s">
        <v>265</v>
      </c>
      <c r="M6812" s="535">
        <v>13866.84</v>
      </c>
      <c r="N6812" s="539">
        <v>0.375</v>
      </c>
      <c r="O6812" s="867" t="s">
        <v>1797</v>
      </c>
    </row>
    <row r="6813" spans="1:15" x14ac:dyDescent="0.25">
      <c r="A6813" s="91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3"/>
      <c r="L6813" s="567" t="s">
        <v>265</v>
      </c>
      <c r="M6813" s="567">
        <v>2539.8399999999997</v>
      </c>
      <c r="N6813" s="571">
        <v>0.375</v>
      </c>
      <c r="O6813" s="867" t="s">
        <v>1798</v>
      </c>
    </row>
    <row r="6814" spans="1:15" x14ac:dyDescent="0.25">
      <c r="A6814" s="91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849"/>
      <c r="L6814" s="819" t="s">
        <v>265</v>
      </c>
      <c r="M6814" s="819">
        <v>1265.2599999999995</v>
      </c>
      <c r="N6814" s="811">
        <v>0.375</v>
      </c>
      <c r="O6814" s="867" t="s">
        <v>1799</v>
      </c>
    </row>
    <row r="6815" spans="1:15" ht="19.5" thickBot="1" x14ac:dyDescent="0.3">
      <c r="A6815" s="90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877"/>
      <c r="L6815" s="788" t="s">
        <v>265</v>
      </c>
      <c r="M6815" s="788">
        <v>1815</v>
      </c>
      <c r="N6815" s="784">
        <v>0.375</v>
      </c>
      <c r="O6815" s="867" t="s">
        <v>1800</v>
      </c>
    </row>
    <row r="6816" spans="1:15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4"/>
      <c r="L6816" s="518" t="s">
        <v>28</v>
      </c>
      <c r="M6816" s="518">
        <v>11131.199999999999</v>
      </c>
      <c r="N6816" s="522">
        <v>0.41666666666666669</v>
      </c>
      <c r="O6816" s="867" t="s">
        <v>1805</v>
      </c>
    </row>
    <row r="6817" spans="1:15" x14ac:dyDescent="0.25">
      <c r="A6817" s="903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5" x14ac:dyDescent="0.25">
      <c r="A6818" s="912"/>
      <c r="B6818" s="849" t="s">
        <v>1759</v>
      </c>
      <c r="C6818" s="820" t="s">
        <v>32</v>
      </c>
      <c r="D6818" s="821">
        <v>1.7490000000000001</v>
      </c>
      <c r="E6818" s="822"/>
      <c r="F6818" s="819" t="s">
        <v>16</v>
      </c>
      <c r="G6818" s="823" t="s">
        <v>1702</v>
      </c>
      <c r="H6818" s="819" t="s">
        <v>1774</v>
      </c>
      <c r="I6818" s="782"/>
      <c r="J6818" s="825"/>
      <c r="K6818" s="849"/>
      <c r="L6818" s="819" t="s">
        <v>266</v>
      </c>
      <c r="M6818" s="819">
        <v>1752.3000000000002</v>
      </c>
      <c r="N6818" s="811">
        <v>0.41666666666666669</v>
      </c>
    </row>
    <row r="6819" spans="1:15" x14ac:dyDescent="0.25">
      <c r="A6819" s="912"/>
      <c r="B6819" s="848" t="s">
        <v>1774</v>
      </c>
      <c r="C6819" s="799" t="s">
        <v>41</v>
      </c>
      <c r="D6819" s="800">
        <v>1.98</v>
      </c>
      <c r="E6819" s="800"/>
      <c r="F6819" s="801" t="s">
        <v>16</v>
      </c>
      <c r="G6819" s="802" t="s">
        <v>76</v>
      </c>
      <c r="H6819" s="816" t="s">
        <v>1783</v>
      </c>
      <c r="I6819" s="801"/>
      <c r="J6819" s="803"/>
      <c r="K6819" s="848"/>
      <c r="L6819" s="816" t="s">
        <v>266</v>
      </c>
      <c r="M6819" s="801">
        <v>1981.2</v>
      </c>
      <c r="N6819" s="811">
        <v>0.41666666666666669</v>
      </c>
    </row>
    <row r="6820" spans="1:15" x14ac:dyDescent="0.25">
      <c r="A6820" s="91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/>
      <c r="J6820" s="803"/>
      <c r="K6820" s="848"/>
      <c r="L6820" s="816" t="s">
        <v>266</v>
      </c>
      <c r="M6820" s="801">
        <v>6325.8</v>
      </c>
      <c r="N6820" s="811">
        <v>0.41666666666666669</v>
      </c>
      <c r="O6820" s="867" t="s">
        <v>1810</v>
      </c>
    </row>
    <row r="6821" spans="1:15" ht="19.5" thickBot="1" x14ac:dyDescent="0.3">
      <c r="A6821" s="90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69"/>
      <c r="L6821" s="873" t="s">
        <v>266</v>
      </c>
      <c r="M6821" s="873">
        <v>5701.8</v>
      </c>
      <c r="N6821" s="784">
        <v>0.41666666666666669</v>
      </c>
      <c r="O6821" s="867" t="s">
        <v>1024</v>
      </c>
    </row>
    <row r="6822" spans="1:15" x14ac:dyDescent="0.25">
      <c r="A6822" s="90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79"/>
      <c r="L6822" s="483" t="s">
        <v>28</v>
      </c>
      <c r="M6822" s="483">
        <v>5401.7999999999993</v>
      </c>
      <c r="N6822" s="486">
        <v>0.5</v>
      </c>
      <c r="O6822" s="867" t="s">
        <v>1812</v>
      </c>
    </row>
    <row r="6823" spans="1:15" x14ac:dyDescent="0.25">
      <c r="A6823" s="91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91"/>
      <c r="L6823" s="763" t="s">
        <v>28</v>
      </c>
      <c r="M6823" s="763">
        <v>2720.36</v>
      </c>
      <c r="N6823" s="770">
        <v>0.5</v>
      </c>
      <c r="O6823" s="867" t="s">
        <v>1813</v>
      </c>
    </row>
    <row r="6824" spans="1:15" x14ac:dyDescent="0.25">
      <c r="A6824" s="91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91"/>
      <c r="L6824" s="763" t="s">
        <v>28</v>
      </c>
      <c r="M6824" s="763">
        <v>5454.6</v>
      </c>
      <c r="N6824" s="770">
        <v>0.54166666666666663</v>
      </c>
      <c r="O6824" s="867" t="s">
        <v>1814</v>
      </c>
    </row>
    <row r="6825" spans="1:15" x14ac:dyDescent="0.25">
      <c r="A6825" s="91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78"/>
      <c r="L6825" s="882" t="s">
        <v>28</v>
      </c>
      <c r="M6825" s="882">
        <v>4295.45</v>
      </c>
      <c r="N6825" s="846">
        <v>0.54166666666666663</v>
      </c>
      <c r="O6825" s="867" t="s">
        <v>1815</v>
      </c>
    </row>
    <row r="6826" spans="1:15" x14ac:dyDescent="0.25">
      <c r="A6826" s="91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86"/>
      <c r="L6826" s="844" t="s">
        <v>28</v>
      </c>
      <c r="M6826" s="844">
        <v>1377.6</v>
      </c>
      <c r="N6826" s="846">
        <v>0.54166666666666663</v>
      </c>
      <c r="O6826" s="867" t="s">
        <v>1818</v>
      </c>
    </row>
    <row r="6827" spans="1:15" x14ac:dyDescent="0.25">
      <c r="A6827" s="91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86"/>
      <c r="L6827" s="844" t="s">
        <v>28</v>
      </c>
      <c r="M6827" s="844">
        <v>2010</v>
      </c>
      <c r="N6827" s="846">
        <v>0.54166666666666663</v>
      </c>
      <c r="O6827" s="867" t="s">
        <v>1817</v>
      </c>
    </row>
    <row r="6828" spans="1:15" ht="19.5" thickBot="1" x14ac:dyDescent="0.3">
      <c r="A6828" s="91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86"/>
      <c r="L6828" s="844" t="s">
        <v>28</v>
      </c>
      <c r="M6828" s="844">
        <v>2160</v>
      </c>
      <c r="N6828" s="846">
        <v>0.54166666666666663</v>
      </c>
      <c r="O6828" s="867" t="s">
        <v>1816</v>
      </c>
    </row>
    <row r="6829" spans="1:15" ht="37.5" x14ac:dyDescent="0.25">
      <c r="A6829" s="90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1"/>
      <c r="L6829" s="535" t="s">
        <v>28</v>
      </c>
      <c r="M6829" s="535">
        <v>15500.699999999999</v>
      </c>
      <c r="N6829" s="539">
        <v>0.58333333333333337</v>
      </c>
      <c r="O6829" s="867" t="s">
        <v>1828</v>
      </c>
    </row>
    <row r="6830" spans="1:15" x14ac:dyDescent="0.25">
      <c r="A6830" s="92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49"/>
      <c r="L6830" s="819" t="s">
        <v>28</v>
      </c>
      <c r="M6830" s="819">
        <v>12426.6</v>
      </c>
      <c r="N6830" s="811">
        <v>0.45833333333333331</v>
      </c>
      <c r="O6830" s="867" t="s">
        <v>1829</v>
      </c>
    </row>
    <row r="6831" spans="1:15" ht="37.5" x14ac:dyDescent="0.25">
      <c r="A6831" s="92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5"/>
      <c r="L6831" s="892" t="s">
        <v>28</v>
      </c>
      <c r="M6831" s="892">
        <v>2371.2200000000003</v>
      </c>
      <c r="N6831" s="804">
        <v>0.58333333333333337</v>
      </c>
      <c r="O6831" s="867" t="s">
        <v>1826</v>
      </c>
    </row>
    <row r="6832" spans="1:15" ht="19.5" thickBot="1" x14ac:dyDescent="0.3">
      <c r="A6832" s="90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877"/>
      <c r="L6832" s="788" t="s">
        <v>28</v>
      </c>
      <c r="M6832" s="788">
        <v>2520</v>
      </c>
      <c r="N6832" s="784">
        <v>0.58333333333333337</v>
      </c>
      <c r="O6832" s="867" t="s">
        <v>1827</v>
      </c>
    </row>
    <row r="6833" spans="1:15" x14ac:dyDescent="0.25">
      <c r="A6833" s="90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79"/>
      <c r="L6833" s="483" t="s">
        <v>265</v>
      </c>
      <c r="M6833" s="483">
        <v>17441.560000000001</v>
      </c>
      <c r="N6833" s="486">
        <v>0.375</v>
      </c>
      <c r="O6833" s="867" t="s">
        <v>1823</v>
      </c>
    </row>
    <row r="6834" spans="1:15" x14ac:dyDescent="0.25">
      <c r="A6834" s="91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86"/>
      <c r="L6834" s="844" t="s">
        <v>265</v>
      </c>
      <c r="M6834" s="844">
        <v>1470</v>
      </c>
      <c r="N6834" s="846">
        <v>0.375</v>
      </c>
      <c r="O6834" s="867" t="s">
        <v>1824</v>
      </c>
    </row>
    <row r="6835" spans="1:15" ht="19.5" thickBot="1" x14ac:dyDescent="0.3">
      <c r="A6835" s="91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86"/>
      <c r="L6835" s="844" t="s">
        <v>265</v>
      </c>
      <c r="M6835" s="844">
        <v>510</v>
      </c>
      <c r="N6835" s="846">
        <v>0.375</v>
      </c>
      <c r="O6835" s="867" t="s">
        <v>1825</v>
      </c>
    </row>
    <row r="6836" spans="1:15" x14ac:dyDescent="0.25">
      <c r="A6836" s="90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1"/>
      <c r="L6836" s="535" t="s">
        <v>28</v>
      </c>
      <c r="M6836" s="535">
        <v>17649.77</v>
      </c>
      <c r="N6836" s="539">
        <v>0.625</v>
      </c>
      <c r="O6836" s="867" t="s">
        <v>1820</v>
      </c>
    </row>
    <row r="6837" spans="1:15" x14ac:dyDescent="0.25">
      <c r="A6837" s="92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49"/>
      <c r="L6837" s="819" t="s">
        <v>28</v>
      </c>
      <c r="M6837" s="819">
        <v>1472.01</v>
      </c>
      <c r="N6837" s="811">
        <v>0.45833333333333331</v>
      </c>
      <c r="O6837" s="867" t="s">
        <v>1819</v>
      </c>
    </row>
    <row r="6838" spans="1:15" ht="19.5" thickBot="1" x14ac:dyDescent="0.3">
      <c r="A6838" s="90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877"/>
      <c r="L6838" s="788" t="s">
        <v>28</v>
      </c>
      <c r="M6838" s="788">
        <v>1830</v>
      </c>
      <c r="N6838" s="784">
        <v>0.625</v>
      </c>
      <c r="O6838" s="867" t="s">
        <v>1834</v>
      </c>
    </row>
    <row r="6839" spans="1:15" ht="19.5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5"/>
      <c r="L6839" s="499" t="s">
        <v>265</v>
      </c>
      <c r="M6839" s="499">
        <v>15280.68</v>
      </c>
      <c r="N6839" s="502">
        <v>0.375</v>
      </c>
      <c r="O6839" s="867" t="s">
        <v>1811</v>
      </c>
    </row>
    <row r="6840" spans="1:15" x14ac:dyDescent="0.25">
      <c r="A6840" s="90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1"/>
      <c r="L6840" s="535" t="s">
        <v>265</v>
      </c>
      <c r="M6840" s="535">
        <v>15820.990000000002</v>
      </c>
      <c r="N6840" s="539">
        <v>0.375</v>
      </c>
      <c r="O6840" s="867" t="s">
        <v>1833</v>
      </c>
    </row>
    <row r="6841" spans="1:15" x14ac:dyDescent="0.25">
      <c r="A6841" s="92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49"/>
      <c r="L6841" s="819" t="s">
        <v>265</v>
      </c>
      <c r="M6841" s="819">
        <v>1743.48</v>
      </c>
      <c r="N6841" s="811">
        <v>0.375</v>
      </c>
      <c r="O6841" s="867" t="s">
        <v>1832</v>
      </c>
    </row>
    <row r="6842" spans="1:15" x14ac:dyDescent="0.25">
      <c r="A6842" s="92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48"/>
      <c r="L6842" s="801" t="s">
        <v>265</v>
      </c>
      <c r="M6842" s="801">
        <v>1110</v>
      </c>
      <c r="N6842" s="804">
        <v>0.375</v>
      </c>
      <c r="O6842" s="867" t="s">
        <v>1830</v>
      </c>
    </row>
    <row r="6843" spans="1:15" ht="19.5" thickBot="1" x14ac:dyDescent="0.3">
      <c r="A6843" s="92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877"/>
      <c r="L6843" s="788" t="s">
        <v>265</v>
      </c>
      <c r="M6843" s="788">
        <v>4905</v>
      </c>
      <c r="N6843" s="784">
        <v>0.375</v>
      </c>
      <c r="O6843" s="867" t="s">
        <v>1831</v>
      </c>
    </row>
    <row r="6844" spans="1:15" x14ac:dyDescent="0.25">
      <c r="A6844" s="90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3"/>
      <c r="L6844" s="527" t="s">
        <v>28</v>
      </c>
      <c r="M6844" s="527">
        <v>9497.5999999999985</v>
      </c>
      <c r="N6844" s="530">
        <v>0.41666666666666669</v>
      </c>
      <c r="O6844" s="867" t="s">
        <v>1806</v>
      </c>
    </row>
    <row r="6845" spans="1:15" x14ac:dyDescent="0.25">
      <c r="A6845" s="91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91"/>
      <c r="L6845" s="763" t="s">
        <v>28</v>
      </c>
      <c r="M6845" s="763">
        <v>8634.7800000000007</v>
      </c>
      <c r="N6845" s="770">
        <v>0.41666666666666669</v>
      </c>
      <c r="O6845" s="867" t="s">
        <v>1804</v>
      </c>
    </row>
    <row r="6846" spans="1:15" ht="19.5" thickBot="1" x14ac:dyDescent="0.3">
      <c r="A6846" s="91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86"/>
      <c r="L6846" s="844" t="s">
        <v>28</v>
      </c>
      <c r="M6846" s="844">
        <v>1170</v>
      </c>
      <c r="N6846" s="846">
        <v>0.41666666666666669</v>
      </c>
      <c r="O6846" s="867" t="s">
        <v>1807</v>
      </c>
    </row>
    <row r="6847" spans="1:15" x14ac:dyDescent="0.25">
      <c r="A6847" s="92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/>
      <c r="J6847" s="538"/>
      <c r="K6847" s="531"/>
      <c r="L6847" s="535" t="s">
        <v>266</v>
      </c>
      <c r="M6847" s="535">
        <v>13800.840000000002</v>
      </c>
      <c r="N6847" s="539">
        <v>0.45833333333333331</v>
      </c>
      <c r="O6847" s="867" t="s">
        <v>1808</v>
      </c>
    </row>
    <row r="6848" spans="1:15" x14ac:dyDescent="0.25">
      <c r="A6848" s="92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/>
      <c r="J6848" s="825"/>
      <c r="K6848" s="849"/>
      <c r="L6848" s="819" t="s">
        <v>266</v>
      </c>
      <c r="M6848" s="819">
        <v>2417.71</v>
      </c>
      <c r="N6848" s="811">
        <v>0.45833333333333331</v>
      </c>
      <c r="O6848" s="867" t="s">
        <v>1809</v>
      </c>
    </row>
    <row r="6849" spans="1:17" x14ac:dyDescent="0.25">
      <c r="A6849" s="924"/>
      <c r="B6849" s="824" t="s">
        <v>1769</v>
      </c>
      <c r="C6849" s="820" t="s">
        <v>23</v>
      </c>
      <c r="D6849" s="821">
        <v>1.6</v>
      </c>
      <c r="E6849" s="822"/>
      <c r="F6849" s="819" t="s">
        <v>16</v>
      </c>
      <c r="G6849" s="823"/>
      <c r="H6849" s="819" t="s">
        <v>1783</v>
      </c>
      <c r="I6849" s="782"/>
      <c r="J6849" s="825"/>
      <c r="K6849" s="849"/>
      <c r="L6849" s="819" t="s">
        <v>28</v>
      </c>
      <c r="M6849" s="819">
        <v>1612.56</v>
      </c>
      <c r="N6849" s="811">
        <v>0.45833333333333331</v>
      </c>
      <c r="O6849" s="867">
        <v>6283298</v>
      </c>
      <c r="P6849" s="897">
        <f>VLOOKUP(O6849,[1]Лист1!$A:$D,4,0)</f>
        <v>1612.56</v>
      </c>
    </row>
    <row r="6850" spans="1:17" x14ac:dyDescent="0.25">
      <c r="A6850" s="924"/>
      <c r="B6850" s="798" t="s">
        <v>1473</v>
      </c>
      <c r="C6850" s="799" t="s">
        <v>23</v>
      </c>
      <c r="D6850" s="800">
        <v>3.5</v>
      </c>
      <c r="E6850" s="800"/>
      <c r="F6850" s="801" t="s">
        <v>16</v>
      </c>
      <c r="G6850" s="802"/>
      <c r="H6850" s="801" t="s">
        <v>1783</v>
      </c>
      <c r="I6850" s="801"/>
      <c r="J6850" s="803"/>
      <c r="K6850" s="848"/>
      <c r="L6850" s="801" t="s">
        <v>28</v>
      </c>
      <c r="M6850" s="801">
        <v>3510</v>
      </c>
      <c r="N6850" s="804">
        <v>0.45833333333333331</v>
      </c>
      <c r="O6850" s="867">
        <v>6284896</v>
      </c>
      <c r="P6850" s="897">
        <f>VLOOKUP(O6850,[1]Лист1!$A:$D,4,0)</f>
        <v>3510</v>
      </c>
    </row>
    <row r="6851" spans="1:17" ht="19.5" thickBot="1" x14ac:dyDescent="0.3">
      <c r="A6851" s="906"/>
      <c r="B6851" s="798" t="s">
        <v>1770</v>
      </c>
      <c r="C6851" s="799" t="s">
        <v>23</v>
      </c>
      <c r="D6851" s="800">
        <v>4.0999999999999996</v>
      </c>
      <c r="E6851" s="800"/>
      <c r="F6851" s="801" t="s">
        <v>16</v>
      </c>
      <c r="G6851" s="802" t="s">
        <v>76</v>
      </c>
      <c r="H6851" s="801" t="s">
        <v>1783</v>
      </c>
      <c r="I6851" s="801"/>
      <c r="J6851" s="803"/>
      <c r="K6851" s="848"/>
      <c r="L6851" s="801" t="s">
        <v>28</v>
      </c>
      <c r="M6851" s="801">
        <v>4110</v>
      </c>
      <c r="N6851" s="804">
        <v>0.45833333333333331</v>
      </c>
      <c r="O6851" s="867">
        <v>6284749</v>
      </c>
      <c r="P6851" s="898">
        <f>VLOOKUP(O6851,[1]Лист1!$A:$D,4,0)</f>
        <v>4110</v>
      </c>
    </row>
    <row r="6852" spans="1:17" x14ac:dyDescent="0.25">
      <c r="A6852" s="907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79"/>
      <c r="L6852" s="483" t="s">
        <v>28</v>
      </c>
      <c r="M6852" s="483">
        <v>17606.16</v>
      </c>
      <c r="N6852" s="486">
        <v>0.5</v>
      </c>
      <c r="O6852" s="833" t="s">
        <v>1821</v>
      </c>
      <c r="P6852" s="833">
        <f>E6852*1000</f>
        <v>15649</v>
      </c>
    </row>
    <row r="6853" spans="1:17" ht="19.5" thickBot="1" x14ac:dyDescent="0.3">
      <c r="A6853" s="908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86"/>
      <c r="L6853" s="844" t="s">
        <v>28</v>
      </c>
      <c r="M6853" s="844">
        <v>1545</v>
      </c>
      <c r="N6853" s="846">
        <v>0.5</v>
      </c>
      <c r="O6853" s="833" t="s">
        <v>1822</v>
      </c>
      <c r="P6853" s="833">
        <f>E6853*1000</f>
        <v>1553</v>
      </c>
    </row>
    <row r="6854" spans="1:17" x14ac:dyDescent="0.25">
      <c r="A6854" s="90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/>
      <c r="F6854" s="535" t="s">
        <v>16</v>
      </c>
      <c r="G6854" s="536"/>
      <c r="H6854" s="535" t="s">
        <v>1795</v>
      </c>
      <c r="I6854" s="537"/>
      <c r="J6854" s="538"/>
      <c r="K6854" s="531"/>
      <c r="L6854" s="535" t="s">
        <v>265</v>
      </c>
      <c r="M6854" s="535">
        <v>17561.68</v>
      </c>
      <c r="N6854" s="539">
        <v>0.375</v>
      </c>
    </row>
    <row r="6855" spans="1:17" ht="19.5" thickBot="1" x14ac:dyDescent="0.3">
      <c r="A6855" s="906"/>
      <c r="B6855" s="798" t="s">
        <v>1783</v>
      </c>
      <c r="C6855" s="799" t="s">
        <v>26</v>
      </c>
      <c r="D6855" s="800">
        <v>5.3</v>
      </c>
      <c r="E6855" s="800"/>
      <c r="F6855" s="801" t="s">
        <v>16</v>
      </c>
      <c r="G6855" s="802"/>
      <c r="H6855" s="801" t="s">
        <v>1795</v>
      </c>
      <c r="I6855" s="801"/>
      <c r="J6855" s="803"/>
      <c r="K6855" s="848"/>
      <c r="L6855" s="801" t="s">
        <v>265</v>
      </c>
      <c r="M6855" s="801">
        <v>5335.8</v>
      </c>
      <c r="N6855" s="804">
        <v>0.375</v>
      </c>
    </row>
    <row r="6856" spans="1:17" x14ac:dyDescent="0.25">
      <c r="A6856" s="907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79"/>
      <c r="L6856" s="483" t="s">
        <v>265</v>
      </c>
      <c r="M6856" s="483">
        <v>13866.14</v>
      </c>
      <c r="N6856" s="486">
        <v>0.41666666666666669</v>
      </c>
      <c r="O6856" s="867" t="s">
        <v>1837</v>
      </c>
      <c r="P6856" s="847" t="s">
        <v>1838</v>
      </c>
    </row>
    <row r="6857" spans="1:17" x14ac:dyDescent="0.25">
      <c r="A6857" s="91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91"/>
      <c r="L6857" s="763" t="s">
        <v>265</v>
      </c>
      <c r="M6857" s="763">
        <v>1966.3799999999997</v>
      </c>
      <c r="N6857" s="770">
        <v>0.41666666666666669</v>
      </c>
      <c r="O6857" s="867" t="s">
        <v>1839</v>
      </c>
    </row>
    <row r="6858" spans="1:17" x14ac:dyDescent="0.25">
      <c r="A6858" s="91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91"/>
      <c r="L6858" s="763" t="s">
        <v>265</v>
      </c>
      <c r="M6858" s="763">
        <v>1759.38</v>
      </c>
      <c r="N6858" s="770">
        <v>0.41666666666666669</v>
      </c>
      <c r="O6858" s="867" t="s">
        <v>1840</v>
      </c>
    </row>
    <row r="6859" spans="1:17" ht="19.5" thickBot="1" x14ac:dyDescent="0.3">
      <c r="A6859" s="908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87"/>
      <c r="L6859" s="808" t="s">
        <v>265</v>
      </c>
      <c r="M6859" s="808">
        <v>5935.8</v>
      </c>
      <c r="N6859" s="778">
        <v>0.41666666666666669</v>
      </c>
      <c r="O6859" s="867" t="s">
        <v>1841</v>
      </c>
    </row>
    <row r="6860" spans="1:17" ht="19.5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0"/>
      <c r="L6860" s="594" t="s">
        <v>265</v>
      </c>
      <c r="M6860" s="594">
        <v>14860.759999999997</v>
      </c>
      <c r="N6860" s="598">
        <v>0.375</v>
      </c>
      <c r="O6860" s="867" t="s">
        <v>1843</v>
      </c>
    </row>
    <row r="6861" spans="1:17" x14ac:dyDescent="0.25">
      <c r="A6861" s="907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/>
      <c r="F6861" s="483" t="s">
        <v>16</v>
      </c>
      <c r="G6861" s="927" t="s">
        <v>1633</v>
      </c>
      <c r="H6861" s="483" t="s">
        <v>1795</v>
      </c>
      <c r="I6861" s="484"/>
      <c r="J6861" s="485"/>
      <c r="K6861" s="479"/>
      <c r="L6861" s="483" t="s">
        <v>28</v>
      </c>
      <c r="M6861" s="483">
        <v>5256.92</v>
      </c>
      <c r="N6861" s="486">
        <v>0.45833333333333331</v>
      </c>
      <c r="O6861" s="867">
        <v>6284442</v>
      </c>
      <c r="P6861" s="899">
        <f>VLOOKUP(O6861,[1]Лист1!$A:$D,4,0)</f>
        <v>3740.54</v>
      </c>
      <c r="Q6861" s="896"/>
    </row>
    <row r="6862" spans="1:17" x14ac:dyDescent="0.25">
      <c r="A6862" s="918"/>
      <c r="B6862" s="769" t="s">
        <v>1774</v>
      </c>
      <c r="C6862" s="764" t="s">
        <v>24</v>
      </c>
      <c r="D6862" s="765">
        <v>11.551</v>
      </c>
      <c r="E6862" s="766"/>
      <c r="F6862" s="763" t="s">
        <v>16</v>
      </c>
      <c r="G6862" s="928"/>
      <c r="H6862" s="763" t="s">
        <v>1795</v>
      </c>
      <c r="I6862" s="768"/>
      <c r="J6862" s="779"/>
      <c r="K6862" s="791"/>
      <c r="L6862" s="763" t="s">
        <v>28</v>
      </c>
      <c r="M6862" s="763">
        <v>11740.74</v>
      </c>
      <c r="N6862" s="770">
        <v>0.45833333333333331</v>
      </c>
      <c r="O6862" s="867">
        <v>6284634</v>
      </c>
      <c r="P6862" s="899">
        <f>VLOOKUP(O6862,[1]Лист1!$A:$D,4,0)</f>
        <v>9617.7000000000007</v>
      </c>
      <c r="Q6862" s="896"/>
    </row>
    <row r="6863" spans="1:17" ht="19.5" thickBot="1" x14ac:dyDescent="0.3">
      <c r="A6863" s="908"/>
      <c r="B6863" s="805" t="s">
        <v>1795</v>
      </c>
      <c r="C6863" s="806" t="s">
        <v>24</v>
      </c>
      <c r="D6863" s="807">
        <v>3.6</v>
      </c>
      <c r="E6863" s="807"/>
      <c r="F6863" s="808" t="s">
        <v>16</v>
      </c>
      <c r="G6863" s="929"/>
      <c r="H6863" s="808" t="s">
        <v>1795</v>
      </c>
      <c r="I6863" s="808"/>
      <c r="J6863" s="810"/>
      <c r="K6863" s="887"/>
      <c r="L6863" s="808" t="s">
        <v>28</v>
      </c>
      <c r="M6863" s="808">
        <v>3615</v>
      </c>
      <c r="N6863" s="778">
        <v>0.45833333333333331</v>
      </c>
      <c r="O6863" s="867" t="s">
        <v>1801</v>
      </c>
      <c r="Q6863" s="896"/>
    </row>
    <row r="6864" spans="1:17" x14ac:dyDescent="0.25">
      <c r="A6864" s="903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/>
      <c r="F6864" s="567" t="s">
        <v>16</v>
      </c>
      <c r="G6864" s="568"/>
      <c r="H6864" s="567" t="s">
        <v>1795</v>
      </c>
      <c r="I6864" s="569"/>
      <c r="J6864" s="570"/>
      <c r="K6864" s="563"/>
      <c r="L6864" s="567" t="s">
        <v>28</v>
      </c>
      <c r="M6864" s="567">
        <v>12834.22</v>
      </c>
      <c r="N6864" s="571">
        <v>0.5</v>
      </c>
      <c r="O6864" s="867">
        <v>6284451</v>
      </c>
      <c r="P6864" s="897">
        <f>VLOOKUP(O6864,[1]Лист1!$A:$D,4,0)</f>
        <v>10246</v>
      </c>
      <c r="Q6864" s="896"/>
    </row>
    <row r="6865" spans="1:17" ht="19.5" thickBot="1" x14ac:dyDescent="0.3">
      <c r="A6865" s="904"/>
      <c r="B6865" s="636" t="s">
        <v>1774</v>
      </c>
      <c r="C6865" s="637" t="s">
        <v>480</v>
      </c>
      <c r="D6865" s="638">
        <v>4.7300000000000004</v>
      </c>
      <c r="E6865" s="639"/>
      <c r="F6865" s="640" t="s">
        <v>16</v>
      </c>
      <c r="G6865" s="641"/>
      <c r="H6865" s="640" t="s">
        <v>1795</v>
      </c>
      <c r="I6865" s="642"/>
      <c r="J6865" s="643"/>
      <c r="K6865" s="636"/>
      <c r="L6865" s="640" t="s">
        <v>266</v>
      </c>
      <c r="M6865" s="640">
        <v>4831</v>
      </c>
      <c r="N6865" s="644">
        <v>0.5</v>
      </c>
      <c r="P6865" s="897">
        <v>2866</v>
      </c>
    </row>
    <row r="6866" spans="1:17" x14ac:dyDescent="0.25">
      <c r="A6866" s="90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/>
      <c r="F6866" s="483" t="s">
        <v>30</v>
      </c>
      <c r="G6866" s="549" t="s">
        <v>23</v>
      </c>
      <c r="H6866" s="483" t="s">
        <v>1795</v>
      </c>
      <c r="I6866" s="484"/>
      <c r="J6866" s="485"/>
      <c r="K6866" s="479"/>
      <c r="L6866" s="483" t="s">
        <v>28</v>
      </c>
      <c r="M6866" s="483">
        <v>7129.7199999999993</v>
      </c>
      <c r="N6866" s="486">
        <v>0.41666666666666669</v>
      </c>
    </row>
    <row r="6867" spans="1:17" ht="19.5" thickBot="1" x14ac:dyDescent="0.3">
      <c r="A6867" s="911"/>
      <c r="B6867" s="645" t="s">
        <v>1774</v>
      </c>
      <c r="C6867" s="646" t="s">
        <v>23</v>
      </c>
      <c r="D6867" s="647">
        <v>6.4139999999999997</v>
      </c>
      <c r="E6867" s="648"/>
      <c r="F6867" s="649" t="s">
        <v>30</v>
      </c>
      <c r="G6867" s="650"/>
      <c r="H6867" s="649" t="s">
        <v>1795</v>
      </c>
      <c r="I6867" s="651"/>
      <c r="J6867" s="652"/>
      <c r="K6867" s="645"/>
      <c r="L6867" s="649" t="s">
        <v>28</v>
      </c>
      <c r="M6867" s="649">
        <v>6414</v>
      </c>
      <c r="N6867" s="653">
        <v>0.41666666666666669</v>
      </c>
    </row>
    <row r="6868" spans="1:17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O6868" s="867" t="s">
        <v>1844</v>
      </c>
    </row>
    <row r="6869" spans="1:17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O6869" s="867" t="s">
        <v>1842</v>
      </c>
    </row>
    <row r="6870" spans="1:17" x14ac:dyDescent="0.25">
      <c r="A6870" s="90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/>
      <c r="F6870" s="535" t="s">
        <v>16</v>
      </c>
      <c r="G6870" s="536"/>
      <c r="H6870" s="535" t="s">
        <v>1796</v>
      </c>
      <c r="I6870" s="537"/>
      <c r="J6870" s="538"/>
      <c r="K6870" s="531"/>
      <c r="L6870" s="535" t="s">
        <v>265</v>
      </c>
      <c r="M6870" s="535">
        <v>17583.84</v>
      </c>
      <c r="N6870" s="539">
        <v>0.375</v>
      </c>
    </row>
    <row r="6871" spans="1:17" ht="19.5" thickBot="1" x14ac:dyDescent="0.3">
      <c r="A6871" s="906"/>
      <c r="B6871" s="798" t="s">
        <v>1795</v>
      </c>
      <c r="C6871" s="799" t="s">
        <v>26</v>
      </c>
      <c r="D6871" s="800">
        <v>2.7</v>
      </c>
      <c r="E6871" s="800"/>
      <c r="F6871" s="801" t="s">
        <v>16</v>
      </c>
      <c r="G6871" s="802" t="s">
        <v>76</v>
      </c>
      <c r="H6871" s="801" t="s">
        <v>1796</v>
      </c>
      <c r="I6871" s="801"/>
      <c r="J6871" s="803"/>
      <c r="K6871" s="848"/>
      <c r="L6871" s="801" t="s">
        <v>265</v>
      </c>
      <c r="M6871" s="801">
        <v>2715</v>
      </c>
      <c r="N6871" s="804">
        <v>0.375</v>
      </c>
      <c r="O6871" s="867" t="s">
        <v>1801</v>
      </c>
    </row>
    <row r="6872" spans="1:17" x14ac:dyDescent="0.25">
      <c r="A6872" s="907">
        <f>MAX(A6815:A6871)+1</f>
        <v>4284</v>
      </c>
      <c r="B6872" s="610" t="s">
        <v>1774</v>
      </c>
      <c r="C6872" s="480" t="s">
        <v>26</v>
      </c>
      <c r="D6872" s="481">
        <v>17.475000000000001</v>
      </c>
      <c r="E6872" s="482"/>
      <c r="F6872" s="483" t="s">
        <v>16</v>
      </c>
      <c r="G6872" s="549"/>
      <c r="H6872" s="483" t="s">
        <v>1796</v>
      </c>
      <c r="I6872" s="484"/>
      <c r="J6872" s="485"/>
      <c r="K6872" s="479"/>
      <c r="L6872" s="483" t="s">
        <v>265</v>
      </c>
      <c r="M6872" s="483">
        <v>17665.38</v>
      </c>
      <c r="N6872" s="486">
        <v>0.41666666666666669</v>
      </c>
    </row>
    <row r="6873" spans="1:17" ht="19.5" thickBot="1" x14ac:dyDescent="0.3">
      <c r="A6873" s="908"/>
      <c r="B6873" s="805" t="s">
        <v>1795</v>
      </c>
      <c r="C6873" s="806" t="s">
        <v>26</v>
      </c>
      <c r="D6873" s="807">
        <v>3.1</v>
      </c>
      <c r="E6873" s="807"/>
      <c r="F6873" s="808" t="s">
        <v>16</v>
      </c>
      <c r="G6873" s="809" t="s">
        <v>76</v>
      </c>
      <c r="H6873" s="808" t="s">
        <v>1796</v>
      </c>
      <c r="I6873" s="808"/>
      <c r="J6873" s="810"/>
      <c r="K6873" s="887"/>
      <c r="L6873" s="808" t="s">
        <v>265</v>
      </c>
      <c r="M6873" s="808">
        <v>3105</v>
      </c>
      <c r="N6873" s="778">
        <v>0.41666666666666669</v>
      </c>
      <c r="O6873" s="867" t="s">
        <v>1801</v>
      </c>
    </row>
    <row r="6874" spans="1:17" x14ac:dyDescent="0.25">
      <c r="A6874" s="905">
        <f>MAX(A6816:A6873)+1</f>
        <v>4285</v>
      </c>
      <c r="B6874" s="760" t="s">
        <v>1774</v>
      </c>
      <c r="C6874" s="564" t="s">
        <v>23</v>
      </c>
      <c r="D6874" s="565">
        <v>16.715</v>
      </c>
      <c r="E6874" s="566"/>
      <c r="F6874" s="567" t="s">
        <v>16</v>
      </c>
      <c r="G6874" s="925" t="s">
        <v>1633</v>
      </c>
      <c r="H6874" s="567" t="s">
        <v>1796</v>
      </c>
      <c r="I6874" s="569"/>
      <c r="J6874" s="570"/>
      <c r="K6874" s="563"/>
      <c r="L6874" s="567" t="s">
        <v>28</v>
      </c>
      <c r="M6874" s="567">
        <v>16782.48</v>
      </c>
      <c r="N6874" s="571">
        <v>0.45833333333333331</v>
      </c>
      <c r="O6874" s="867">
        <v>6285226</v>
      </c>
      <c r="P6874" s="847">
        <v>15635</v>
      </c>
      <c r="Q6874" s="896"/>
    </row>
    <row r="6875" spans="1:17" ht="19.5" thickBot="1" x14ac:dyDescent="0.3">
      <c r="A6875" s="906"/>
      <c r="B6875" s="798" t="s">
        <v>1795</v>
      </c>
      <c r="C6875" s="799" t="s">
        <v>23</v>
      </c>
      <c r="D6875" s="800">
        <v>1</v>
      </c>
      <c r="E6875" s="800"/>
      <c r="F6875" s="801" t="s">
        <v>16</v>
      </c>
      <c r="G6875" s="925"/>
      <c r="H6875" s="801" t="s">
        <v>1796</v>
      </c>
      <c r="I6875" s="801"/>
      <c r="J6875" s="803"/>
      <c r="K6875" s="848"/>
      <c r="L6875" s="801" t="s">
        <v>28</v>
      </c>
      <c r="M6875" s="801">
        <v>1005</v>
      </c>
      <c r="N6875" s="804">
        <v>0.45833333333333331</v>
      </c>
      <c r="O6875" s="867" t="s">
        <v>1801</v>
      </c>
      <c r="Q6875" s="896"/>
    </row>
    <row r="6876" spans="1:17" x14ac:dyDescent="0.25">
      <c r="A6876" s="909">
        <f>MAX(A6817:A6875)+1</f>
        <v>4286</v>
      </c>
      <c r="B6876" s="610" t="s">
        <v>1774</v>
      </c>
      <c r="C6876" s="480" t="s">
        <v>47</v>
      </c>
      <c r="D6876" s="481">
        <v>16.702999999999999</v>
      </c>
      <c r="E6876" s="482"/>
      <c r="F6876" s="483" t="s">
        <v>16</v>
      </c>
      <c r="G6876" s="922" t="s">
        <v>1633</v>
      </c>
      <c r="H6876" s="483" t="s">
        <v>1796</v>
      </c>
      <c r="I6876" s="484"/>
      <c r="J6876" s="485"/>
      <c r="K6876" s="479"/>
      <c r="L6876" s="483" t="s">
        <v>28</v>
      </c>
      <c r="M6876" s="483">
        <v>16885.699999999997</v>
      </c>
      <c r="N6876" s="486">
        <v>0.5</v>
      </c>
      <c r="O6876" s="867">
        <v>6284611</v>
      </c>
      <c r="P6876" s="847">
        <f>VLOOKUP(O6876,[1]Лист1!$A:$D,4,0)</f>
        <v>14005.28</v>
      </c>
      <c r="Q6876" s="896"/>
    </row>
    <row r="6877" spans="1:17" ht="19.5" thickBot="1" x14ac:dyDescent="0.3">
      <c r="A6877" s="911"/>
      <c r="B6877" s="805" t="s">
        <v>1795</v>
      </c>
      <c r="C6877" s="806" t="s">
        <v>47</v>
      </c>
      <c r="D6877" s="807">
        <v>2.6</v>
      </c>
      <c r="E6877" s="807"/>
      <c r="F6877" s="808" t="s">
        <v>16</v>
      </c>
      <c r="G6877" s="923"/>
      <c r="H6877" s="808" t="s">
        <v>1796</v>
      </c>
      <c r="I6877" s="808"/>
      <c r="J6877" s="810"/>
      <c r="K6877" s="887"/>
      <c r="L6877" s="808" t="s">
        <v>28</v>
      </c>
      <c r="M6877" s="808">
        <v>2610</v>
      </c>
      <c r="N6877" s="778">
        <v>0.5</v>
      </c>
      <c r="O6877" s="867" t="s">
        <v>1801</v>
      </c>
      <c r="Q6877" s="896"/>
    </row>
    <row r="6878" spans="1:17" ht="19.5" thickBot="1" x14ac:dyDescent="0.3">
      <c r="A6878" s="503">
        <f>MAX(A6818:A6877)+1</f>
        <v>4287</v>
      </c>
      <c r="B6878" s="636" t="s">
        <v>1774</v>
      </c>
      <c r="C6878" s="637" t="s">
        <v>23</v>
      </c>
      <c r="D6878" s="638">
        <v>12.749000000000001</v>
      </c>
      <c r="E6878" s="639"/>
      <c r="F6878" s="640" t="s">
        <v>30</v>
      </c>
      <c r="G6878" s="641"/>
      <c r="H6878" s="640" t="s">
        <v>1796</v>
      </c>
      <c r="I6878" s="642"/>
      <c r="J6878" s="643"/>
      <c r="K6878" s="636"/>
      <c r="L6878" s="640" t="s">
        <v>28</v>
      </c>
      <c r="M6878" s="640">
        <v>12749.48</v>
      </c>
      <c r="N6878" s="644">
        <v>0.375</v>
      </c>
    </row>
    <row r="6879" spans="1:17" x14ac:dyDescent="0.25">
      <c r="A6879" s="909">
        <f>MAX(A6819:A6878)+1</f>
        <v>4288</v>
      </c>
      <c r="B6879" s="479" t="s">
        <v>1774</v>
      </c>
      <c r="C6879" s="480" t="s">
        <v>15</v>
      </c>
      <c r="D6879" s="481">
        <v>9.3079999999999998</v>
      </c>
      <c r="E6879" s="482"/>
      <c r="F6879" s="483" t="s">
        <v>30</v>
      </c>
      <c r="G6879" s="549"/>
      <c r="H6879" s="483" t="s">
        <v>1796</v>
      </c>
      <c r="I6879" s="484"/>
      <c r="J6879" s="485"/>
      <c r="K6879" s="479"/>
      <c r="L6879" s="483" t="s">
        <v>28</v>
      </c>
      <c r="M6879" s="483">
        <v>9308.8799999999992</v>
      </c>
      <c r="N6879" s="486">
        <v>0.41666666666666669</v>
      </c>
    </row>
    <row r="6880" spans="1:17" ht="19.5" thickBot="1" x14ac:dyDescent="0.3">
      <c r="A6880" s="911"/>
      <c r="B6880" s="645" t="s">
        <v>1774</v>
      </c>
      <c r="C6880" s="646" t="s">
        <v>24</v>
      </c>
      <c r="D6880" s="647">
        <v>5.5679999999999996</v>
      </c>
      <c r="E6880" s="648"/>
      <c r="F6880" s="649" t="s">
        <v>30</v>
      </c>
      <c r="G6880" s="650"/>
      <c r="H6880" s="649" t="s">
        <v>1796</v>
      </c>
      <c r="I6880" s="651"/>
      <c r="J6880" s="652"/>
      <c r="K6880" s="645"/>
      <c r="L6880" s="649" t="s">
        <v>28</v>
      </c>
      <c r="M6880" s="649">
        <v>5568.24</v>
      </c>
      <c r="N6880" s="653">
        <v>0.41666666666666669</v>
      </c>
    </row>
    <row r="6881" spans="1:14" ht="19.5" thickBot="1" x14ac:dyDescent="0.3">
      <c r="A6881" s="503">
        <f>MAX(A6821:A6880)+1</f>
        <v>4289</v>
      </c>
      <c r="B6881" s="504" t="s">
        <v>1795</v>
      </c>
      <c r="C6881" s="505" t="s">
        <v>32</v>
      </c>
      <c r="D6881" s="506">
        <v>17.8</v>
      </c>
      <c r="E6881" s="507"/>
      <c r="F6881" s="508" t="s">
        <v>16</v>
      </c>
      <c r="G6881" s="509"/>
      <c r="H6881" s="508" t="s">
        <v>1836</v>
      </c>
      <c r="I6881" s="510"/>
      <c r="J6881" s="511"/>
      <c r="K6881" s="504"/>
      <c r="L6881" s="508" t="s">
        <v>266</v>
      </c>
      <c r="M6881" s="508">
        <v>17807.399999999998</v>
      </c>
      <c r="N6881" s="512">
        <v>0.41666666666666669</v>
      </c>
    </row>
    <row r="6882" spans="1:14" x14ac:dyDescent="0.25">
      <c r="A6882" s="676">
        <f>MAX(A6822:A6881)+1</f>
        <v>4290</v>
      </c>
      <c r="B6882" s="676"/>
      <c r="C6882" s="473"/>
      <c r="D6882" s="474"/>
      <c r="E6882" s="475"/>
      <c r="F6882" s="676"/>
      <c r="G6882" s="476"/>
      <c r="H6882" s="676"/>
      <c r="I6882" s="477"/>
      <c r="J6882" s="478"/>
      <c r="K6882" s="676"/>
      <c r="L6882" s="676"/>
      <c r="M6882" s="676"/>
      <c r="N6882" s="676"/>
    </row>
    <row r="6883" spans="1:14" x14ac:dyDescent="0.25">
      <c r="A6883" s="676">
        <f>MAX(A6823:A6882)+1</f>
        <v>4291</v>
      </c>
      <c r="B6883" s="676"/>
      <c r="C6883" s="473"/>
      <c r="D6883" s="474"/>
      <c r="E6883" s="475"/>
      <c r="F6883" s="676"/>
      <c r="G6883" s="476"/>
      <c r="H6883" s="676"/>
      <c r="I6883" s="477"/>
      <c r="J6883" s="478"/>
      <c r="K6883" s="676"/>
      <c r="L6883" s="676"/>
      <c r="M6883" s="676"/>
      <c r="N6883" s="676"/>
    </row>
    <row r="6884" spans="1:14" x14ac:dyDescent="0.25">
      <c r="A6884" s="676">
        <f>MAX(A6824:A6883)+1</f>
        <v>4292</v>
      </c>
      <c r="B6884" s="676"/>
      <c r="C6884" s="473"/>
      <c r="D6884" s="474"/>
      <c r="E6884" s="475"/>
      <c r="F6884" s="676"/>
      <c r="G6884" s="476"/>
      <c r="H6884" s="676"/>
      <c r="I6884" s="477"/>
      <c r="J6884" s="478"/>
      <c r="K6884" s="676"/>
      <c r="L6884" s="676"/>
      <c r="M6884" s="676"/>
      <c r="N6884" s="676"/>
    </row>
    <row r="6885" spans="1:14" x14ac:dyDescent="0.25">
      <c r="A6885" s="676">
        <f>MAX(A6828:A6884)+1</f>
        <v>4293</v>
      </c>
      <c r="B6885" s="676"/>
      <c r="C6885" s="473"/>
      <c r="D6885" s="474"/>
      <c r="E6885" s="475"/>
      <c r="F6885" s="676"/>
      <c r="G6885" s="476"/>
      <c r="H6885" s="676"/>
      <c r="I6885" s="477"/>
      <c r="J6885" s="478"/>
      <c r="K6885" s="676"/>
      <c r="L6885" s="676"/>
      <c r="M6885" s="676"/>
      <c r="N6885" s="676"/>
    </row>
  </sheetData>
  <autoFilter ref="A2:N6885" xr:uid="{00000000-0009-0000-0000-000000000000}">
    <filterColumn colId="10">
      <filters blank="1"/>
    </filterColumn>
  </autoFilter>
  <mergeCells count="1794">
    <mergeCell ref="A6874:A6875"/>
    <mergeCell ref="G6874:G6875"/>
    <mergeCell ref="A6876:A6877"/>
    <mergeCell ref="G6876:G6877"/>
    <mergeCell ref="A6856:A6859"/>
    <mergeCell ref="A6861:A6863"/>
    <mergeCell ref="G6861:G6863"/>
    <mergeCell ref="A6864:A6865"/>
    <mergeCell ref="A6866:A6867"/>
    <mergeCell ref="A6879:A6880"/>
    <mergeCell ref="A6836:A6838"/>
    <mergeCell ref="A6789:A6790"/>
    <mergeCell ref="A6663:A6664"/>
    <mergeCell ref="A6644:A6647"/>
    <mergeCell ref="A6649:A6651"/>
    <mergeCell ref="A6654:A6655"/>
    <mergeCell ref="G6560:G6561"/>
    <mergeCell ref="A6817:A6821"/>
    <mergeCell ref="A6822:A6828"/>
    <mergeCell ref="A6829:A6832"/>
    <mergeCell ref="A6808:A6811"/>
    <mergeCell ref="A6797:A6800"/>
    <mergeCell ref="A6780:A6781"/>
    <mergeCell ref="A6782:A6784"/>
    <mergeCell ref="A6812:A6815"/>
    <mergeCell ref="A6854:A6855"/>
    <mergeCell ref="A6852:A6853"/>
    <mergeCell ref="A6611:A6612"/>
    <mergeCell ref="A6614:A6616"/>
    <mergeCell ref="A6617:A6618"/>
    <mergeCell ref="A6769:A6770"/>
    <mergeCell ref="A6771:A6774"/>
    <mergeCell ref="A6763:A6765"/>
    <mergeCell ref="A6713:A6714"/>
    <mergeCell ref="A6589:A6590"/>
    <mergeCell ref="A6750:A6752"/>
    <mergeCell ref="A6733:A6734"/>
    <mergeCell ref="A6756:A6758"/>
    <mergeCell ref="A6691:A6692"/>
    <mergeCell ref="A6693:A6694"/>
    <mergeCell ref="A6673:A6674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A5247:A5249"/>
    <mergeCell ref="A5497:A5498"/>
    <mergeCell ref="A5499:A5500"/>
    <mergeCell ref="A5302:A5304"/>
    <mergeCell ref="A5305:A5308"/>
    <mergeCell ref="A5577:A5578"/>
    <mergeCell ref="A6571:A6572"/>
    <mergeCell ref="A5573:A5574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8:A6699"/>
    <mergeCell ref="A5172:A5175"/>
    <mergeCell ref="A5202:A520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150:A5152"/>
    <mergeCell ref="A5196:A5197"/>
    <mergeCell ref="A5188:A5189"/>
    <mergeCell ref="A5176:A5178"/>
    <mergeCell ref="A5501:A550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282:A5283"/>
    <mergeCell ref="A5243:A5244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172:A1173"/>
    <mergeCell ref="A1199:A1200"/>
    <mergeCell ref="A1202:A1203"/>
    <mergeCell ref="G1167:G1168"/>
    <mergeCell ref="A1170:A1171"/>
    <mergeCell ref="A1232:A1233"/>
    <mergeCell ref="A980:A982"/>
    <mergeCell ref="A983:A984"/>
    <mergeCell ref="A977:A979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125:A1126"/>
    <mergeCell ref="A1127:A1128"/>
    <mergeCell ref="A1136:A1137"/>
    <mergeCell ref="A1023:A1025"/>
    <mergeCell ref="A988:A989"/>
    <mergeCell ref="A990:A992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070:A1071"/>
    <mergeCell ref="A1072:A1074"/>
    <mergeCell ref="A1062:A1063"/>
    <mergeCell ref="A955:A956"/>
    <mergeCell ref="A1043:A1045"/>
    <mergeCell ref="A957:A958"/>
    <mergeCell ref="A912:A914"/>
    <mergeCell ref="A915:A916"/>
    <mergeCell ref="A872:A874"/>
    <mergeCell ref="A943:A947"/>
    <mergeCell ref="A1030:A1031"/>
    <mergeCell ref="A1121:A1122"/>
    <mergeCell ref="G1121:G1122"/>
    <mergeCell ref="A1092:A1093"/>
    <mergeCell ref="A490:A492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4825:A4826"/>
    <mergeCell ref="A5128:A51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5114:A5115"/>
    <mergeCell ref="A925:A928"/>
    <mergeCell ref="A809:A812"/>
    <mergeCell ref="A939:A941"/>
    <mergeCell ref="A1065:A1067"/>
    <mergeCell ref="A839:A841"/>
    <mergeCell ref="A948:A949"/>
    <mergeCell ref="A951:A954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1218:A1219"/>
    <mergeCell ref="A1032:A1034"/>
    <mergeCell ref="A1028:A1029"/>
    <mergeCell ref="A1052:A1059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116:G5117"/>
    <mergeCell ref="G5504:G5505"/>
    <mergeCell ref="A5507:A5508"/>
    <mergeCell ref="A5493:A5495"/>
    <mergeCell ref="A5091:A5092"/>
    <mergeCell ref="G5140:G5141"/>
    <mergeCell ref="A5232:A5233"/>
    <mergeCell ref="A5298:A5299"/>
    <mergeCell ref="A1223:A1224"/>
    <mergeCell ref="A1035:A1036"/>
    <mergeCell ref="A1041:A1042"/>
    <mergeCell ref="G5623:G5624"/>
    <mergeCell ref="A5606:A5607"/>
    <mergeCell ref="A5378:A5379"/>
    <mergeCell ref="A5338:A5341"/>
    <mergeCell ref="A5342:A5343"/>
    <mergeCell ref="A5348:A53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262:A5263"/>
    <mergeCell ref="A5146:A5147"/>
    <mergeCell ref="A5199:A5200"/>
    <mergeCell ref="G5202:G5203"/>
    <mergeCell ref="G5232:G5233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6718:A6720"/>
    <mergeCell ref="A5380:A5381"/>
    <mergeCell ref="A5523:A5525"/>
    <mergeCell ref="A5531:A5532"/>
    <mergeCell ref="G5408:G5409"/>
    <mergeCell ref="G6718:G6720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6695:A6697"/>
    <mergeCell ref="A6700:A670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549:G5550"/>
    <mergeCell ref="A5549:A5550"/>
    <mergeCell ref="A6840:A6843"/>
    <mergeCell ref="A6844:A6846"/>
    <mergeCell ref="A6847:A6851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721:A6722"/>
    <mergeCell ref="A6723:A6724"/>
    <mergeCell ref="G6723:G6724"/>
    <mergeCell ref="A6725:A6726"/>
    <mergeCell ref="A6833:A6835"/>
    <mergeCell ref="A6754:A6755"/>
    <mergeCell ref="A6552:A6554"/>
    <mergeCell ref="A6555:A6556"/>
    <mergeCell ref="A6559:A6561"/>
    <mergeCell ref="A6567:A6568"/>
    <mergeCell ref="A6870:A6871"/>
    <mergeCell ref="A6872:A6873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5511:A5512"/>
    <mergeCell ref="A6775:A6777"/>
    <mergeCell ref="A6735:A6736"/>
    <mergeCell ref="A6738:A6739"/>
    <mergeCell ref="A6766:A6767"/>
    <mergeCell ref="A6759:A676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2026-08-03T15:16:16Z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