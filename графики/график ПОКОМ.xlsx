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8963B8A-4C10-4C12-8147-E5475992E23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Лист1!$A$2:$R$6960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969" i="1" l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A6965" i="1" l="1"/>
  <c r="K6897" i="1"/>
  <c r="K6898" i="1"/>
  <c r="K6899" i="1"/>
  <c r="K6900" i="1"/>
  <c r="K6901" i="1"/>
  <c r="K6902" i="1"/>
  <c r="K6903" i="1"/>
  <c r="K6904" i="1"/>
  <c r="K6905" i="1"/>
  <c r="K6906" i="1"/>
  <c r="K6896" i="1"/>
  <c r="A6966" i="1" l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A6972" i="1" l="1"/>
  <c r="A6973" i="1" s="1"/>
  <c r="A6974" i="1" s="1"/>
  <c r="E6862" i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A6975" i="1" l="1"/>
  <c r="A6976" i="1" s="1"/>
  <c r="A6977" i="1" s="1"/>
  <c r="A6978" i="1" s="1"/>
  <c r="A6979" i="1" s="1"/>
  <c r="A6980" i="1" s="1"/>
  <c r="Q6853" i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9" i="1" s="1"/>
  <c r="A6902" i="1" s="1"/>
  <c r="A6906" i="1" l="1"/>
  <c r="A6907" i="1" l="1"/>
  <c r="A6908" i="1" l="1"/>
  <c r="A6912" i="1" s="1"/>
  <c r="A6914" i="1" l="1"/>
  <c r="A6915" i="1" l="1"/>
  <c r="A6920" i="1" l="1"/>
  <c r="A6923" i="1" s="1"/>
  <c r="A6924" i="1" l="1"/>
  <c r="A6926" i="1" s="1"/>
  <c r="A6928" i="1" s="1"/>
  <c r="A6932" i="1" s="1"/>
  <c r="A6936" i="1" s="1"/>
  <c r="A6938" i="1" l="1"/>
  <c r="A6939" i="1" s="1"/>
  <c r="A6941" i="1" l="1"/>
  <c r="A6943" i="1" s="1"/>
  <c r="A6948" i="1" s="1"/>
  <c r="A6951" i="1" l="1"/>
  <c r="A6953" i="1" s="1"/>
  <c r="A6954" i="1" l="1"/>
  <c r="A6955" i="1" s="1"/>
  <c r="A6956" i="1" l="1"/>
  <c r="A6957" i="1" s="1"/>
  <c r="A6958" i="1" s="1"/>
  <c r="A6959" i="1" s="1"/>
  <c r="A6960" i="1" s="1"/>
</calcChain>
</file>

<file path=xl/sharedStrings.xml><?xml version="1.0" encoding="utf-8"?>
<sst xmlns="http://schemas.openxmlformats.org/spreadsheetml/2006/main" count="44331" uniqueCount="2050">
  <si>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</si>
  <si>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</si>
  <si>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</si>
  <si>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</si>
  <si>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</si>
  <si>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</si>
  <si>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</si>
  <si>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</si>
  <si>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</si>
  <si>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</si>
  <si>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</si>
  <si>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</si>
  <si>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</si>
  <si>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</si>
  <si>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</si>
  <si>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</si>
  <si>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</si>
  <si>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</si>
  <si>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</si>
  <si>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</si>
  <si>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</si>
  <si>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</si>
  <si>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</si>
  <si>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</si>
  <si>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</si>
  <si>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</si>
  <si>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</si>
  <si>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</si>
  <si>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</si>
  <si>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</si>
  <si>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</si>
  <si>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</si>
  <si>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</si>
  <si>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</si>
  <si>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</si>
  <si>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</si>
  <si>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</si>
  <si>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</si>
  <si>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</si>
  <si>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</si>
  <si>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</si>
  <si>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</si>
  <si>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</si>
  <si>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</si>
  <si>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</si>
  <si>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</si>
  <si>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</si>
  <si>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</si>
  <si>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</si>
  <si>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</si>
  <si>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</si>
  <si>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</si>
  <si>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</si>
  <si>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</si>
  <si>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</si>
  <si>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</si>
  <si>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</si>
  <si>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</si>
  <si>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</si>
  <si>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</si>
  <si>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</si>
  <si>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</si>
  <si>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</si>
  <si>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</si>
  <si>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</si>
  <si>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</si>
  <si>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</si>
  <si>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</si>
  <si>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</si>
  <si>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</si>
  <si>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</si>
  <si>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</si>
  <si>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</si>
  <si>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</si>
  <si>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</si>
  <si>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</si>
  <si>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</si>
  <si>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</si>
  <si>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</si>
  <si>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</si>
  <si>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</si>
  <si>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</si>
  <si>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</si>
  <si>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</si>
  <si>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</si>
  <si>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</si>
  <si>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</si>
  <si>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</si>
  <si>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</si>
  <si>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</si>
  <si>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</si>
  <si>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</si>
  <si>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</si>
  <si>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</si>
  <si>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</si>
  <si>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</si>
  <si>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</si>
  <si>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</si>
  <si>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</si>
  <si>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</si>
  <si>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</si>
  <si>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</si>
  <si>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</si>
  <si>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</si>
  <si>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</si>
  <si>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</si>
  <si>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</si>
  <si>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</si>
  <si>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</si>
  <si>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</si>
  <si>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</si>
  <si>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</si>
  <si>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</si>
  <si>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</si>
  <si>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</si>
  <si>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</si>
  <si>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</si>
  <si>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</si>
  <si>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</si>
  <si>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</si>
  <si>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</si>
  <si>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</si>
  <si>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</si>
  <si>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</si>
  <si>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</si>
  <si>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</si>
  <si>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</si>
  <si>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</si>
  <si>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</si>
  <si>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</si>
  <si>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</si>
  <si>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</si>
  <si>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</si>
  <si>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</si>
  <si>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</si>
  <si>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</si>
  <si>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</si>
  <si>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</si>
  <si>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</si>
  <si>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</si>
  <si>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</si>
  <si>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</si>
  <si>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</si>
  <si>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</si>
  <si>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</si>
  <si>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</si>
  <si>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</si>
  <si>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</si>
  <si>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</si>
  <si>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</si>
  <si>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</si>
  <si>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</si>
  <si>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</si>
  <si>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</si>
  <si>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</si>
  <si>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</si>
  <si>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</si>
  <si>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</si>
  <si>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</si>
  <si>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</si>
  <si>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</si>
  <si>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</si>
  <si>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</si>
  <si>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</si>
  <si>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</si>
  <si>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</si>
  <si>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</si>
  <si>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</si>
  <si>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</si>
  <si>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</si>
  <si>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</si>
  <si>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</si>
  <si>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</si>
  <si>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</si>
  <si>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</si>
  <si>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</si>
  <si>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</si>
  <si>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</si>
  <si>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</si>
  <si>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</si>
  <si>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</si>
  <si>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</si>
  <si>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</si>
  <si>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</si>
  <si>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</si>
  <si>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</si>
  <si>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</si>
  <si>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</si>
  <si>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</si>
  <si>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</si>
  <si>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</si>
  <si>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</si>
  <si>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</si>
  <si>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</si>
  <si>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</si>
  <si>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</si>
  <si>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</si>
  <si>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</si>
  <si>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</si>
  <si>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</si>
  <si>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</si>
  <si>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</si>
  <si>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</si>
  <si>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</si>
  <si>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</si>
  <si>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</si>
  <si>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</si>
  <si>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</si>
  <si>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</si>
  <si>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</si>
  <si>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</si>
  <si>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</si>
  <si>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</si>
  <si>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</si>
  <si>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</si>
  <si>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</si>
  <si>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</si>
  <si>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</si>
  <si>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</si>
  <si>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</si>
  <si>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</si>
  <si>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</si>
  <si>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</si>
  <si>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</si>
  <si>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</si>
  <si>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</si>
  <si>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</si>
  <si>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</si>
  <si>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</si>
  <si>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</si>
  <si>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</si>
  <si>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</si>
  <si>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</si>
  <si>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</si>
  <si>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</si>
  <si>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</si>
  <si>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</si>
  <si>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</si>
  <si>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</si>
  <si>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</si>
  <si>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</si>
  <si>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</si>
  <si>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</si>
  <si>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</si>
  <si>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</si>
  <si>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</si>
  <si>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</si>
  <si>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</si>
  <si>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</si>
  <si>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</si>
  <si>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</si>
  <si>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</si>
  <si>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</si>
  <si>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</si>
  <si>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</si>
  <si>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</si>
  <si>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</si>
  <si>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</si>
  <si>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</si>
  <si>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</si>
  <si>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</si>
  <si>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</si>
  <si>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</si>
  <si>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</si>
  <si>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</si>
  <si>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</si>
  <si>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</si>
  <si>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</si>
  <si>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</si>
  <si>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</si>
  <si>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</si>
  <si>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</si>
  <si>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</si>
  <si>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</si>
  <si>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</si>
  <si>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</si>
  <si>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</si>
  <si>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</si>
  <si>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</si>
  <si>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</si>
  <si>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</si>
  <si>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</si>
  <si>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</si>
  <si>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</si>
  <si>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</si>
  <si>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</si>
  <si>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</si>
  <si>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</si>
  <si>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</si>
  <si>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</si>
  <si>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</si>
  <si>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</si>
  <si>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</si>
  <si>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</si>
  <si>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</si>
  <si>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</si>
  <si>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</si>
  <si>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</si>
  <si>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</si>
  <si>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</si>
  <si>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</si>
  <si>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</si>
  <si>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</si>
  <si>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</si>
  <si>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</si>
  <si>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</si>
  <si>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</si>
  <si>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</si>
  <si>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</si>
  <si>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</si>
  <si>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</si>
  <si>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</si>
  <si>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</si>
  <si>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</si>
  <si>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</si>
  <si>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</si>
  <si>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</si>
  <si>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</si>
  <si>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</si>
  <si>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</si>
  <si>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</si>
  <si>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</si>
  <si>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</si>
  <si>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</si>
  <si>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</si>
  <si>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</si>
  <si>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</si>
  <si>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</si>
  <si>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</si>
  <si>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</si>
  <si>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</si>
  <si>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</si>
  <si>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</si>
  <si>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</si>
  <si>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</si>
  <si>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</si>
  <si>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</si>
  <si>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</si>
  <si>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</si>
  <si>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</si>
  <si>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</si>
  <si>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</si>
  <si>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</si>
  <si>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</si>
  <si>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</si>
  <si>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</si>
  <si>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</si>
  <si>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</si>
  <si>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</si>
  <si>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</si>
  <si>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</si>
  <si>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</si>
  <si>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</si>
  <si>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</si>
  <si>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</si>
  <si>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</si>
  <si>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</si>
  <si>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</si>
  <si>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</si>
  <si>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</si>
  <si>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</si>
  <si>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</si>
  <si>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</si>
  <si>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</si>
  <si>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</si>
  <si>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</si>
  <si>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</si>
  <si>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</si>
  <si>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</si>
  <si>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</si>
  <si>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</si>
  <si>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</si>
  <si>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</si>
  <si>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</si>
  <si>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</si>
  <si>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</si>
  <si>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</si>
  <si>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</si>
  <si>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</si>
  <si>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</si>
  <si>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</si>
  <si>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</si>
  <si>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</si>
  <si>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</si>
  <si>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</si>
  <si>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</si>
  <si>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</si>
  <si>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</si>
  <si>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</si>
  <si>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</si>
  <si>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</si>
  <si>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</si>
  <si>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</si>
  <si>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</si>
  <si>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</si>
  <si>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</si>
  <si>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</si>
  <si>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</si>
  <si>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</si>
  <si>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</si>
  <si>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</si>
  <si>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</si>
  <si>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</si>
  <si>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</si>
  <si>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</si>
  <si>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</si>
  <si>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</si>
  <si>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</si>
  <si>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</si>
  <si>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</si>
  <si>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</si>
  <si>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</si>
  <si>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</si>
  <si>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</si>
  <si>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</si>
  <si>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</si>
  <si>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</si>
  <si>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</si>
  <si>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</si>
  <si>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</si>
  <si>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</si>
  <si>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</si>
  <si>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</si>
  <si>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</si>
  <si>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</si>
  <si>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</si>
  <si>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</si>
  <si>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</si>
  <si>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</si>
  <si>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</si>
  <si>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</si>
  <si>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</si>
  <si>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</si>
  <si>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</si>
  <si>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</si>
  <si>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</si>
  <si>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</si>
  <si>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</si>
  <si>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</si>
  <si>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</si>
  <si>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</si>
  <si>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</si>
  <si>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</si>
  <si>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</si>
  <si>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</si>
  <si>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</si>
  <si>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</si>
  <si>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</si>
  <si>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</si>
  <si>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</si>
  <si>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</si>
  <si>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</si>
  <si>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</si>
  <si>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</si>
  <si>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</si>
  <si>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</si>
  <si>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</si>
  <si>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</si>
  <si>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</si>
  <si>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</si>
  <si>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</si>
  <si>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</si>
  <si>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</si>
  <si>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</si>
  <si>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</si>
  <si>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</si>
  <si>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</si>
  <si>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</si>
  <si>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</si>
  <si>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</si>
  <si>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</si>
  <si>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</si>
  <si>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</si>
  <si>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</si>
  <si>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</si>
  <si>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</si>
  <si>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</si>
  <si>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</si>
  <si>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</si>
  <si>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</si>
  <si>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</si>
  <si>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</si>
  <si>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</si>
  <si>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</si>
  <si>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</si>
  <si>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</si>
  <si>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</si>
  <si>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</si>
  <si>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</si>
  <si>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</si>
  <si>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</si>
  <si>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</si>
  <si>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</si>
  <si>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</si>
  <si>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</si>
  <si>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</si>
  <si>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</si>
  <si>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</si>
  <si>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</si>
  <si>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</si>
  <si>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</si>
  <si>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</si>
  <si>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</si>
  <si>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</si>
  <si>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</si>
  <si>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</si>
  <si>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</si>
  <si>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</si>
  <si>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</si>
  <si>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</si>
  <si>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</si>
  <si>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</si>
  <si>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</si>
  <si>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</si>
  <si>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</si>
  <si>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</si>
  <si>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</si>
  <si>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</si>
  <si>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</si>
  <si>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</si>
  <si>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</si>
  <si>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</si>
  <si>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</si>
  <si>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</si>
  <si>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</si>
  <si>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</si>
  <si>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</si>
  <si>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</si>
  <si>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</si>
  <si>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</si>
  <si>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</si>
  <si>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</si>
  <si>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</si>
  <si>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</si>
  <si>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</si>
  <si>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</si>
  <si>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</si>
  <si>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</si>
  <si>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</si>
  <si>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</si>
  <si>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</si>
  <si>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</si>
  <si>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</si>
  <si>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</si>
  <si>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</si>
  <si>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</si>
  <si>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</si>
  <si>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</si>
  <si>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</si>
  <si>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</si>
  <si>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</si>
  <si>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</si>
  <si>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</si>
  <si>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</si>
  <si>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</si>
  <si>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</si>
  <si>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</si>
  <si>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</si>
  <si>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</si>
  <si>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</si>
  <si>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</si>
  <si>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</si>
  <si>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</si>
  <si>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</si>
  <si>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</si>
  <si>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</si>
  <si>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</si>
  <si>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</si>
  <si>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</si>
  <si>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</si>
  <si>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</si>
  <si>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</si>
  <si>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</si>
  <si>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</si>
  <si>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</si>
  <si>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</si>
  <si>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</si>
  <si>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</si>
  <si>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</si>
  <si>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</si>
  <si>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</si>
  <si>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</si>
  <si>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</si>
  <si>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</si>
  <si>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</si>
  <si>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</si>
  <si>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</si>
  <si>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</si>
  <si>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</si>
  <si>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</si>
  <si>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</si>
  <si>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</si>
  <si>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</si>
  <si>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</si>
  <si>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</si>
  <si>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</si>
  <si>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</si>
  <si>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</si>
  <si>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</si>
  <si>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</si>
  <si>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</si>
  <si>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</si>
  <si>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</si>
  <si>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</si>
  <si>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</si>
  <si>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</si>
  <si>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</si>
  <si>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</si>
  <si>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</si>
  <si>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</si>
  <si>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</si>
  <si>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</si>
  <si>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</si>
  <si>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</si>
  <si>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</si>
  <si>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</si>
  <si>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</si>
  <si>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</si>
  <si>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</si>
  <si>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</si>
  <si>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</si>
  <si>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</si>
  <si>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</si>
  <si>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</si>
  <si>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</si>
  <si>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</si>
  <si>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</si>
  <si>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</si>
  <si>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</si>
  <si>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</si>
  <si>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</si>
  <si>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</si>
  <si>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</si>
  <si>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</si>
  <si>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</si>
  <si>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</si>
  <si>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</si>
  <si>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</si>
  <si>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</si>
  <si>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</si>
  <si>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</si>
  <si>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</si>
  <si>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</si>
  <si>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</si>
  <si>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</si>
  <si>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</si>
  <si>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</si>
  <si>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</si>
  <si>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</si>
  <si>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</si>
  <si>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</si>
  <si>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</si>
  <si>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</si>
  <si>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</si>
  <si>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</si>
  <si>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</si>
  <si>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</si>
  <si>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</si>
  <si>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</si>
  <si>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</si>
  <si>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</si>
  <si>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</si>
  <si>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</si>
  <si>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</si>
  <si>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</si>
  <si>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</si>
  <si>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</si>
  <si>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</si>
  <si>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</si>
  <si>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</si>
  <si>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</si>
  <si>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</si>
  <si>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</si>
  <si>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</si>
  <si>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</si>
  <si>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</si>
  <si>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</si>
  <si>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</si>
  <si>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</si>
  <si>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</si>
  <si>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</si>
  <si>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</si>
  <si>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</si>
  <si>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</si>
  <si>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</si>
  <si>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</si>
  <si>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</si>
  <si>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</si>
  <si>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</si>
  <si>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</si>
  <si>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</si>
  <si>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</si>
  <si>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</si>
  <si>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</si>
  <si>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</si>
  <si>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</si>
  <si>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</si>
  <si>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</si>
  <si>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</si>
  <si>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</si>
  <si>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</si>
  <si>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</si>
  <si>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</si>
  <si>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</si>
  <si>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</si>
  <si>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</si>
  <si>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</si>
  <si>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</si>
  <si>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</si>
  <si>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</si>
  <si>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</si>
  <si>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</si>
  <si>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</si>
  <si>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</si>
  <si>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</si>
  <si>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</si>
  <si>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</si>
  <si>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</si>
  <si>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</si>
  <si>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</si>
  <si>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</si>
  <si>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</si>
  <si>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</si>
  <si>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</si>
  <si>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</si>
  <si>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</si>
  <si>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</si>
  <si>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</si>
  <si>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</si>
  <si>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</si>
  <si>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</si>
  <si>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</si>
  <si>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</si>
  <si>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</si>
  <si>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</si>
  <si>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</si>
  <si>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</si>
  <si>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</si>
  <si>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</si>
  <si>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</si>
  <si>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</si>
  <si>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</si>
  <si>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</si>
  <si>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</si>
  <si>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</si>
  <si>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</si>
  <si>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</si>
  <si>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</si>
  <si>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</si>
  <si>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</si>
  <si>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</si>
  <si>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</si>
  <si>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</si>
  <si>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</si>
  <si>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</si>
  <si>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</si>
  <si>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</si>
  <si>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</si>
  <si>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</si>
  <si>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</si>
  <si>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</si>
  <si>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</si>
  <si>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</si>
  <si>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</si>
  <si>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</si>
  <si>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</si>
  <si>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</si>
  <si>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</si>
  <si>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</si>
  <si>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</si>
  <si>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</si>
  <si>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</si>
  <si>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</si>
  <si>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</si>
  <si>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</si>
  <si>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</si>
  <si>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</si>
  <si>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</si>
  <si>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</si>
  <si>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</si>
  <si>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</si>
  <si>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</si>
  <si>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</si>
  <si>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</si>
  <si>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</si>
  <si>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</si>
  <si>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</si>
  <si>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</si>
  <si>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</si>
  <si>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</si>
  <si>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</si>
  <si>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</si>
  <si>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</si>
  <si>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</si>
  <si>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</si>
  <si>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</si>
  <si>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</si>
  <si>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</si>
  <si>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</si>
  <si>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</si>
  <si>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</si>
  <si>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</si>
  <si>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</si>
  <si>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</si>
  <si>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</si>
  <si>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</si>
  <si>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</si>
  <si>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</si>
  <si>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</si>
  <si>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</si>
  <si>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</si>
  <si>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</si>
  <si>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</si>
  <si>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</si>
  <si>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</si>
  <si>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</si>
  <si>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</si>
  <si>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</si>
  <si>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</si>
  <si>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</si>
  <si>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</si>
  <si>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</si>
  <si>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</si>
  <si>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</si>
  <si>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</si>
  <si>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</si>
  <si>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</si>
  <si>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</si>
  <si>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</si>
  <si>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</si>
  <si>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</si>
  <si>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</si>
  <si>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</si>
  <si>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</si>
  <si>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</si>
  <si>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</si>
  <si>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</si>
  <si>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</si>
  <si>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</si>
  <si>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</si>
  <si>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</si>
  <si>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</si>
  <si>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</si>
  <si>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</si>
  <si>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</si>
  <si>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</si>
  <si>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</si>
  <si>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</si>
  <si>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</si>
  <si>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</si>
  <si>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</si>
  <si>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</si>
  <si>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</si>
  <si>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</si>
  <si>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</si>
  <si>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</si>
  <si>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</si>
  <si>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</si>
  <si>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</si>
  <si>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</si>
  <si>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</si>
  <si>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</si>
  <si>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</si>
  <si>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</si>
  <si>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</si>
  <si>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</si>
  <si>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</si>
  <si>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</si>
  <si>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</si>
  <si>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</si>
  <si>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</si>
  <si>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</si>
  <si>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</si>
  <si>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</si>
  <si>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</si>
  <si>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</si>
  <si>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</si>
  <si>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</si>
  <si>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</si>
  <si>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</si>
  <si>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</si>
  <si>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</si>
  <si>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</si>
  <si>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</si>
  <si>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</si>
  <si>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</si>
  <si>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</si>
  <si>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</si>
  <si>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</si>
  <si>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</si>
  <si>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</si>
  <si>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</si>
  <si>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</si>
  <si>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</si>
  <si>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</si>
  <si>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</si>
  <si>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</si>
  <si>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</si>
  <si>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</si>
  <si>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</si>
  <si>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</si>
  <si>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</si>
  <si>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</si>
  <si>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</si>
  <si>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</si>
  <si>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</si>
  <si>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</si>
  <si>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</si>
  <si>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</si>
  <si>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</si>
  <si>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</si>
  <si>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</si>
  <si>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</si>
  <si>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</si>
  <si>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</si>
  <si>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</si>
  <si>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</si>
  <si>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</si>
  <si>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</si>
  <si>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</si>
  <si>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</si>
  <si>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</si>
  <si>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</si>
  <si>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</si>
  <si>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</si>
  <si>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</si>
  <si>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</si>
  <si>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</si>
  <si>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</si>
  <si>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</si>
  <si>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</si>
  <si>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</si>
  <si>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</si>
  <si>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</si>
  <si>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</si>
  <si>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</si>
  <si>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</si>
  <si>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</si>
  <si>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</si>
  <si>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</si>
  <si>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</si>
  <si>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</si>
  <si>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</si>
  <si>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</si>
  <si>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</si>
  <si>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</si>
  <si>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</si>
  <si>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</si>
  <si>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</si>
  <si>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</si>
  <si>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</si>
  <si>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</si>
  <si>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</si>
  <si>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</si>
  <si>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</si>
  <si>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</si>
  <si>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</si>
  <si>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</si>
  <si>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</si>
  <si>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</si>
  <si>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</si>
  <si>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</si>
  <si>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</si>
  <si>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</si>
  <si>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</si>
  <si>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</si>
  <si>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</si>
  <si>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</si>
  <si>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</si>
  <si>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</si>
  <si>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</si>
  <si>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</si>
  <si>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</si>
  <si>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</si>
  <si>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</si>
  <si>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</si>
  <si>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</si>
  <si>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</si>
  <si>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</si>
  <si>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</si>
  <si>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</si>
  <si>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</si>
  <si>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</si>
  <si>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</si>
  <si>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</si>
  <si>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</si>
  <si>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</si>
  <si>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</si>
  <si>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</si>
  <si>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</si>
  <si>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</si>
  <si>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</si>
  <si>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</si>
  <si>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</si>
  <si>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</si>
  <si>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</si>
  <si>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</si>
  <si>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</si>
  <si>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</si>
  <si>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</si>
  <si>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</si>
  <si>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</si>
  <si>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</si>
  <si>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</si>
  <si>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</si>
  <si>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</si>
  <si>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</si>
  <si>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</si>
  <si>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</si>
  <si>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</si>
  <si>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</si>
  <si>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</si>
  <si>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</si>
  <si>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</si>
  <si>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</si>
  <si>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</si>
  <si>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</si>
  <si>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</si>
  <si>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</si>
  <si>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</si>
  <si>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</si>
  <si>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</si>
  <si>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</si>
  <si>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</si>
  <si>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</si>
  <si>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</si>
  <si>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</si>
  <si>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</si>
  <si>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</si>
  <si>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</si>
  <si>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</si>
  <si>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</si>
  <si>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</si>
  <si>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</si>
  <si>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</si>
  <si>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</si>
  <si>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</si>
  <si>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</si>
  <si>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</si>
  <si>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</si>
  <si>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</si>
  <si>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</si>
  <si>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</si>
  <si>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</si>
  <si>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</si>
  <si>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</si>
  <si>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</si>
  <si>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</si>
  <si>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</si>
  <si>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</si>
  <si>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</si>
  <si>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</si>
  <si>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</si>
  <si>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</si>
  <si>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</si>
  <si>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</si>
  <si>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</si>
  <si>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</si>
  <si>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</si>
  <si>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</si>
  <si>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</si>
  <si>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</si>
  <si>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</si>
  <si>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</si>
  <si>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</si>
  <si>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</si>
  <si>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</si>
  <si>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</si>
  <si>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</si>
  <si>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</si>
  <si>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</si>
  <si>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</si>
  <si>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</si>
  <si>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</si>
  <si>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</si>
  <si>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</si>
  <si>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</si>
  <si>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</si>
  <si>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</si>
  <si>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</si>
  <si>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</si>
  <si>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</si>
  <si>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</si>
  <si>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</si>
  <si>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</si>
  <si>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</si>
  <si>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</si>
  <si>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</si>
  <si>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</si>
  <si>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</si>
  <si>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</si>
  <si>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</si>
  <si>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</si>
  <si>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</si>
  <si>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</si>
  <si>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</si>
  <si>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</si>
  <si>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</si>
  <si>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</si>
  <si>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</si>
  <si>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</si>
  <si>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</si>
  <si>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</si>
  <si>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</si>
  <si>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</si>
  <si>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</si>
  <si>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</si>
  <si>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</si>
  <si>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</si>
  <si>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</si>
  <si>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</si>
  <si>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</si>
  <si>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</si>
  <si>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</si>
  <si>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</si>
  <si>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</si>
  <si>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</si>
  <si>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</si>
  <si>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</si>
  <si>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</si>
  <si>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</si>
  <si>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</si>
  <si>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</si>
  <si>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</si>
  <si>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</si>
  <si>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</si>
  <si>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</si>
  <si>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</si>
  <si>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</si>
  <si>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</si>
  <si>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</si>
  <si>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</si>
  <si>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</si>
  <si>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</si>
  <si>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</si>
  <si>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</si>
  <si>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</si>
  <si>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</si>
  <si>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</si>
  <si>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</si>
  <si>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</si>
  <si>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</si>
  <si>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</si>
  <si>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</si>
  <si>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</si>
  <si>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</si>
  <si>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</si>
  <si>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</si>
  <si>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</si>
  <si>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</si>
  <si>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</si>
  <si>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</si>
  <si>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</si>
  <si>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</si>
  <si>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</si>
  <si>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</si>
  <si>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</si>
  <si>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</si>
  <si>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</si>
  <si>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</si>
  <si>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</si>
  <si>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</si>
  <si>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</si>
  <si>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</si>
  <si>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</si>
  <si>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</si>
  <si>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</si>
  <si>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</si>
  <si>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</si>
  <si>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</si>
  <si>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</si>
  <si>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</si>
  <si>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</si>
  <si>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</si>
  <si>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</si>
  <si>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</si>
  <si>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</si>
  <si>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</si>
  <si>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</si>
  <si>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</si>
  <si>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</si>
  <si>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</si>
  <si>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</si>
  <si>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</si>
  <si>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</si>
  <si>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</si>
  <si>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</si>
  <si>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</si>
  <si>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</si>
  <si>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</si>
  <si>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</si>
  <si>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</si>
  <si>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</si>
  <si>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</si>
  <si>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</si>
  <si>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</si>
  <si>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</si>
  <si>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</si>
  <si>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</si>
  <si>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</si>
  <si>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</si>
  <si>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</si>
  <si>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</si>
  <si>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</si>
  <si>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</si>
  <si>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</si>
  <si>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</si>
  <si>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</si>
  <si>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</si>
  <si>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</si>
  <si>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</si>
  <si>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</si>
  <si>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</si>
  <si>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</si>
  <si>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</si>
  <si>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</si>
  <si>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</si>
  <si>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</si>
  <si>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</si>
  <si>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</si>
  <si>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</si>
  <si>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</si>
  <si>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</si>
  <si>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</si>
  <si>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</si>
  <si>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</si>
  <si>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</si>
  <si>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</si>
  <si>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</si>
  <si>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</si>
  <si>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</si>
  <si>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</si>
  <si>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</si>
  <si>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</si>
  <si>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</si>
  <si>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</si>
  <si>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</si>
  <si>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</si>
  <si>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</si>
  <si>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</si>
  <si>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</si>
  <si>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</si>
  <si>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</si>
  <si>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</si>
  <si>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</si>
  <si>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</si>
  <si>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</si>
  <si>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</si>
  <si>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</si>
  <si>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</si>
  <si>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</si>
  <si>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</si>
  <si>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</si>
  <si>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</si>
  <si>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</si>
  <si>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</si>
  <si>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</si>
  <si>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</si>
  <si>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</si>
  <si>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</si>
  <si>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</si>
  <si>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</si>
  <si>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</si>
  <si>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</si>
  <si>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</si>
  <si>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</si>
  <si>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</si>
  <si>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</si>
  <si>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</si>
  <si>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</si>
  <si>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</si>
  <si>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</si>
  <si>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</si>
  <si>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</si>
  <si>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</si>
  <si>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</si>
  <si>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</si>
  <si>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</si>
  <si>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</si>
  <si>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</si>
  <si>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</si>
  <si>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</si>
  <si>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</si>
  <si>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</si>
  <si>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</si>
  <si>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</si>
  <si>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</si>
  <si>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</si>
  <si>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</si>
  <si>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</si>
  <si>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</si>
  <si>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</si>
  <si>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</si>
  <si>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</si>
  <si>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</si>
  <si>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</si>
  <si>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</si>
  <si>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</si>
  <si>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</si>
  <si>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</si>
  <si>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</si>
  <si>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</si>
  <si>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</si>
  <si>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</si>
  <si>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</si>
  <si>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</si>
  <si>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</si>
  <si>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</si>
  <si>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</si>
  <si>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</si>
  <si>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</si>
  <si>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</si>
  <si>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</si>
  <si>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</si>
  <si>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</si>
  <si>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</si>
  <si>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</si>
  <si>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</si>
  <si>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</si>
  <si>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</si>
  <si>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</si>
  <si>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</si>
  <si>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</si>
  <si>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</si>
  <si>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</si>
  <si>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</si>
  <si>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</si>
  <si>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</si>
  <si>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</si>
  <si>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</si>
  <si>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</si>
  <si>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</si>
  <si>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</si>
  <si>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</si>
  <si>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</si>
  <si>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</si>
  <si>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</si>
  <si>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</si>
  <si>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</si>
  <si>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</si>
  <si>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</si>
  <si>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</si>
  <si>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</si>
  <si>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</si>
  <si>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</si>
  <si>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</si>
  <si>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</si>
  <si>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</si>
  <si>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</si>
  <si>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</si>
  <si>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</si>
  <si>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</si>
  <si>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</si>
  <si>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</si>
  <si>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</si>
  <si>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</si>
  <si>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</si>
  <si>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</si>
  <si>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</si>
  <si>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</si>
  <si>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</si>
  <si>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</si>
  <si>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</si>
  <si>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</si>
  <si>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</si>
  <si>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</si>
  <si>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</si>
  <si>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</si>
  <si>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</si>
  <si>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</si>
  <si>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</si>
  <si>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</si>
  <si>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</si>
  <si>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</si>
  <si>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</si>
  <si>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</si>
  <si>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</si>
  <si>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</si>
  <si>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</si>
  <si>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</si>
  <si>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</si>
  <si>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</si>
  <si>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</si>
  <si>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</si>
  <si>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</si>
  <si>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</si>
  <si>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</si>
  <si>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</si>
  <si>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</si>
  <si>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</si>
  <si>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</si>
  <si>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</si>
  <si>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</si>
  <si>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</si>
  <si>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</si>
  <si>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</si>
  <si>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</si>
  <si>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</si>
  <si>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</si>
  <si>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</si>
  <si>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</si>
  <si>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</si>
  <si>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</si>
  <si>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</si>
  <si>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</si>
  <si>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</si>
  <si>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</si>
  <si>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</si>
  <si>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</si>
  <si>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</si>
  <si>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</si>
  <si>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</si>
  <si>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</si>
  <si>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</si>
  <si>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</si>
  <si>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</si>
  <si>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</si>
  <si>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</si>
  <si>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</si>
  <si>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</si>
  <si>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</si>
  <si>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</si>
  <si>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</si>
  <si>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</si>
  <si>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</si>
  <si>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</si>
  <si>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</si>
  <si>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</si>
  <si>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</si>
  <si>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</si>
  <si>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</si>
  <si>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</si>
  <si>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</si>
  <si>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</si>
  <si>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</si>
  <si>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</si>
  <si>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</si>
  <si>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</si>
  <si>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</si>
  <si>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</si>
  <si>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</si>
  <si>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</si>
  <si>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</si>
  <si>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</si>
  <si>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</si>
  <si>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</si>
  <si>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</si>
  <si>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</si>
  <si>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</si>
  <si>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</si>
  <si>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</si>
  <si>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</si>
  <si>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</si>
  <si>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</si>
  <si>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</si>
  <si>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</si>
  <si>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</si>
  <si>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</si>
  <si>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</si>
  <si>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</si>
  <si>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</si>
  <si>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</si>
  <si>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</si>
  <si>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</si>
  <si>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</si>
  <si>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</si>
  <si>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</si>
  <si>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</si>
  <si>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</si>
  <si>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</si>
  <si>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</si>
  <si>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</si>
  <si>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</si>
  <si>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</si>
  <si>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</si>
  <si>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</si>
  <si>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</si>
  <si>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</si>
  <si>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</si>
  <si>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</si>
  <si>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</si>
  <si>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</si>
  <si>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</si>
  <si>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</si>
  <si>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</si>
  <si>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</si>
  <si>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</si>
  <si>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</si>
  <si>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</si>
  <si>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</si>
  <si>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</si>
  <si>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</si>
  <si>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</si>
  <si>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</si>
  <si>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</si>
  <si>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</si>
  <si>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</si>
  <si>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</si>
  <si>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</si>
  <si>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</si>
  <si>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</si>
  <si>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</si>
  <si>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</si>
  <si>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</si>
  <si>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</si>
  <si>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</si>
  <si>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</si>
  <si>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</si>
  <si>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</si>
  <si>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</si>
  <si>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</si>
  <si>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</si>
  <si>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</si>
  <si>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</si>
  <si>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</si>
  <si>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</si>
  <si>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</si>
  <si>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</si>
  <si>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</si>
  <si>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</si>
  <si>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</si>
  <si>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</si>
  <si>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</si>
  <si>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</si>
  <si>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</si>
  <si>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</si>
  <si>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</si>
  <si>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</si>
  <si>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</si>
  <si>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</si>
  <si>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</si>
  <si>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</si>
  <si>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</si>
  <si>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</si>
  <si>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</si>
  <si>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</si>
  <si>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</si>
  <si>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</si>
  <si>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</si>
  <si>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</si>
  <si>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</si>
  <si>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</si>
  <si>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</si>
  <si>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</si>
  <si>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</si>
  <si>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</si>
  <si>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</si>
  <si>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</si>
  <si>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</si>
  <si>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</si>
  <si>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</si>
  <si>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</si>
  <si>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</si>
  <si>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</si>
  <si>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</si>
  <si>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</si>
  <si>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</si>
  <si>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</si>
  <si>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</si>
  <si>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</si>
  <si>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</si>
  <si>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</si>
  <si>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</si>
  <si>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</si>
  <si>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</si>
  <si>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</si>
  <si>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</si>
  <si>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</si>
  <si>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</si>
  <si>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</si>
  <si>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</si>
  <si>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</si>
  <si>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</si>
  <si>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</si>
  <si>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</si>
  <si>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</si>
  <si>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</si>
  <si>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</si>
  <si>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</si>
  <si>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</si>
  <si>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</si>
  <si>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</si>
  <si>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</si>
  <si>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</si>
  <si>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</si>
  <si>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</si>
  <si>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</si>
  <si>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</si>
  <si>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</si>
  <si>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</si>
  <si>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</si>
  <si>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</si>
  <si>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</si>
  <si>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</si>
  <si>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</si>
  <si>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</si>
  <si>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</si>
  <si>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</si>
  <si>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</si>
  <si>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</si>
  <si>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</si>
  <si>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</si>
  <si>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</si>
  <si>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</si>
  <si>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</si>
  <si>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</si>
  <si>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</si>
  <si>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</si>
  <si>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</si>
  <si>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</si>
  <si>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</si>
  <si>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</si>
  <si>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</si>
  <si>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</si>
  <si>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</si>
  <si>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</si>
  <si>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</si>
  <si>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</si>
  <si>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</si>
  <si>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</si>
  <si>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</si>
  <si>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</si>
  <si>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</si>
  <si>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</si>
  <si>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</si>
  <si>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</si>
  <si>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</si>
  <si>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</si>
  <si>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</si>
  <si>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</si>
  <si>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</si>
  <si>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</si>
  <si>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</si>
  <si>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</si>
  <si>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</si>
  <si>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</si>
  <si>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</si>
  <si>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</si>
  <si>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</si>
  <si>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</si>
  <si>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</si>
  <si>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</si>
  <si>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</si>
  <si>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</si>
  <si>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</si>
  <si>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</si>
  <si>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</si>
  <si>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</si>
  <si>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</si>
  <si>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</si>
  <si>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</si>
  <si>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</si>
  <si>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</si>
  <si>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</si>
  <si>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</si>
  <si>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</si>
  <si>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</si>
  <si>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</si>
  <si>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</si>
  <si>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</si>
  <si>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</si>
  <si>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</si>
  <si>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</si>
  <si>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</si>
  <si>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</si>
  <si>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</si>
  <si>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</si>
  <si>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</si>
  <si>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</si>
  <si>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</si>
  <si>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</si>
  <si>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</si>
  <si>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</si>
  <si>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</si>
  <si>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</si>
  <si>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</si>
  <si>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</si>
  <si>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</si>
  <si>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</si>
  <si>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</si>
  <si>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</si>
  <si>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</si>
  <si>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</si>
  <si>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</si>
  <si>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</si>
  <si>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</si>
  <si>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</si>
  <si>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</si>
  <si>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</si>
  <si>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</si>
  <si>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</si>
  <si>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</si>
  <si>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</si>
  <si>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</si>
  <si>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</si>
  <si>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</si>
  <si>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</si>
  <si>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</si>
  <si>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</si>
  <si>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</si>
  <si>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</si>
  <si>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</si>
  <si>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</si>
  <si>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</si>
  <si>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</si>
  <si>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</si>
  <si>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</si>
  <si>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</si>
  <si>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</si>
  <si>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</si>
  <si>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</si>
  <si>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</si>
  <si>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</si>
  <si>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</si>
  <si>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</si>
  <si>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</si>
  <si>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</si>
  <si>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</si>
  <si>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</si>
  <si>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</si>
  <si>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</si>
  <si>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</si>
  <si>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</si>
  <si>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</si>
  <si>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</si>
  <si>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</si>
  <si>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</si>
  <si>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</si>
  <si>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</si>
  <si>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</si>
  <si>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</si>
  <si>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</si>
  <si>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</si>
  <si>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</si>
  <si>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</si>
  <si>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</si>
  <si>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</si>
  <si>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</si>
  <si>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</si>
  <si>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</si>
  <si>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</si>
  <si>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</si>
  <si>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</si>
  <si>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</si>
  <si>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</si>
  <si>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</si>
  <si>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</si>
  <si>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</si>
  <si>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</si>
  <si>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</si>
  <si>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</si>
  <si>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</si>
  <si>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</si>
  <si>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</si>
  <si>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</si>
  <si>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</si>
  <si>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</si>
  <si>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</si>
  <si>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</si>
  <si>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</si>
  <si>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</si>
  <si>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</si>
  <si>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</si>
  <si>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</si>
  <si>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</si>
  <si>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</si>
  <si>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</si>
  <si>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</si>
  <si>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</si>
  <si>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</si>
  <si>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</si>
  <si>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</si>
  <si>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</si>
  <si>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</si>
  <si>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</si>
  <si>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</si>
  <si>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</si>
  <si>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</si>
  <si>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</si>
  <si>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</si>
  <si>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</si>
  <si>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</si>
  <si>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</si>
  <si>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</si>
  <si>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</si>
  <si>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</si>
  <si>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</si>
  <si>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</si>
  <si>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</si>
  <si>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</si>
  <si>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</si>
  <si>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</si>
  <si>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</si>
  <si>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</si>
  <si>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</si>
  <si>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</si>
  <si>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</si>
  <si>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</si>
  <si>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</si>
  <si>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</si>
  <si>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</si>
  <si>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</si>
  <si>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</si>
  <si>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</si>
  <si>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</si>
  <si>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</si>
  <si>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</si>
  <si>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</si>
  <si>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</si>
  <si>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</si>
  <si>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</si>
  <si>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</si>
  <si>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</si>
  <si>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</si>
  <si>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</si>
  <si>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</si>
  <si>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</si>
  <si>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</si>
  <si>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</si>
  <si>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</si>
  <si>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</si>
  <si>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</si>
  <si>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</si>
  <si>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</si>
  <si>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</si>
  <si>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</si>
  <si>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</si>
  <si>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</si>
  <si>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</si>
  <si>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</si>
  <si>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</si>
  <si>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</si>
  <si>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</si>
  <si>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</si>
  <si>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</si>
  <si>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</si>
  <si>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</si>
  <si>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</si>
  <si>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</si>
  <si>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</si>
  <si>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</si>
  <si>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</si>
  <si>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</si>
  <si>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</si>
  <si>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</si>
  <si>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</si>
  <si>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</si>
  <si>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</si>
  <si>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</si>
  <si>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</si>
  <si>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</si>
  <si>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</si>
  <si>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</si>
  <si>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</si>
  <si>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</si>
  <si>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</si>
  <si>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</si>
  <si>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</si>
  <si>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</si>
  <si>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</si>
  <si>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</si>
  <si>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</si>
  <si>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</si>
  <si>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</si>
  <si>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</si>
  <si>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</si>
  <si>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</si>
  <si>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</si>
  <si>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</si>
  <si>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</si>
  <si>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</si>
  <si>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</si>
  <si>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</si>
  <si>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</si>
  <si>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</si>
  <si>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</si>
  <si>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</si>
  <si>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</si>
  <si>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</si>
  <si>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</si>
  <si>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</si>
  <si>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</si>
  <si>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</si>
  <si>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</si>
  <si>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</si>
  <si>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</si>
  <si>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</si>
  <si>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</si>
  <si>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</si>
  <si>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</si>
  <si>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</si>
  <si>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</si>
  <si>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</si>
  <si>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</si>
  <si>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</si>
  <si>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</si>
  <si>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</si>
  <si>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</si>
  <si>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</si>
  <si>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</si>
  <si>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</si>
  <si>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</si>
  <si>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</si>
  <si>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</si>
  <si>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</si>
  <si>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</si>
  <si>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</si>
  <si>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</si>
  <si>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</si>
  <si>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</si>
  <si>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</si>
  <si>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</si>
  <si>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</si>
  <si>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</si>
  <si>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</si>
  <si>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</si>
  <si>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</si>
  <si>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</si>
  <si>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</si>
  <si>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</si>
  <si>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</si>
  <si>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</si>
  <si>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</si>
  <si>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</si>
  <si>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</si>
  <si>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</si>
  <si>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</si>
  <si>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</si>
  <si>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</si>
  <si>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</si>
  <si>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</si>
  <si>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</si>
  <si>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</si>
  <si>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</si>
  <si>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</si>
  <si>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</si>
  <si>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</si>
  <si>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</si>
  <si>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</si>
  <si>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</si>
  <si>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</si>
  <si>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</si>
  <si>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</si>
  <si>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</si>
  <si>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</si>
  <si>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</si>
  <si>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</si>
  <si>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</si>
  <si>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</si>
  <si>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</si>
  <si>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</si>
  <si>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</si>
  <si>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</si>
  <si>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</si>
  <si>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</si>
  <si>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</si>
  <si>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</si>
  <si>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</si>
  <si>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</si>
  <si>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</si>
  <si>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</si>
  <si>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</si>
  <si>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</si>
  <si>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</si>
  <si>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</si>
  <si>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</si>
  <si>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</si>
  <si>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</si>
  <si>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</si>
  <si>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</si>
  <si>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</si>
  <si>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</si>
  <si>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</si>
  <si>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</si>
  <si>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</si>
  <si>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</si>
  <si>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</si>
  <si>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</si>
  <si>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</si>
  <si>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</si>
  <si>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</si>
  <si>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</si>
  <si>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</si>
  <si>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</si>
  <si>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</si>
  <si>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</si>
  <si>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</si>
  <si>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</si>
  <si>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</si>
  <si>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</si>
  <si>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</si>
  <si>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</si>
  <si>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</si>
  <si>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</si>
  <si>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</si>
  <si>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</si>
  <si>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для Завтрака</t>
  </si>
  <si>
    <t>50% для завтрака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</si>
  <si>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</si>
  <si>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</si>
  <si>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</si>
  <si>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</si>
  <si>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</si>
  <si>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</si>
  <si>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</si>
  <si>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</si>
  <si>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</si>
  <si>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</si>
  <si>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</si>
  <si>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</si>
  <si>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</si>
  <si>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</si>
  <si>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</si>
  <si>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</si>
  <si>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</si>
  <si>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</si>
  <si>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</si>
  <si>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</si>
  <si>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</si>
  <si>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</si>
  <si>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</si>
  <si>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</si>
  <si>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</si>
  <si>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</si>
  <si>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</si>
  <si>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</si>
  <si>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</si>
  <si>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</si>
  <si>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</si>
  <si>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</si>
  <si>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</si>
  <si>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</si>
  <si>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</si>
  <si>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</si>
  <si>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</si>
  <si>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</si>
  <si>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</si>
  <si>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</si>
  <si>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</si>
  <si>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</si>
  <si>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</si>
  <si>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</si>
  <si>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</si>
  <si>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недогруз 100%</t>
  </si>
  <si>
    <t>TSO001084250</t>
  </si>
  <si>
    <t>TSO001084249</t>
  </si>
  <si>
    <t>TSO001084248</t>
  </si>
  <si>
    <t>TSO001084268</t>
  </si>
  <si>
    <t>TSO001084270</t>
  </si>
  <si>
    <t>TSO001084272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</si>
</sst>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3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0" fontId="45" fillId="17" borderId="83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166" fontId="15" fillId="0" borderId="0" xfId="0" applyNumberFormat="1" applyFont="1" applyAlignment="1">
      <alignment vertical="center"/>
    </xf>
    <xf numFmtId="0" fontId="15" fillId="17" borderId="38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80"/>
  <sheetViews>
    <sheetView tabSelected="1" zoomScale="80" zoomScaleNormal="80" workbookViewId="0">
      <pane ySplit="2" topLeftCell="A6950" activePane="bottomLeft" state="frozen"/>
      <selection pane="bottomLeft" activeCell="L6975" sqref="L697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4" t="s">
        <v>0</v>
      </c>
      <c r="B1" s="1004"/>
      <c r="C1" s="1004"/>
      <c r="D1" s="1004"/>
      <c r="E1" s="1004"/>
      <c r="F1" s="1004"/>
      <c r="G1" s="1004"/>
      <c r="H1" s="1004"/>
      <c r="I1" s="1004"/>
      <c r="J1" s="1004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5">
        <v>1</v>
      </c>
      <c r="B3" s="100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5"/>
      <c r="B4" s="100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1">
        <v>3</v>
      </c>
      <c r="B6" s="100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1"/>
      <c r="B7" s="100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1"/>
      <c r="B8" s="100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1">
        <v>5</v>
      </c>
      <c r="B10" s="100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1"/>
      <c r="B11" s="100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99">
        <v>8</v>
      </c>
      <c r="B14" s="99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99"/>
      <c r="B15" s="99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1">
        <v>11</v>
      </c>
      <c r="B18" s="100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1"/>
      <c r="B19" s="100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1"/>
      <c r="B20" s="100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1"/>
      <c r="B21" s="100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1">
        <v>13</v>
      </c>
      <c r="B23" s="100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1"/>
      <c r="B24" s="100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99">
        <v>14</v>
      </c>
      <c r="B25" s="99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99"/>
      <c r="B26" s="99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1">
        <v>15</v>
      </c>
      <c r="B27" s="100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1"/>
      <c r="B28" s="100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1"/>
      <c r="B29" s="100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1"/>
      <c r="B30" s="100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99">
        <v>16</v>
      </c>
      <c r="B31" s="99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99"/>
      <c r="B32" s="99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99"/>
      <c r="B33" s="99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99"/>
      <c r="B34" s="99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1">
        <v>17</v>
      </c>
      <c r="B35" s="100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1"/>
      <c r="B36" s="100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1">
        <v>21</v>
      </c>
      <c r="B40" s="100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1"/>
      <c r="B41" s="100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1">
        <v>23</v>
      </c>
      <c r="B43" s="100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1"/>
      <c r="B44" s="100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1"/>
      <c r="B45" s="100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99">
        <v>24</v>
      </c>
      <c r="B46" s="99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99"/>
      <c r="B47" s="99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1">
        <v>25</v>
      </c>
      <c r="B48" s="100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1"/>
      <c r="B49" s="100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1"/>
      <c r="B50" s="100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99">
        <v>26</v>
      </c>
      <c r="B51" s="99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99"/>
      <c r="B52" s="99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1">
        <v>29</v>
      </c>
      <c r="B55" s="100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1"/>
      <c r="B56" s="100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99">
        <v>32</v>
      </c>
      <c r="B59" s="99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99"/>
      <c r="B60" s="99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99">
        <v>34</v>
      </c>
      <c r="B62" s="99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99"/>
      <c r="B63" s="99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99"/>
      <c r="B64" s="99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99"/>
      <c r="B65" s="99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99"/>
      <c r="B66" s="99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1">
        <v>35</v>
      </c>
      <c r="B67" s="100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1"/>
      <c r="B68" s="100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8">
        <v>40</v>
      </c>
      <c r="B73" s="99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8"/>
      <c r="B74" s="99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9">
        <v>41</v>
      </c>
      <c r="B75" s="100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9"/>
      <c r="B76" s="100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9"/>
      <c r="B77" s="100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8">
        <v>42</v>
      </c>
      <c r="B78" s="99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8"/>
      <c r="B79" s="99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9">
        <v>49</v>
      </c>
      <c r="B86" s="100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9"/>
      <c r="B87" s="100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9"/>
      <c r="B88" s="100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8">
        <v>50</v>
      </c>
      <c r="B89" s="99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8"/>
      <c r="B90" s="99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9">
        <v>51</v>
      </c>
      <c r="B91" s="100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9"/>
      <c r="B92" s="100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9">
        <v>53</v>
      </c>
      <c r="B94" s="100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9"/>
      <c r="B95" s="100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8">
        <v>54</v>
      </c>
      <c r="B96" s="99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8"/>
      <c r="B97" s="99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8"/>
      <c r="B98" s="99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8">
        <v>58</v>
      </c>
      <c r="B102" s="99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8"/>
      <c r="B103" s="99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8">
        <v>60</v>
      </c>
      <c r="B105" s="99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8"/>
      <c r="B106" s="99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8"/>
      <c r="B107" s="99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9">
        <v>61</v>
      </c>
      <c r="B108" s="100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9"/>
      <c r="B109" s="100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9"/>
      <c r="B110" s="100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8">
        <v>64</v>
      </c>
      <c r="B113" s="99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8"/>
      <c r="B114" s="99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8">
        <v>66</v>
      </c>
      <c r="B116" s="99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8"/>
      <c r="B117" s="99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9">
        <v>67</v>
      </c>
      <c r="B118" s="100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9"/>
      <c r="B119" s="100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9"/>
      <c r="B120" s="100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8">
        <v>68</v>
      </c>
      <c r="B121" s="99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8"/>
      <c r="B122" s="99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9">
        <v>69</v>
      </c>
      <c r="B123" s="100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9"/>
      <c r="B124" s="100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8">
        <v>72</v>
      </c>
      <c r="B127" s="999" t="s">
        <v>65</v>
      </c>
      <c r="C127" s="119" t="s">
        <v>26</v>
      </c>
      <c r="D127" s="120">
        <v>3.3</v>
      </c>
      <c r="E127" s="121"/>
      <c r="F127" s="122" t="s">
        <v>30</v>
      </c>
      <c r="G127" s="99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8"/>
      <c r="B128" s="999"/>
      <c r="C128" s="103" t="s">
        <v>26</v>
      </c>
      <c r="D128" s="88">
        <v>12.9</v>
      </c>
      <c r="E128" s="106"/>
      <c r="F128" s="107" t="s">
        <v>16</v>
      </c>
      <c r="G128" s="99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8">
        <v>76</v>
      </c>
      <c r="B132" s="100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8"/>
      <c r="B133" s="100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8"/>
      <c r="B134" s="100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8"/>
      <c r="B135" s="100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8">
        <v>78</v>
      </c>
      <c r="B137" s="100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8"/>
      <c r="B138" s="100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0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0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9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9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0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0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9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9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6" t="s">
        <v>133</v>
      </c>
      <c r="J420" s="100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1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1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1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1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1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9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9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9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9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9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9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9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1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1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9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9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9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9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9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9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9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9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9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9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9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9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9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9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9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1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1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1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14" t="s">
        <v>467</v>
      </c>
      <c r="H2160" s="414" t="s">
        <v>515</v>
      </c>
      <c r="I2160" s="415" t="s">
        <v>516</v>
      </c>
      <c r="J2160" s="101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1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14"/>
      <c r="H2161" s="421" t="s">
        <v>515</v>
      </c>
      <c r="I2161" s="422" t="s">
        <v>516</v>
      </c>
      <c r="J2161" s="101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1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14"/>
      <c r="H2162" s="429" t="s">
        <v>515</v>
      </c>
      <c r="I2162" s="430" t="s">
        <v>516</v>
      </c>
      <c r="J2162" s="101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1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14" t="s">
        <v>467</v>
      </c>
      <c r="H2165" s="414" t="s">
        <v>516</v>
      </c>
      <c r="I2165" s="415" t="s">
        <v>516</v>
      </c>
      <c r="J2165" s="101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1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14"/>
      <c r="H2166" s="429" t="s">
        <v>516</v>
      </c>
      <c r="I2166" s="430" t="s">
        <v>516</v>
      </c>
      <c r="J2166" s="101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1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1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0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0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9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9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9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9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9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9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9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9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1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1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1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1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9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9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1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1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9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9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9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9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9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9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9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9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9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9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9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9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9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9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9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9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9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9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9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9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9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9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9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9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9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9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9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9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9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9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9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9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9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9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9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9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9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9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9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9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9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9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9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9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9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9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9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9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9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9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9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9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9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9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9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9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9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9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1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1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1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1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1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1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9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9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9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9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9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9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9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9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9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9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9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9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9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9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9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9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9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9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9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9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9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9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9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9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9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9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9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1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1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1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9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9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9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9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9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9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9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9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9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9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9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9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9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9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95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7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5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8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7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5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8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5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8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5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8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2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2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7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2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2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5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5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5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7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7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7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2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2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2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5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5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5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5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5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96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5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2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2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2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5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2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2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5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5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2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5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7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7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2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7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7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5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5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5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5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5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2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7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2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2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7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2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2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2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2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5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2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2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5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2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7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2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7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7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7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7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7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2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5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2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2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2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2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5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5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2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95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7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2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2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7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2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2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96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5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2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2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5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5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5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5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5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2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2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5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2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2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5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2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7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2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5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2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7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7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7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2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5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2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5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5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5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7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7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7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7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7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7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2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7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5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8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2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2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5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2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7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2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5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5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95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7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2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2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7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7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2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2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2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2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7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7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7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7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2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5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2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2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2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2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7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2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2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7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5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2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2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2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2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2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5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7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7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7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7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7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7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2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2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7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7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2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5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5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5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5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2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2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7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7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2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7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7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7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7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7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2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7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2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2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7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2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5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5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2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7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2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7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5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8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2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2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5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2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2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2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2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5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5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5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5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5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2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2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7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2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5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5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2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2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7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2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2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2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7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2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2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5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7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7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7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7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7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2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5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5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2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2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5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5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5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5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5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2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7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7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7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5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2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2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2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5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2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2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2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2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5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5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5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5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2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2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5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2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2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2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2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7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5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6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7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6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7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5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5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5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5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5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5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5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6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5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6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5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5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96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5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97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5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5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7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5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6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7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7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7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7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6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7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5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5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6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5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5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6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6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7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7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6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7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7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7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7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6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7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6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6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5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6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6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7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5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5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5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6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5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5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6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7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7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5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6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95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7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6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7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7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7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5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5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6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6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96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5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97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5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97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5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5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5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6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6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7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6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7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7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96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5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5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6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7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6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7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6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7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7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7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7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5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6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7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5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8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5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8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6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7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6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6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7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6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96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5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5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7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7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7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7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7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5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7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6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5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6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7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5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6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7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6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7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5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5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6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5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7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5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5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6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5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5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5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6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7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7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6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6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7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5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5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6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6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5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5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6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5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6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7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7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7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6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5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5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6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5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7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5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6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6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6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5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6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6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7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5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6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6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5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7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5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6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6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6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6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5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6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7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7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6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7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95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7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95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8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6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7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7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5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6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6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7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5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5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6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6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95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7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6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7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7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5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5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6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7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6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6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5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6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7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6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7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6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6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7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5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5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7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6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7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7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6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6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95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7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6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7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5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6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7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5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6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7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5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6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5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7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5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7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5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5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7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5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5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5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5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6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7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7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6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7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6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7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7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7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7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5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8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6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95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7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6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7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5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6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7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96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5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5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6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5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6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7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7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7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6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6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5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7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5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5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6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7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6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7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5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5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6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96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5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5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6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6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7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7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6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7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7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7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6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95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7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6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7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7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7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6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7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5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5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6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6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95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7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6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7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7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7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95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7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5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8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7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5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6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6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6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7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7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7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6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7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6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96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5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5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5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5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6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95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7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6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7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6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5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5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6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7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6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7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5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5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5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7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7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6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5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6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7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96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5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5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5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5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5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5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6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7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6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96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5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5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7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7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6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96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5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5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6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7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7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5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8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5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8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5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5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5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5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5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5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5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5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5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7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5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2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5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5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5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5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6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6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6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5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7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5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5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5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5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5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7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7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7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5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6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7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5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8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5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8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5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8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7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6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7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6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7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7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6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7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7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5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5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6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95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7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6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7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7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7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5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5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7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7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7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5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5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6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7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6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6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7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5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8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7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7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7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6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7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6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95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7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6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7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5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6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6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5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5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7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5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5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6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7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5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7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6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7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7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5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5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5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6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6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6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6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7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6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5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7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5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5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5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5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5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6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7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7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6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7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5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5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6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6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5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7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5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8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5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8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5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8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5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8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7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7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7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7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6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7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5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6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5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6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5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5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5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7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5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7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5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7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5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6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6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6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7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7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5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5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95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8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5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8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7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7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6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7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7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7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5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8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6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6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7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6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7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6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6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5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6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7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7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6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6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7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7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5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6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7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5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5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5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5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6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6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6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7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6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7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6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6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5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5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7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7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7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5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6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5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5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5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5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7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5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7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5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7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5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5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5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6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7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7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7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95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7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6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7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5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6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6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6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7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6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5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5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5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6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5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6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6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5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5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7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6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6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5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5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6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6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6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96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5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5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6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8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8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8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8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98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2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8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8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8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7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7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7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7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6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7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7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8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7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7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7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7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7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3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3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6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6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5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6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7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5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6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7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7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6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7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7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7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7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6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5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5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7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7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6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6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6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5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5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5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6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5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5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5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5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5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7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7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6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6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6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6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5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5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7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8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6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5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6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70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5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6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7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6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5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5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6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6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70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6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6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5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5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5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5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96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71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7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96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5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70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5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6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70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70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5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5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5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5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5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5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6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70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70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70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70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70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5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5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5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5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5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6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5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5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5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6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5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5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5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5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5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6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5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5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5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5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6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6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64" t="s">
        <v>1633</v>
      </c>
      <c r="H6861" s="483" t="s">
        <v>1795</v>
      </c>
      <c r="I6861" s="484" t="s">
        <v>1795</v>
      </c>
      <c r="J6861" s="485"/>
      <c r="K6861" s="483" t="str">
        <f t="shared" ref="K6861:K6922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6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6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67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60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95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96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55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55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71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60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72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60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5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60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5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60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53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5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1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6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70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70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70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</row>
    <row r="6908" spans="1:17" ht="19.5" hidden="1" thickBot="1" x14ac:dyDescent="0.3">
      <c r="A6908" s="95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5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5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60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97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97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70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70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70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5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60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4"/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2016</v>
      </c>
    </row>
    <row r="6924" spans="1:16" x14ac:dyDescent="0.25">
      <c r="A6924" s="95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79"/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thickBot="1" x14ac:dyDescent="0.3">
      <c r="A6925" s="960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87"/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x14ac:dyDescent="0.25">
      <c r="A6926" s="95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63"/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2000</v>
      </c>
    </row>
    <row r="6927" spans="1:16" ht="19.5" thickBot="1" x14ac:dyDescent="0.3">
      <c r="A6927" s="95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48"/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2001</v>
      </c>
    </row>
    <row r="6928" spans="1:16" x14ac:dyDescent="0.25">
      <c r="A6928" s="95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79"/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2002</v>
      </c>
    </row>
    <row r="6929" spans="1:18" x14ac:dyDescent="0.25">
      <c r="A6929" s="95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91"/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2003</v>
      </c>
    </row>
    <row r="6930" spans="1:18" x14ac:dyDescent="0.25">
      <c r="A6930" s="95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91"/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2004</v>
      </c>
    </row>
    <row r="6931" spans="1:18" ht="19.5" thickBot="1" x14ac:dyDescent="0.3">
      <c r="A6931" s="960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86"/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2005</v>
      </c>
    </row>
    <row r="6932" spans="1:18" x14ac:dyDescent="0.25">
      <c r="A6932" s="95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57" t="s">
        <v>1634</v>
      </c>
      <c r="H6932" s="535" t="s">
        <v>1926</v>
      </c>
      <c r="I6932" s="537" t="s">
        <v>1928</v>
      </c>
      <c r="J6932" s="538"/>
      <c r="K6932" s="531"/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2029</v>
      </c>
      <c r="R6932" s="833" t="s">
        <v>1997</v>
      </c>
    </row>
    <row r="6933" spans="1:18" x14ac:dyDescent="0.25">
      <c r="A6933" s="953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55"/>
      <c r="H6933" s="816" t="s">
        <v>1926</v>
      </c>
      <c r="I6933" s="816" t="s">
        <v>1928</v>
      </c>
      <c r="J6933" s="818"/>
      <c r="K6933" s="943"/>
      <c r="L6933" s="816" t="s">
        <v>28</v>
      </c>
      <c r="M6933" s="816">
        <v>1005</v>
      </c>
      <c r="N6933" s="811">
        <v>0.5</v>
      </c>
      <c r="O6933" s="897" t="s">
        <v>2006</v>
      </c>
      <c r="P6933" s="867" t="s">
        <v>2032</v>
      </c>
    </row>
    <row r="6934" spans="1:18" x14ac:dyDescent="0.25">
      <c r="A6934" s="953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55"/>
      <c r="H6934" s="816" t="s">
        <v>1926</v>
      </c>
      <c r="I6934" s="816" t="s">
        <v>1928</v>
      </c>
      <c r="J6934" s="818"/>
      <c r="K6934" s="943"/>
      <c r="L6934" s="816" t="s">
        <v>28</v>
      </c>
      <c r="M6934" s="816">
        <v>570</v>
      </c>
      <c r="N6934" s="811">
        <v>0.5</v>
      </c>
      <c r="O6934" s="897" t="s">
        <v>2007</v>
      </c>
      <c r="P6934" s="867" t="s">
        <v>2031</v>
      </c>
    </row>
    <row r="6935" spans="1:18" ht="19.5" thickBot="1" x14ac:dyDescent="0.3">
      <c r="A6935" s="95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56"/>
      <c r="H6935" s="788" t="s">
        <v>1926</v>
      </c>
      <c r="I6935" s="788" t="s">
        <v>1928</v>
      </c>
      <c r="J6935" s="790"/>
      <c r="K6935" s="877"/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2030</v>
      </c>
      <c r="R6935" s="833" t="s">
        <v>1996</v>
      </c>
    </row>
    <row r="6936" spans="1:18" x14ac:dyDescent="0.25">
      <c r="A6936" s="958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3"/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1998</v>
      </c>
    </row>
    <row r="6937" spans="1:18" ht="19.5" thickBot="1" x14ac:dyDescent="0.3">
      <c r="A6937" s="960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5"/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1999</v>
      </c>
    </row>
    <row r="6938" spans="1:18" ht="19.5" thickBot="1" x14ac:dyDescent="0.3">
      <c r="A6938" s="503">
        <f>MAX(A6858:A6937)+1</f>
        <v>4313</v>
      </c>
      <c r="B6938" s="636" t="s">
        <v>1891</v>
      </c>
      <c r="C6938" s="637" t="s">
        <v>32</v>
      </c>
      <c r="D6938" s="638">
        <v>17.8</v>
      </c>
      <c r="E6938" s="639"/>
      <c r="F6938" s="640" t="s">
        <v>16</v>
      </c>
      <c r="G6938" s="641"/>
      <c r="H6938" s="640" t="s">
        <v>1926</v>
      </c>
      <c r="I6938" s="642"/>
      <c r="J6938" s="643"/>
      <c r="K6938" s="636"/>
      <c r="L6938" s="640" t="s">
        <v>266</v>
      </c>
      <c r="M6938" s="640">
        <v>17807.399999999998</v>
      </c>
      <c r="N6938" s="644">
        <v>0.58333333333333337</v>
      </c>
      <c r="O6938" s="897" t="s">
        <v>1945</v>
      </c>
    </row>
    <row r="6939" spans="1:18" x14ac:dyDescent="0.25">
      <c r="A6939" s="958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2022</v>
      </c>
    </row>
    <row r="6940" spans="1:18" ht="19.5" thickBot="1" x14ac:dyDescent="0.3">
      <c r="A6940" s="960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2023</v>
      </c>
    </row>
    <row r="6941" spans="1:18" x14ac:dyDescent="0.25">
      <c r="A6941" s="95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2020</v>
      </c>
    </row>
    <row r="6942" spans="1:18" ht="19.5" thickBot="1" x14ac:dyDescent="0.3">
      <c r="A6942" s="95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2021</v>
      </c>
    </row>
    <row r="6943" spans="1:18" x14ac:dyDescent="0.25">
      <c r="A6943" s="961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64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2024</v>
      </c>
      <c r="R6943" s="946"/>
    </row>
    <row r="6944" spans="1:18" x14ac:dyDescent="0.25">
      <c r="A6944" s="96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65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2025</v>
      </c>
    </row>
    <row r="6945" spans="1:18" x14ac:dyDescent="0.25">
      <c r="A6945" s="96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966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2015</v>
      </c>
      <c r="P6945" s="867" t="s">
        <v>2026</v>
      </c>
    </row>
    <row r="6946" spans="1:18" x14ac:dyDescent="0.25">
      <c r="A6946" s="96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966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2013</v>
      </c>
      <c r="P6946" s="867" t="s">
        <v>2027</v>
      </c>
    </row>
    <row r="6947" spans="1:18" ht="19.5" thickBot="1" x14ac:dyDescent="0.3">
      <c r="A6947" s="96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67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2028</v>
      </c>
    </row>
    <row r="6948" spans="1:18" x14ac:dyDescent="0.25">
      <c r="A6948" s="95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55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2017</v>
      </c>
      <c r="R6948" s="946"/>
    </row>
    <row r="6949" spans="1:18" x14ac:dyDescent="0.25">
      <c r="A6949" s="953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55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2014</v>
      </c>
      <c r="P6949" s="867" t="s">
        <v>2018</v>
      </c>
      <c r="R6949" s="946"/>
    </row>
    <row r="6950" spans="1:18" ht="19.5" thickBot="1" x14ac:dyDescent="0.3">
      <c r="A6950" s="95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56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2019</v>
      </c>
    </row>
    <row r="6951" spans="1:18" x14ac:dyDescent="0.25">
      <c r="A6951" s="958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/>
      <c r="F6951" s="483" t="s">
        <v>16</v>
      </c>
      <c r="G6951" s="549" t="s">
        <v>844</v>
      </c>
      <c r="H6951" s="483" t="s">
        <v>1984</v>
      </c>
      <c r="I6951" s="484"/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1986</v>
      </c>
    </row>
    <row r="6952" spans="1:18" ht="19.5" thickBot="1" x14ac:dyDescent="0.3">
      <c r="A6952" s="960"/>
      <c r="B6952" s="645" t="s">
        <v>1926</v>
      </c>
      <c r="C6952" s="646" t="s">
        <v>55</v>
      </c>
      <c r="D6952" s="647">
        <v>13.019</v>
      </c>
      <c r="E6952" s="648"/>
      <c r="F6952" s="649" t="s">
        <v>16</v>
      </c>
      <c r="G6952" s="650" t="s">
        <v>845</v>
      </c>
      <c r="H6952" s="649" t="s">
        <v>1984</v>
      </c>
      <c r="I6952" s="651"/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1985</v>
      </c>
    </row>
    <row r="6953" spans="1:18" ht="19.5" thickBot="1" x14ac:dyDescent="0.3">
      <c r="A6953" s="944">
        <f t="shared" ref="A6953:A6980" si="208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/>
      <c r="F6953" s="556" t="s">
        <v>30</v>
      </c>
      <c r="G6953" s="945"/>
      <c r="H6953" s="556" t="s">
        <v>1984</v>
      </c>
      <c r="I6953" s="558"/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</row>
    <row r="6954" spans="1:18" ht="19.5" thickBot="1" x14ac:dyDescent="0.3">
      <c r="A6954" s="513">
        <f t="shared" si="208"/>
        <v>4320</v>
      </c>
      <c r="B6954" s="514" t="s">
        <v>1928</v>
      </c>
      <c r="C6954" s="515" t="s">
        <v>32</v>
      </c>
      <c r="D6954" s="516">
        <v>17.887</v>
      </c>
      <c r="E6954" s="517"/>
      <c r="F6954" s="518" t="s">
        <v>16</v>
      </c>
      <c r="G6954" s="519"/>
      <c r="H6954" s="518" t="s">
        <v>2008</v>
      </c>
      <c r="I6954" s="520"/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2011</v>
      </c>
    </row>
    <row r="6955" spans="1:18" ht="19.5" thickBot="1" x14ac:dyDescent="0.3">
      <c r="A6955" s="503">
        <f t="shared" si="208"/>
        <v>4321</v>
      </c>
      <c r="B6955" s="504" t="s">
        <v>1928</v>
      </c>
      <c r="C6955" s="505" t="s">
        <v>32</v>
      </c>
      <c r="D6955" s="506">
        <v>17.949000000000002</v>
      </c>
      <c r="E6955" s="507"/>
      <c r="F6955" s="508" t="s">
        <v>16</v>
      </c>
      <c r="G6955" s="509"/>
      <c r="H6955" s="508" t="s">
        <v>2008</v>
      </c>
      <c r="I6955" s="510"/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2009</v>
      </c>
    </row>
    <row r="6956" spans="1:18" ht="19.5" thickBot="1" x14ac:dyDescent="0.3">
      <c r="A6956" s="513">
        <f t="shared" si="208"/>
        <v>4322</v>
      </c>
      <c r="B6956" s="514" t="s">
        <v>1928</v>
      </c>
      <c r="C6956" s="515" t="s">
        <v>32</v>
      </c>
      <c r="D6956" s="516">
        <v>17.5</v>
      </c>
      <c r="E6956" s="517"/>
      <c r="F6956" s="518" t="s">
        <v>16</v>
      </c>
      <c r="G6956" s="519"/>
      <c r="H6956" s="518" t="s">
        <v>2008</v>
      </c>
      <c r="I6956" s="520"/>
      <c r="J6956" s="521"/>
      <c r="K6956" s="514"/>
      <c r="L6956" s="518" t="s">
        <v>266</v>
      </c>
      <c r="M6956" s="518">
        <v>17503.2</v>
      </c>
      <c r="N6956" s="522">
        <v>0.5</v>
      </c>
      <c r="O6956" s="897" t="s">
        <v>2010</v>
      </c>
      <c r="P6956" s="867" t="s">
        <v>2043</v>
      </c>
    </row>
    <row r="6957" spans="1:18" ht="19.5" thickBot="1" x14ac:dyDescent="0.3">
      <c r="A6957" s="947">
        <f t="shared" si="208"/>
        <v>4323</v>
      </c>
      <c r="B6957" s="552" t="s">
        <v>1928</v>
      </c>
      <c r="C6957" s="553" t="s">
        <v>848</v>
      </c>
      <c r="D6957" s="554">
        <v>18.02</v>
      </c>
      <c r="E6957" s="555"/>
      <c r="F6957" s="556" t="s">
        <v>16</v>
      </c>
      <c r="G6957" s="948"/>
      <c r="H6957" s="556" t="s">
        <v>2008</v>
      </c>
      <c r="I6957" s="558"/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2012</v>
      </c>
    </row>
    <row r="6958" spans="1:18" ht="19.5" thickBot="1" x14ac:dyDescent="0.3">
      <c r="A6958" s="513">
        <f t="shared" si="208"/>
        <v>4324</v>
      </c>
      <c r="B6958" s="514" t="s">
        <v>1984</v>
      </c>
      <c r="C6958" s="515" t="s">
        <v>26</v>
      </c>
      <c r="D6958" s="516">
        <v>17</v>
      </c>
      <c r="E6958" s="517"/>
      <c r="F6958" s="518" t="s">
        <v>16</v>
      </c>
      <c r="G6958" s="519"/>
      <c r="H6958" s="518" t="s">
        <v>2033</v>
      </c>
      <c r="I6958" s="520"/>
      <c r="J6958" s="521"/>
      <c r="K6958" s="514"/>
      <c r="L6958" s="518" t="s">
        <v>265</v>
      </c>
      <c r="M6958" s="518">
        <v>17009.400000000001</v>
      </c>
      <c r="N6958" s="522">
        <v>0.375</v>
      </c>
      <c r="O6958" s="897" t="s">
        <v>2034</v>
      </c>
    </row>
    <row r="6959" spans="1:18" ht="19.5" thickBot="1" x14ac:dyDescent="0.3">
      <c r="A6959" s="503">
        <f t="shared" si="208"/>
        <v>4325</v>
      </c>
      <c r="B6959" s="504" t="s">
        <v>1984</v>
      </c>
      <c r="C6959" s="505" t="s">
        <v>26</v>
      </c>
      <c r="D6959" s="506">
        <v>17.47</v>
      </c>
      <c r="E6959" s="507"/>
      <c r="F6959" s="508" t="s">
        <v>16</v>
      </c>
      <c r="G6959" s="509"/>
      <c r="H6959" s="508" t="s">
        <v>2033</v>
      </c>
      <c r="I6959" s="510"/>
      <c r="J6959" s="511"/>
      <c r="K6959" s="504"/>
      <c r="L6959" s="508" t="s">
        <v>265</v>
      </c>
      <c r="M6959" s="508">
        <v>17628.839999999997</v>
      </c>
      <c r="N6959" s="512">
        <v>0.41666666666666669</v>
      </c>
      <c r="O6959" s="897" t="s">
        <v>2035</v>
      </c>
    </row>
    <row r="6960" spans="1:18" x14ac:dyDescent="0.25">
      <c r="A6960" s="958">
        <f t="shared" si="208"/>
        <v>4326</v>
      </c>
      <c r="B6960" s="479" t="s">
        <v>1984</v>
      </c>
      <c r="C6960" s="480" t="s">
        <v>981</v>
      </c>
      <c r="D6960" s="481">
        <v>4.726</v>
      </c>
      <c r="E6960" s="482"/>
      <c r="F6960" s="483" t="s">
        <v>16</v>
      </c>
      <c r="G6960" s="951" t="s">
        <v>844</v>
      </c>
      <c r="H6960" s="483" t="s">
        <v>2033</v>
      </c>
      <c r="I6960" s="484"/>
      <c r="J6960" s="485"/>
      <c r="K6960" s="479"/>
      <c r="L6960" s="483" t="s">
        <v>266</v>
      </c>
      <c r="M6960" s="483">
        <v>4727.74</v>
      </c>
      <c r="N6960" s="486">
        <v>0.45833333333333331</v>
      </c>
      <c r="O6960" s="897" t="s">
        <v>2038</v>
      </c>
    </row>
    <row r="6961" spans="1:15" x14ac:dyDescent="0.25">
      <c r="A6961" s="959"/>
      <c r="B6961" s="523" t="s">
        <v>1984</v>
      </c>
      <c r="C6961" s="524" t="s">
        <v>981</v>
      </c>
      <c r="D6961" s="525">
        <v>2</v>
      </c>
      <c r="E6961" s="526"/>
      <c r="F6961" s="527" t="s">
        <v>16</v>
      </c>
      <c r="G6961" s="561" t="s">
        <v>845</v>
      </c>
      <c r="H6961" s="527" t="s">
        <v>2033</v>
      </c>
      <c r="I6961" s="528"/>
      <c r="J6961" s="529"/>
      <c r="K6961" s="523"/>
      <c r="L6961" s="527" t="s">
        <v>266</v>
      </c>
      <c r="M6961" s="527">
        <v>2004.6</v>
      </c>
      <c r="N6961" s="530">
        <v>0.45833333333333331</v>
      </c>
      <c r="O6961" s="897" t="s">
        <v>2037</v>
      </c>
    </row>
    <row r="6962" spans="1:15" x14ac:dyDescent="0.25">
      <c r="A6962" s="959"/>
      <c r="B6962" s="523" t="s">
        <v>1984</v>
      </c>
      <c r="C6962" s="524" t="s">
        <v>41</v>
      </c>
      <c r="D6962" s="525">
        <v>4.5149999999999997</v>
      </c>
      <c r="E6962" s="526"/>
      <c r="F6962" s="527" t="s">
        <v>16</v>
      </c>
      <c r="G6962" s="561" t="s">
        <v>844</v>
      </c>
      <c r="H6962" s="527" t="s">
        <v>2033</v>
      </c>
      <c r="I6962" s="528"/>
      <c r="J6962" s="529"/>
      <c r="K6962" s="523"/>
      <c r="L6962" s="527" t="s">
        <v>266</v>
      </c>
      <c r="M6962" s="527">
        <v>4606.380000000001</v>
      </c>
      <c r="N6962" s="530">
        <v>0.45833333333333331</v>
      </c>
      <c r="O6962" s="897" t="s">
        <v>2041</v>
      </c>
    </row>
    <row r="6963" spans="1:15" x14ac:dyDescent="0.25">
      <c r="A6963" s="959"/>
      <c r="B6963" s="523" t="s">
        <v>1984</v>
      </c>
      <c r="C6963" s="524" t="s">
        <v>41</v>
      </c>
      <c r="D6963" s="525">
        <v>5</v>
      </c>
      <c r="E6963" s="526"/>
      <c r="F6963" s="527" t="s">
        <v>16</v>
      </c>
      <c r="G6963" s="561" t="s">
        <v>845</v>
      </c>
      <c r="H6963" s="527" t="s">
        <v>2033</v>
      </c>
      <c r="I6963" s="528"/>
      <c r="J6963" s="529"/>
      <c r="K6963" s="523"/>
      <c r="L6963" s="527" t="s">
        <v>266</v>
      </c>
      <c r="M6963" s="527">
        <v>5007.5999999999995</v>
      </c>
      <c r="N6963" s="530">
        <v>0.45833333333333331</v>
      </c>
      <c r="O6963" s="897" t="s">
        <v>2039</v>
      </c>
    </row>
    <row r="6964" spans="1:15" ht="19.5" thickBot="1" x14ac:dyDescent="0.3">
      <c r="A6964" s="960"/>
      <c r="B6964" s="645" t="s">
        <v>1984</v>
      </c>
      <c r="C6964" s="646" t="s">
        <v>32</v>
      </c>
      <c r="D6964" s="647">
        <v>3.9649999999999999</v>
      </c>
      <c r="E6964" s="648"/>
      <c r="F6964" s="649" t="s">
        <v>16</v>
      </c>
      <c r="G6964" s="650" t="s">
        <v>1702</v>
      </c>
      <c r="H6964" s="649" t="s">
        <v>2033</v>
      </c>
      <c r="I6964" s="651"/>
      <c r="J6964" s="652"/>
      <c r="K6964" s="645"/>
      <c r="L6964" s="649" t="s">
        <v>266</v>
      </c>
      <c r="M6964" s="649">
        <v>3968.3</v>
      </c>
      <c r="N6964" s="653">
        <v>0.45833333333333331</v>
      </c>
      <c r="O6964" s="897" t="s">
        <v>2040</v>
      </c>
    </row>
    <row r="6965" spans="1:15" ht="19.5" thickBot="1" x14ac:dyDescent="0.3">
      <c r="A6965" s="503">
        <f t="shared" si="208"/>
        <v>4327</v>
      </c>
      <c r="B6965" s="504" t="s">
        <v>1984</v>
      </c>
      <c r="C6965" s="505" t="s">
        <v>26</v>
      </c>
      <c r="D6965" s="506">
        <v>17.405000000000001</v>
      </c>
      <c r="E6965" s="507"/>
      <c r="F6965" s="508" t="s">
        <v>16</v>
      </c>
      <c r="G6965" s="509"/>
      <c r="H6965" s="508" t="s">
        <v>2036</v>
      </c>
      <c r="I6965" s="510"/>
      <c r="J6965" s="511"/>
      <c r="K6965" s="504"/>
      <c r="L6965" s="508" t="s">
        <v>265</v>
      </c>
      <c r="M6965" s="508">
        <v>17570.419999999998</v>
      </c>
      <c r="N6965" s="512">
        <v>0.375</v>
      </c>
      <c r="O6965" s="897" t="s">
        <v>2042</v>
      </c>
    </row>
    <row r="6966" spans="1:15" x14ac:dyDescent="0.25">
      <c r="A6966" s="958">
        <f t="shared" si="208"/>
        <v>4328</v>
      </c>
      <c r="B6966" s="479" t="s">
        <v>1984</v>
      </c>
      <c r="C6966" s="480" t="s">
        <v>15</v>
      </c>
      <c r="D6966" s="481">
        <v>4.8869999999999996</v>
      </c>
      <c r="E6966" s="482"/>
      <c r="F6966" s="483" t="s">
        <v>16</v>
      </c>
      <c r="G6966" s="951"/>
      <c r="H6966" s="483" t="s">
        <v>2036</v>
      </c>
      <c r="I6966" s="484"/>
      <c r="J6966" s="485"/>
      <c r="K6966" s="479"/>
      <c r="L6966" s="483" t="s">
        <v>28</v>
      </c>
      <c r="M6966" s="483">
        <v>5035.8899999999994</v>
      </c>
      <c r="N6966" s="486">
        <v>0.41666666666666669</v>
      </c>
      <c r="O6966" s="897" t="s">
        <v>2044</v>
      </c>
    </row>
    <row r="6967" spans="1:15" x14ac:dyDescent="0.25">
      <c r="A6967" s="959"/>
      <c r="B6967" s="523" t="s">
        <v>1984</v>
      </c>
      <c r="C6967" s="524" t="s">
        <v>24</v>
      </c>
      <c r="D6967" s="525">
        <v>3.7</v>
      </c>
      <c r="E6967" s="526"/>
      <c r="F6967" s="527" t="s">
        <v>16</v>
      </c>
      <c r="G6967" s="561"/>
      <c r="H6967" s="527" t="s">
        <v>2036</v>
      </c>
      <c r="I6967" s="528"/>
      <c r="J6967" s="529"/>
      <c r="K6967" s="523"/>
      <c r="L6967" s="527" t="s">
        <v>28</v>
      </c>
      <c r="M6967" s="527">
        <v>3810.32</v>
      </c>
      <c r="N6967" s="530">
        <v>0.41666666666666669</v>
      </c>
      <c r="O6967" s="897" t="s">
        <v>2046</v>
      </c>
    </row>
    <row r="6968" spans="1:15" ht="19.5" thickBot="1" x14ac:dyDescent="0.3">
      <c r="A6968" s="960"/>
      <c r="B6968" s="645" t="s">
        <v>1984</v>
      </c>
      <c r="C6968" s="646" t="s">
        <v>764</v>
      </c>
      <c r="D6968" s="647">
        <v>9.1</v>
      </c>
      <c r="E6968" s="648"/>
      <c r="F6968" s="649" t="s">
        <v>16</v>
      </c>
      <c r="G6968" s="650"/>
      <c r="H6968" s="649" t="s">
        <v>2036</v>
      </c>
      <c r="I6968" s="651"/>
      <c r="J6968" s="652"/>
      <c r="K6968" s="645"/>
      <c r="L6968" s="649" t="s">
        <v>28</v>
      </c>
      <c r="M6968" s="649">
        <v>9153.0000000000018</v>
      </c>
      <c r="N6968" s="653">
        <v>0.41666666666666669</v>
      </c>
      <c r="O6968" s="897" t="s">
        <v>2045</v>
      </c>
    </row>
    <row r="6969" spans="1:15" ht="56.25" x14ac:dyDescent="0.25">
      <c r="A6969" s="968">
        <f t="shared" si="208"/>
        <v>4329</v>
      </c>
      <c r="B6969" s="531" t="s">
        <v>1984</v>
      </c>
      <c r="C6969" s="532" t="s">
        <v>587</v>
      </c>
      <c r="D6969" s="533">
        <v>0.59299999999999997</v>
      </c>
      <c r="E6969" s="534"/>
      <c r="F6969" s="535" t="s">
        <v>16</v>
      </c>
      <c r="G6969" s="536" t="s">
        <v>794</v>
      </c>
      <c r="H6969" s="535" t="s">
        <v>2036</v>
      </c>
      <c r="I6969" s="537"/>
      <c r="J6969" s="538"/>
      <c r="K6969" s="531"/>
      <c r="L6969" s="535" t="s">
        <v>28</v>
      </c>
      <c r="M6969" s="535">
        <v>593.28</v>
      </c>
      <c r="N6969" s="539">
        <v>0.45833333333333331</v>
      </c>
      <c r="O6969" s="897" t="s">
        <v>2048</v>
      </c>
    </row>
    <row r="6970" spans="1:15" x14ac:dyDescent="0.25">
      <c r="A6970" s="970"/>
      <c r="B6970" s="563" t="s">
        <v>1984</v>
      </c>
      <c r="C6970" s="564" t="s">
        <v>587</v>
      </c>
      <c r="D6970" s="565">
        <v>8.36</v>
      </c>
      <c r="E6970" s="566"/>
      <c r="F6970" s="567" t="s">
        <v>16</v>
      </c>
      <c r="G6970" s="568" t="s">
        <v>47</v>
      </c>
      <c r="H6970" s="567" t="s">
        <v>2036</v>
      </c>
      <c r="I6970" s="569"/>
      <c r="J6970" s="570"/>
      <c r="K6970" s="563"/>
      <c r="L6970" s="567" t="s">
        <v>28</v>
      </c>
      <c r="M6970" s="567">
        <v>8360.8799999999992</v>
      </c>
      <c r="N6970" s="571">
        <v>0.45833333333333331</v>
      </c>
      <c r="O6970" s="897" t="s">
        <v>2049</v>
      </c>
    </row>
    <row r="6971" spans="1:15" ht="19.5" thickBot="1" x14ac:dyDescent="0.3">
      <c r="A6971" s="969"/>
      <c r="B6971" s="636" t="s">
        <v>1984</v>
      </c>
      <c r="C6971" s="637" t="s">
        <v>47</v>
      </c>
      <c r="D6971" s="638">
        <v>8.7309999999999999</v>
      </c>
      <c r="E6971" s="639"/>
      <c r="F6971" s="640" t="s">
        <v>16</v>
      </c>
      <c r="G6971" s="949"/>
      <c r="H6971" s="640" t="s">
        <v>2036</v>
      </c>
      <c r="I6971" s="642"/>
      <c r="J6971" s="643"/>
      <c r="K6971" s="636"/>
      <c r="L6971" s="640" t="s">
        <v>28</v>
      </c>
      <c r="M6971" s="640">
        <v>8891.8900000000012</v>
      </c>
      <c r="N6971" s="644">
        <v>0.45833333333333331</v>
      </c>
      <c r="O6971" s="897" t="s">
        <v>2047</v>
      </c>
    </row>
    <row r="6972" spans="1:15" x14ac:dyDescent="0.25">
      <c r="A6972" s="676">
        <f t="shared" si="208"/>
        <v>4330</v>
      </c>
      <c r="B6972" s="676"/>
      <c r="C6972" s="473"/>
      <c r="D6972" s="474"/>
      <c r="E6972" s="475"/>
      <c r="F6972" s="676"/>
      <c r="G6972" s="476"/>
      <c r="H6972" s="676"/>
      <c r="I6972" s="477"/>
      <c r="J6972" s="950"/>
      <c r="K6972" s="676"/>
      <c r="L6972" s="676"/>
      <c r="M6972" s="676"/>
      <c r="N6972" s="676"/>
    </row>
    <row r="6973" spans="1:15" x14ac:dyDescent="0.25">
      <c r="A6973" s="676">
        <f t="shared" si="208"/>
        <v>4331</v>
      </c>
      <c r="B6973" s="676"/>
      <c r="C6973" s="473"/>
      <c r="D6973" s="474"/>
      <c r="E6973" s="475"/>
      <c r="F6973" s="676"/>
      <c r="G6973" s="476"/>
      <c r="H6973" s="676"/>
      <c r="I6973" s="477"/>
      <c r="J6973" s="950"/>
      <c r="K6973" s="676"/>
      <c r="L6973" s="676"/>
      <c r="M6973" s="676"/>
      <c r="N6973" s="676"/>
    </row>
    <row r="6974" spans="1:15" x14ac:dyDescent="0.25">
      <c r="A6974" s="676">
        <f t="shared" si="208"/>
        <v>4332</v>
      </c>
      <c r="B6974" s="676"/>
      <c r="C6974" s="473"/>
      <c r="D6974" s="474"/>
      <c r="E6974" s="475"/>
      <c r="F6974" s="676"/>
      <c r="G6974" s="476"/>
      <c r="H6974" s="676"/>
      <c r="I6974" s="477"/>
      <c r="J6974" s="950"/>
      <c r="K6974" s="676"/>
      <c r="L6974" s="676"/>
      <c r="M6974" s="676"/>
      <c r="N6974" s="676"/>
    </row>
    <row r="6975" spans="1:15" x14ac:dyDescent="0.25">
      <c r="A6975" s="676">
        <f t="shared" si="208"/>
        <v>4333</v>
      </c>
      <c r="B6975" s="676"/>
      <c r="C6975" s="473"/>
      <c r="D6975" s="474"/>
      <c r="E6975" s="475"/>
      <c r="F6975" s="676"/>
      <c r="G6975" s="476"/>
      <c r="H6975" s="676"/>
      <c r="I6975" s="477"/>
      <c r="J6975" s="950"/>
      <c r="K6975" s="676"/>
      <c r="L6975" s="676"/>
      <c r="M6975" s="676"/>
      <c r="N6975" s="676"/>
    </row>
    <row r="6976" spans="1:15" x14ac:dyDescent="0.25">
      <c r="A6976" s="676">
        <f t="shared" si="208"/>
        <v>4334</v>
      </c>
      <c r="B6976" s="676"/>
      <c r="C6976" s="473"/>
      <c r="D6976" s="474"/>
      <c r="E6976" s="475"/>
      <c r="F6976" s="676"/>
      <c r="G6976" s="476"/>
      <c r="H6976" s="676"/>
      <c r="I6976" s="477"/>
      <c r="J6976" s="950"/>
      <c r="K6976" s="676"/>
      <c r="L6976" s="676"/>
      <c r="M6976" s="676"/>
      <c r="N6976" s="676"/>
    </row>
    <row r="6977" spans="1:14" x14ac:dyDescent="0.25">
      <c r="A6977" s="676">
        <f t="shared" si="208"/>
        <v>4335</v>
      </c>
      <c r="B6977" s="676"/>
      <c r="C6977" s="473"/>
      <c r="D6977" s="474"/>
      <c r="E6977" s="475"/>
      <c r="F6977" s="676"/>
      <c r="G6977" s="476"/>
      <c r="H6977" s="676"/>
      <c r="I6977" s="477"/>
      <c r="J6977" s="950"/>
      <c r="K6977" s="676"/>
      <c r="L6977" s="676"/>
      <c r="M6977" s="676"/>
      <c r="N6977" s="676"/>
    </row>
    <row r="6978" spans="1:14" x14ac:dyDescent="0.25">
      <c r="A6978" s="676">
        <f t="shared" si="208"/>
        <v>4336</v>
      </c>
      <c r="B6978" s="676"/>
      <c r="C6978" s="473"/>
      <c r="D6978" s="474"/>
      <c r="E6978" s="475"/>
      <c r="F6978" s="676"/>
      <c r="G6978" s="476"/>
      <c r="H6978" s="676"/>
      <c r="I6978" s="477"/>
      <c r="J6978" s="950"/>
      <c r="K6978" s="676"/>
      <c r="L6978" s="676"/>
      <c r="M6978" s="676"/>
      <c r="N6978" s="676"/>
    </row>
    <row r="6979" spans="1:14" x14ac:dyDescent="0.25">
      <c r="A6979" s="676">
        <f t="shared" si="208"/>
        <v>4337</v>
      </c>
      <c r="B6979" s="676"/>
      <c r="C6979" s="473"/>
      <c r="D6979" s="474"/>
      <c r="E6979" s="475"/>
      <c r="F6979" s="676"/>
      <c r="G6979" s="476"/>
      <c r="H6979" s="676"/>
      <c r="I6979" s="477"/>
      <c r="J6979" s="950"/>
      <c r="K6979" s="676"/>
      <c r="L6979" s="676"/>
      <c r="M6979" s="676"/>
      <c r="N6979" s="676"/>
    </row>
    <row r="6980" spans="1:14" x14ac:dyDescent="0.25">
      <c r="A6980" s="676">
        <f t="shared" si="208"/>
        <v>4338</v>
      </c>
      <c r="B6980" s="676"/>
      <c r="C6980" s="473"/>
      <c r="D6980" s="474"/>
      <c r="E6980" s="475"/>
      <c r="F6980" s="676"/>
      <c r="G6980" s="476"/>
      <c r="H6980" s="676"/>
      <c r="I6980" s="477"/>
      <c r="J6980" s="950"/>
      <c r="K6980" s="676"/>
      <c r="L6980" s="676"/>
      <c r="M6980" s="676"/>
      <c r="N6980" s="676"/>
    </row>
  </sheetData>
  <autoFilter ref="A2:R6960" xr:uid="{9E4C531E-AD50-422A-AC7C-8C5AF4C19268}">
    <filterColumn colId="10">
      <filters blank="1"/>
    </filterColumn>
  </autoFilter>
  <mergeCells count="1821">
    <mergeCell ref="A6960:A6964"/>
    <mergeCell ref="A6966:A6968"/>
    <mergeCell ref="A6969:A6971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A5140:A5141"/>
    <mergeCell ref="G6604:G6605"/>
    <mergeCell ref="A6608:A6609"/>
    <mergeCell ref="A6589:A6590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G5196:G5197"/>
    <mergeCell ref="G5126:G5127"/>
    <mergeCell ref="A5338:A5341"/>
    <mergeCell ref="A5059:A5060"/>
    <mergeCell ref="A5006:A5008"/>
    <mergeCell ref="A5009:A5011"/>
    <mergeCell ref="A5012:A50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35:A5036"/>
    <mergeCell ref="G5047:G5048"/>
    <mergeCell ref="A5029:A5030"/>
    <mergeCell ref="A5063:A5064"/>
    <mergeCell ref="A5065:A5069"/>
    <mergeCell ref="G5091:G5092"/>
    <mergeCell ref="A5102:A5104"/>
    <mergeCell ref="G5116:G5117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5229:A5230"/>
    <mergeCell ref="A5142:A5144"/>
    <mergeCell ref="A5150:A5152"/>
    <mergeCell ref="A5146:A5147"/>
    <mergeCell ref="G5202:G5203"/>
    <mergeCell ref="G5232:G5233"/>
    <mergeCell ref="G5436:G5437"/>
    <mergeCell ref="A5172:A5175"/>
    <mergeCell ref="A5183:A518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2:A5213"/>
    <mergeCell ref="A5321:A5325"/>
    <mergeCell ref="A5270:A5271"/>
    <mergeCell ref="G5408:G5409"/>
    <mergeCell ref="G5275:G5276"/>
    <mergeCell ref="A5326:A5327"/>
    <mergeCell ref="A5196:A5197"/>
    <mergeCell ref="A5188:A5189"/>
    <mergeCell ref="A5176:A5178"/>
    <mergeCell ref="A5385:A5386"/>
    <mergeCell ref="A5387:A5388"/>
    <mergeCell ref="A5199:A5200"/>
    <mergeCell ref="A5298:A5299"/>
    <mergeCell ref="A5342:A5343"/>
    <mergeCell ref="A5348:A5350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5539:A5541"/>
    <mergeCell ref="A5527:A5528"/>
    <mergeCell ref="A5504:A5505"/>
    <mergeCell ref="A5452:A5453"/>
    <mergeCell ref="A6668:A6669"/>
    <mergeCell ref="A5577:A5578"/>
    <mergeCell ref="A6654:A6655"/>
    <mergeCell ref="G5489:G5490"/>
    <mergeCell ref="G5534:G5538"/>
    <mergeCell ref="A5542:A5546"/>
    <mergeCell ref="A5518:A5522"/>
    <mergeCell ref="A5497:A5498"/>
    <mergeCell ref="A5499:A5500"/>
    <mergeCell ref="A6617:A6618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5575:A5576"/>
    <mergeCell ref="G5549:G5550"/>
    <mergeCell ref="A5549:A5550"/>
    <mergeCell ref="A5595:A5596"/>
    <mergeCell ref="A6836:A6838"/>
    <mergeCell ref="G6718:G672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G6878:G6879"/>
    <mergeCell ref="A6856:A6859"/>
    <mergeCell ref="G6861:G6863"/>
    <mergeCell ref="A6693:A6694"/>
    <mergeCell ref="A6673:A6674"/>
    <mergeCell ref="A6703:A6706"/>
    <mergeCell ref="A6817:A6821"/>
    <mergeCell ref="A6891:A6892"/>
    <mergeCell ref="A6881:A688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861:A6863"/>
    <mergeCell ref="A6822:A6828"/>
    <mergeCell ref="A6791:A6793"/>
    <mergeCell ref="A6789:A6790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771:A6774"/>
    <mergeCell ref="A6833:A6835"/>
    <mergeCell ref="A6908:A6911"/>
    <mergeCell ref="A6912:A6913"/>
    <mergeCell ref="G6876:G687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2026-08-12T13:32:51Z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