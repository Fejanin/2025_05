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546BA2C-1E2E-4636-8A81-1F31B9E9E0E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Лист1!$A$2:$R$7434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7" i="1" s="1"/>
  <c r="A7370" i="1" l="1"/>
  <c r="A7375" i="1" s="1"/>
  <c r="A7380" i="1" s="1"/>
  <c r="A7381" i="1" s="1"/>
  <c r="A7385" i="1" l="1"/>
  <c r="A7386" i="1" s="1"/>
  <c r="A7389" i="1" l="1"/>
  <c r="A7392" i="1" l="1"/>
  <c r="A7396" i="1" s="1"/>
  <c r="A7397" i="1" l="1"/>
  <c r="A7398" i="1" s="1"/>
  <c r="A7401" i="1" l="1"/>
  <c r="A7403" i="1" s="1"/>
  <c r="A7405" i="1" l="1"/>
  <c r="A7407" i="1" s="1"/>
  <c r="A7409" i="1" s="1"/>
  <c r="A7412" i="1" s="1"/>
  <c r="A7414" i="1" s="1"/>
  <c r="A7415" i="1" s="1"/>
  <c r="A7417" i="1" s="1"/>
  <c r="A7418" i="1" s="1"/>
  <c r="A7419" i="1" s="1"/>
  <c r="A7420" i="1" s="1"/>
  <c r="A7423" i="1" l="1"/>
  <c r="A7424" i="1" s="1"/>
  <c r="A7425" i="1" s="1"/>
  <c r="A7427" i="1" s="1"/>
  <c r="A7430" i="1" s="1"/>
  <c r="A7431" i="1" s="1"/>
  <c r="A7432" i="1" s="1"/>
  <c r="A7433" i="1" s="1"/>
  <c r="A7434" i="1" s="1"/>
</calcChain>
</file>

<file path=xl/sharedStrings.xml><?xml version="1.0" encoding="utf-8"?>
<sst xmlns="http://schemas.openxmlformats.org/spreadsheetml/2006/main" count="48227" uniqueCount="3006">
  <si>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</si>
  <si>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</si>
  <si>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</si>
  <si>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</si>
  <si>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</si>
  <si>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</si>
  <si>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</si>
  <si>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</si>
  <si>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</si>
  <si>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</si>
  <si>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</si>
  <si>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</si>
  <si>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</si>
  <si>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</si>
  <si>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</si>
  <si>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</si>
  <si>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</si>
  <si>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</si>
  <si>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</si>
  <si>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</si>
  <si>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</si>
  <si>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</si>
  <si>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</si>
  <si>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</si>
  <si>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</si>
  <si>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</si>
  <si>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</si>
  <si>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</si>
  <si>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</si>
  <si>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</si>
  <si>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</si>
  <si>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</si>
  <si>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</si>
  <si>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</si>
  <si>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</si>
  <si>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</si>
  <si>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</si>
  <si>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</si>
  <si>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</si>
  <si>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</si>
  <si>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</si>
  <si>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</si>
  <si>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</si>
  <si>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</si>
  <si>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</si>
  <si>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</si>
  <si>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</si>
  <si>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</si>
  <si>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</si>
  <si>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</si>
  <si>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</si>
  <si>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</si>
  <si>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</si>
  <si>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</si>
  <si>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</si>
  <si>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</si>
  <si>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</si>
  <si>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</si>
  <si>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</si>
  <si>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</si>
  <si>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</si>
  <si>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</si>
  <si>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</si>
  <si>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</si>
  <si>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</si>
  <si>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</si>
  <si>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</si>
  <si>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</si>
  <si>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</si>
  <si>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</si>
  <si>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</si>
  <si>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</si>
  <si>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</si>
  <si>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</si>
  <si>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</si>
  <si>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</si>
  <si>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</si>
  <si>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</si>
  <si>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</si>
  <si>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</si>
  <si>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</si>
  <si>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</si>
  <si>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</si>
  <si>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</si>
  <si>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</si>
  <si>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</si>
  <si>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</si>
  <si>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</si>
  <si>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</si>
  <si>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</si>
  <si>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</si>
  <si>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</si>
  <si>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</si>
  <si>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</si>
  <si>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</si>
  <si>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</si>
  <si>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</si>
  <si>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</si>
  <si>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</si>
  <si>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</si>
  <si>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</si>
  <si>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</si>
  <si>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</si>
  <si>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</si>
  <si>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</si>
  <si>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</si>
  <si>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</si>
  <si>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</si>
  <si>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</si>
  <si>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</si>
  <si>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</si>
  <si>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</si>
  <si>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</si>
  <si>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</si>
  <si>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</si>
  <si>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</si>
  <si>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</si>
  <si>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</si>
  <si>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</si>
  <si>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</si>
  <si>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</si>
  <si>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</si>
  <si>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</si>
  <si>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</si>
  <si>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</si>
  <si>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</si>
  <si>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</si>
  <si>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</si>
  <si>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</si>
  <si>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</si>
  <si>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</si>
  <si>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</si>
  <si>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</si>
  <si>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</si>
  <si>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</si>
  <si>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</si>
  <si>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</si>
  <si>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</si>
  <si>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</si>
  <si>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</si>
  <si>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</si>
  <si>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</si>
  <si>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</si>
  <si>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</si>
  <si>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</si>
  <si>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</si>
  <si>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</si>
  <si>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</si>
  <si>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</si>
  <si>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</si>
  <si>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</si>
  <si>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</si>
  <si>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</si>
  <si>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</si>
  <si>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</si>
  <si>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</si>
  <si>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</si>
  <si>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</si>
  <si>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</si>
  <si>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</si>
  <si>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</si>
  <si>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</si>
  <si>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</si>
  <si>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</si>
  <si>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</si>
  <si>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</si>
  <si>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</si>
  <si>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</si>
  <si>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</si>
  <si>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</si>
  <si>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</si>
  <si>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</si>
  <si>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</si>
  <si>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</si>
  <si>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</si>
  <si>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</si>
  <si>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</si>
  <si>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</si>
  <si>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</si>
  <si>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</si>
  <si>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</si>
  <si>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</si>
  <si>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</si>
  <si>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</si>
  <si>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</si>
  <si>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</si>
  <si>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</si>
  <si>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</si>
  <si>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</si>
  <si>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</si>
  <si>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</si>
  <si>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</si>
  <si>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</si>
  <si>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</si>
  <si>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</si>
  <si>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</si>
  <si>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</si>
  <si>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</si>
  <si>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</si>
  <si>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</si>
  <si>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</si>
  <si>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</si>
  <si>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</si>
  <si>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</si>
  <si>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</si>
  <si>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</si>
  <si>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</si>
  <si>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</si>
  <si>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</si>
  <si>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</si>
  <si>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</si>
  <si>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</si>
  <si>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</si>
  <si>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</si>
  <si>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</si>
  <si>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</si>
  <si>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</si>
  <si>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</si>
  <si>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</si>
  <si>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</si>
  <si>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</si>
  <si>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</si>
  <si>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</si>
  <si>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</si>
  <si>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</si>
  <si>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</si>
  <si>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</si>
  <si>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</si>
  <si>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</si>
  <si>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</si>
  <si>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</si>
  <si>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</si>
  <si>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</si>
  <si>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</si>
  <si>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</si>
  <si>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</si>
  <si>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</si>
  <si>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</si>
  <si>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</si>
  <si>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</si>
  <si>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</si>
  <si>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</si>
  <si>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</si>
  <si>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</si>
  <si>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</si>
  <si>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</si>
  <si>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</si>
  <si>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</si>
  <si>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</si>
  <si>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</si>
  <si>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</si>
  <si>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</si>
  <si>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</si>
  <si>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</si>
  <si>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</si>
  <si>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</si>
  <si>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</si>
  <si>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</si>
  <si>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</si>
  <si>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</si>
  <si>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</si>
  <si>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</si>
  <si>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</si>
  <si>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</si>
  <si>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</si>
  <si>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</si>
  <si>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</si>
  <si>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</si>
  <si>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</si>
  <si>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</si>
  <si>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</si>
  <si>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</si>
  <si>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</si>
  <si>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</si>
  <si>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</si>
  <si>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</si>
  <si>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</si>
  <si>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</si>
  <si>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</si>
  <si>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</si>
  <si>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</si>
  <si>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</si>
  <si>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</si>
  <si>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</si>
  <si>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</si>
  <si>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</si>
  <si>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</si>
  <si>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</si>
  <si>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</si>
  <si>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</si>
  <si>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</si>
  <si>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</si>
  <si>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</si>
  <si>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</si>
  <si>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</si>
  <si>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</si>
  <si>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</si>
  <si>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</si>
  <si>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</si>
  <si>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</si>
  <si>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</si>
  <si>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</si>
  <si>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</si>
  <si>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</si>
  <si>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</si>
  <si>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</si>
  <si>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</si>
  <si>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</si>
  <si>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</si>
  <si>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</si>
  <si>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</si>
  <si>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</si>
  <si>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</si>
  <si>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</si>
  <si>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</si>
  <si>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</si>
  <si>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</si>
  <si>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</si>
  <si>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</si>
  <si>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</si>
  <si>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</si>
  <si>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</si>
  <si>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</si>
  <si>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</si>
  <si>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</si>
  <si>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</si>
  <si>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</si>
  <si>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</si>
  <si>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</si>
  <si>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</si>
  <si>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</si>
  <si>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</si>
  <si>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</si>
  <si>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</si>
  <si>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</si>
  <si>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</si>
  <si>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</si>
  <si>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</si>
  <si>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</si>
  <si>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</si>
  <si>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</si>
  <si>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</si>
  <si>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</si>
  <si>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</si>
  <si>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</si>
  <si>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</si>
  <si>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</si>
  <si>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</si>
  <si>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</si>
  <si>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</si>
  <si>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</si>
  <si>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</si>
  <si>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</si>
  <si>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</si>
  <si>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</si>
  <si>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</si>
  <si>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</si>
  <si>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</si>
  <si>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</si>
  <si>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</si>
  <si>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</si>
  <si>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</si>
  <si>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</si>
  <si>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</si>
  <si>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</si>
  <si>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</si>
  <si>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</si>
  <si>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</si>
  <si>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</si>
  <si>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</si>
  <si>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</si>
  <si>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</si>
  <si>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</si>
  <si>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</si>
  <si>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</si>
  <si>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</si>
  <si>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</si>
  <si>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</si>
  <si>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</si>
  <si>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</si>
  <si>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</si>
  <si>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</si>
  <si>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</si>
  <si>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</si>
  <si>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</si>
  <si>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</si>
  <si>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</si>
  <si>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</si>
  <si>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</si>
  <si>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</si>
  <si>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</si>
  <si>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</si>
  <si>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</si>
  <si>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</si>
  <si>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</si>
  <si>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</si>
  <si>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</si>
  <si>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</si>
  <si>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</si>
  <si>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</si>
  <si>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</si>
  <si>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</si>
  <si>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</si>
  <si>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</si>
  <si>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</si>
  <si>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</si>
  <si>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</si>
  <si>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</si>
  <si>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</si>
  <si>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</si>
  <si>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</si>
  <si>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</si>
  <si>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</si>
  <si>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</si>
  <si>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</si>
  <si>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</si>
  <si>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</si>
  <si>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</si>
  <si>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</si>
  <si>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</si>
  <si>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</si>
  <si>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</si>
  <si>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</si>
  <si>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</si>
  <si>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</si>
  <si>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</si>
  <si>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</si>
  <si>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</si>
  <si>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</si>
  <si>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</si>
  <si>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</si>
  <si>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</si>
  <si>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</si>
  <si>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</si>
  <si>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</si>
  <si>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</si>
  <si>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</si>
  <si>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</si>
  <si>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</si>
  <si>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</si>
  <si>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</si>
  <si>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</si>
  <si>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</si>
  <si>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</si>
  <si>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</si>
  <si>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</si>
  <si>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</si>
  <si>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</si>
  <si>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</si>
  <si>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</si>
  <si>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</si>
  <si>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</si>
  <si>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</si>
  <si>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</si>
  <si>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</si>
  <si>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</si>
  <si>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</si>
  <si>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</si>
  <si>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</si>
  <si>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</si>
  <si>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</si>
  <si>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</si>
  <si>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</si>
  <si>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</si>
  <si>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</si>
  <si>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</si>
  <si>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</si>
  <si>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</si>
  <si>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</si>
  <si>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</si>
  <si>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</si>
  <si>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</si>
  <si>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</si>
  <si>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</si>
  <si>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</si>
  <si>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</si>
  <si>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</si>
  <si>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</si>
  <si>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</si>
  <si>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</si>
  <si>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</si>
  <si>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</si>
  <si>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</si>
  <si>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</si>
  <si>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</si>
  <si>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</si>
  <si>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</si>
  <si>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</si>
  <si>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</si>
  <si>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</si>
  <si>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</si>
  <si>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</si>
  <si>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</si>
  <si>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</si>
  <si>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</si>
  <si>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</si>
  <si>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</si>
  <si>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</si>
  <si>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</si>
  <si>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</si>
  <si>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</si>
  <si>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</si>
  <si>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</si>
  <si>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</si>
  <si>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</si>
  <si>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</si>
  <si>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</si>
  <si>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</si>
  <si>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</si>
  <si>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</si>
  <si>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</si>
  <si>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</si>
  <si>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</si>
  <si>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</si>
  <si>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</si>
  <si>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</si>
  <si>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</si>
  <si>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</si>
  <si>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</si>
  <si>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</si>
  <si>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</si>
  <si>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</si>
  <si>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</si>
  <si>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</si>
  <si>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</si>
  <si>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</si>
  <si>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</si>
  <si>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</si>
  <si>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</si>
  <si>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</si>
  <si>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</si>
  <si>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</si>
  <si>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</si>
  <si>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</si>
  <si>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</si>
  <si>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</si>
  <si>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</si>
  <si>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</si>
  <si>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</si>
  <si>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</si>
  <si>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</si>
  <si>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</si>
  <si>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</si>
  <si>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</si>
  <si>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</si>
  <si>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</si>
  <si>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</si>
  <si>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</si>
  <si>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</si>
  <si>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</si>
  <si>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</si>
  <si>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</si>
  <si>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</si>
  <si>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</si>
  <si>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</si>
  <si>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</si>
  <si>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</si>
  <si>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</si>
  <si>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</si>
  <si>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</si>
  <si>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</si>
  <si>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</si>
  <si>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</si>
  <si>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</si>
  <si>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</si>
  <si>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</si>
  <si>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</si>
  <si>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</si>
  <si>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</si>
  <si>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</si>
  <si>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</si>
  <si>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</si>
  <si>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</si>
  <si>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</si>
  <si>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</si>
  <si>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</si>
  <si>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</si>
  <si>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</si>
  <si>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</si>
  <si>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</si>
  <si>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</si>
  <si>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</si>
  <si>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</si>
  <si>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</si>
  <si>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</si>
  <si>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</si>
  <si>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</si>
  <si>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</si>
  <si>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</si>
  <si>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</si>
  <si>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</si>
  <si>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</si>
  <si>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</si>
  <si>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</si>
  <si>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</si>
  <si>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</si>
  <si>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</si>
  <si>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</si>
  <si>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</si>
  <si>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</si>
  <si>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</si>
  <si>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</si>
  <si>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</si>
  <si>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</si>
  <si>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</si>
  <si>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</si>
  <si>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</si>
  <si>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</si>
  <si>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</si>
  <si>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</si>
  <si>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</si>
  <si>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</si>
  <si>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</si>
  <si>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</si>
  <si>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</si>
  <si>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</si>
  <si>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</si>
  <si>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</si>
  <si>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</si>
  <si>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</si>
  <si>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</si>
  <si>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</si>
  <si>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</si>
  <si>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</si>
  <si>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</si>
  <si>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</si>
  <si>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</si>
  <si>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</si>
  <si>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</si>
  <si>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</si>
  <si>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</si>
  <si>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</si>
  <si>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</si>
  <si>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</si>
  <si>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</si>
  <si>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</si>
  <si>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</si>
  <si>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</si>
  <si>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</si>
  <si>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</si>
  <si>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</si>
  <si>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</si>
  <si>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</si>
  <si>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</si>
  <si>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</si>
  <si>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</si>
  <si>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</si>
  <si>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</si>
  <si>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</si>
  <si>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</si>
  <si>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</si>
  <si>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</si>
  <si>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</si>
  <si>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</si>
  <si>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</si>
  <si>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</si>
  <si>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</si>
  <si>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</si>
  <si>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</si>
  <si>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</si>
  <si>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</si>
  <si>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</si>
  <si>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</si>
  <si>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</si>
  <si>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</si>
  <si>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</si>
  <si>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</si>
  <si>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</si>
  <si>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</si>
  <si>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</si>
  <si>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</si>
  <si>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</si>
  <si>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</si>
  <si>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</si>
  <si>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</si>
  <si>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</si>
  <si>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</si>
  <si>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</si>
  <si>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</si>
  <si>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</si>
  <si>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</si>
  <si>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</si>
  <si>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</si>
  <si>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</si>
  <si>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</si>
  <si>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</si>
  <si>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</si>
  <si>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</si>
  <si>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</si>
  <si>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</si>
  <si>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</si>
  <si>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</si>
  <si>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</si>
  <si>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</si>
  <si>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</si>
  <si>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</si>
  <si>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</si>
  <si>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</si>
  <si>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</si>
  <si>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</si>
  <si>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</si>
  <si>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</si>
  <si>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</si>
  <si>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</si>
  <si>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</si>
  <si>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</si>
  <si>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</si>
  <si>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</si>
  <si>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</si>
  <si>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</si>
  <si>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</si>
  <si>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</si>
  <si>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</si>
  <si>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</si>
  <si>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</si>
  <si>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</si>
  <si>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</si>
  <si>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</si>
  <si>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</si>
  <si>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</si>
  <si>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</si>
  <si>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</si>
  <si>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</si>
  <si>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</si>
  <si>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</si>
  <si>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</si>
  <si>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</si>
  <si>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</si>
  <si>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</si>
  <si>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</si>
  <si>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</si>
  <si>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</si>
  <si>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</si>
  <si>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</si>
  <si>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</si>
  <si>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</si>
  <si>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</si>
  <si>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</si>
  <si>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</si>
  <si>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</si>
  <si>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</si>
  <si>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</si>
  <si>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</si>
  <si>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</si>
  <si>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</si>
  <si>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</si>
  <si>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</si>
  <si>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</si>
  <si>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</si>
  <si>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</si>
  <si>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</si>
  <si>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</si>
  <si>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</si>
  <si>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</si>
  <si>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</si>
  <si>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</si>
  <si>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</si>
  <si>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</si>
  <si>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</si>
  <si>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</si>
  <si>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</si>
  <si>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</si>
  <si>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</si>
  <si>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</si>
  <si>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</si>
  <si>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</si>
  <si>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</si>
  <si>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</si>
  <si>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</si>
  <si>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</si>
  <si>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</si>
  <si>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</si>
  <si>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</si>
  <si>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</si>
  <si>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</si>
  <si>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</si>
  <si>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</si>
  <si>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</si>
  <si>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</si>
  <si>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</si>
  <si>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</si>
  <si>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</si>
  <si>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</si>
  <si>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</si>
  <si>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</si>
  <si>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</si>
  <si>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</si>
  <si>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</si>
  <si>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</si>
  <si>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</si>
  <si>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</si>
  <si>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</si>
  <si>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</si>
  <si>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</si>
  <si>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</si>
  <si>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</si>
  <si>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</si>
  <si>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</si>
  <si>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</si>
  <si>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</si>
  <si>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</si>
  <si>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</si>
  <si>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</si>
  <si>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</si>
  <si>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</si>
  <si>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</si>
  <si>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</si>
  <si>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</si>
  <si>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</si>
  <si>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</si>
  <si>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</si>
  <si>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</si>
  <si>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</si>
  <si>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</si>
  <si>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</si>
  <si>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</si>
  <si>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</si>
  <si>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</si>
  <si>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</si>
  <si>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</si>
  <si>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</si>
  <si>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</si>
  <si>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</si>
  <si>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</si>
  <si>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</si>
  <si>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</si>
  <si>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</si>
  <si>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</si>
  <si>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</si>
  <si>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</si>
  <si>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</si>
  <si>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</si>
  <si>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</si>
  <si>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</si>
  <si>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</si>
  <si>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</si>
  <si>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</si>
  <si>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</si>
  <si>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</si>
  <si>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</si>
  <si>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</si>
  <si>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</si>
  <si>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</si>
  <si>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</si>
  <si>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</si>
  <si>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</si>
  <si>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</si>
  <si>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</si>
  <si>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</si>
  <si>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</si>
  <si>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</si>
  <si>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</si>
  <si>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</si>
  <si>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</si>
  <si>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</si>
  <si>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</si>
  <si>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</si>
  <si>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</si>
  <si>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</si>
  <si>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</si>
  <si>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</si>
  <si>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</si>
  <si>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</si>
  <si>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</si>
  <si>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</si>
  <si>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</si>
  <si>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</si>
  <si>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</si>
  <si>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</si>
  <si>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</si>
  <si>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</si>
  <si>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</si>
  <si>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</si>
  <si>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</si>
  <si>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</si>
  <si>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</si>
  <si>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</si>
  <si>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</si>
  <si>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</si>
  <si>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</si>
  <si>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</si>
  <si>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</si>
  <si>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</si>
  <si>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</si>
  <si>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</si>
  <si>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</si>
  <si>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</si>
  <si>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</si>
  <si>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</si>
  <si>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</si>
  <si>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</si>
  <si>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</si>
  <si>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</si>
  <si>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</si>
  <si>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</si>
  <si>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</si>
  <si>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</si>
  <si>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</si>
  <si>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</si>
  <si>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</si>
  <si>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</si>
  <si>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</si>
  <si>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</si>
  <si>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</si>
  <si>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</si>
  <si>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</si>
  <si>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</si>
  <si>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</si>
  <si>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</si>
  <si>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</si>
  <si>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</si>
  <si>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</si>
  <si>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</si>
  <si>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</si>
  <si>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</si>
  <si>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</si>
  <si>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</si>
  <si>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</si>
  <si>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</si>
  <si>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</si>
  <si>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</si>
  <si>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</si>
  <si>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</si>
  <si>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</si>
  <si>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</si>
  <si>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</si>
  <si>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</si>
  <si>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</si>
  <si>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</si>
  <si>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</si>
  <si>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</si>
  <si>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</si>
  <si>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</si>
  <si>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</si>
  <si>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</si>
  <si>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</si>
  <si>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</si>
  <si>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</si>
  <si>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</si>
  <si>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</si>
  <si>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</si>
  <si>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</si>
  <si>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</si>
  <si>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</si>
  <si>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</si>
  <si>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</si>
  <si>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</si>
  <si>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</si>
  <si>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</si>
  <si>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</si>
  <si>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</si>
  <si>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</si>
  <si>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</si>
  <si>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</si>
  <si>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</si>
  <si>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</si>
  <si>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</si>
  <si>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</si>
  <si>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</si>
  <si>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</si>
  <si>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</si>
  <si>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</si>
  <si>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</si>
  <si>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</si>
  <si>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</si>
  <si>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</si>
  <si>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</si>
  <si>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</si>
  <si>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</si>
  <si>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</si>
  <si>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</si>
  <si>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</si>
  <si>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</si>
  <si>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</si>
  <si>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</si>
  <si>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</si>
  <si>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</si>
  <si>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</si>
  <si>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</si>
  <si>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</si>
  <si>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</si>
  <si>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</si>
  <si>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</si>
  <si>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</si>
  <si>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</si>
  <si>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</si>
  <si>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</si>
  <si>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</si>
  <si>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</si>
  <si>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</si>
  <si>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</si>
  <si>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</si>
  <si>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</si>
  <si>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</si>
  <si>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</si>
  <si>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</si>
  <si>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</si>
  <si>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</si>
  <si>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</si>
  <si>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</si>
  <si>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</si>
  <si>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</si>
  <si>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</si>
  <si>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</si>
  <si>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</si>
  <si>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</si>
  <si>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</si>
  <si>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</si>
  <si>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</si>
  <si>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</si>
  <si>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</si>
  <si>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</si>
  <si>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</si>
  <si>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</si>
  <si>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</si>
  <si>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</si>
  <si>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</si>
  <si>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</si>
  <si>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</si>
  <si>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</si>
  <si>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</si>
  <si>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</si>
  <si>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</si>
  <si>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</si>
  <si>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</si>
  <si>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</si>
  <si>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</si>
  <si>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</si>
  <si>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</si>
  <si>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</si>
  <si>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</si>
  <si>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</si>
  <si>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</si>
  <si>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</si>
  <si>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</si>
  <si>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</si>
  <si>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</si>
  <si>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</si>
  <si>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</si>
  <si>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</si>
  <si>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</si>
  <si>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</si>
  <si>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</si>
  <si>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</si>
  <si>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</si>
  <si>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</si>
  <si>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</si>
  <si>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</si>
  <si>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</si>
  <si>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</si>
  <si>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</si>
  <si>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</si>
  <si>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</si>
  <si>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</si>
  <si>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</si>
  <si>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</si>
  <si>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</si>
  <si>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</si>
  <si>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</si>
  <si>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</si>
  <si>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</si>
  <si>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</si>
  <si>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</si>
  <si>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</si>
  <si>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</si>
  <si>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</si>
  <si>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</si>
  <si>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</si>
  <si>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</si>
  <si>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</si>
  <si>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</si>
  <si>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</si>
  <si>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</si>
  <si>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</si>
  <si>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</si>
  <si>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</si>
  <si>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</si>
  <si>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</si>
  <si>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</si>
  <si>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</si>
  <si>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</si>
  <si>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</si>
  <si>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</si>
  <si>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</si>
  <si>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</si>
  <si>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</si>
  <si>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</si>
  <si>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</si>
  <si>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</si>
  <si>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</si>
  <si>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</si>
  <si>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</si>
  <si>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</si>
  <si>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</si>
  <si>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</si>
  <si>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</si>
  <si>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</si>
  <si>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</si>
  <si>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</si>
  <si>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</si>
  <si>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</si>
  <si>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</si>
  <si>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</si>
  <si>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</si>
  <si>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</si>
  <si>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</si>
  <si>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</si>
  <si>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</si>
  <si>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</si>
  <si>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</si>
  <si>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</si>
  <si>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</si>
  <si>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</si>
  <si>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</si>
  <si>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</si>
  <si>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</si>
  <si>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</si>
  <si>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</si>
  <si>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</si>
  <si>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</si>
  <si>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</si>
  <si>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</si>
  <si>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</si>
  <si>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</si>
  <si>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</si>
  <si>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</si>
  <si>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</si>
  <si>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</si>
  <si>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</si>
  <si>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</si>
  <si>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</si>
  <si>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</si>
  <si>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</si>
  <si>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</si>
  <si>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</si>
  <si>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</si>
  <si>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</si>
  <si>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</si>
  <si>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</si>
  <si>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</si>
  <si>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</si>
  <si>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</si>
  <si>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</si>
  <si>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</si>
  <si>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</si>
  <si>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</si>
  <si>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</si>
  <si>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</si>
  <si>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</si>
  <si>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</si>
  <si>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</si>
  <si>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</si>
  <si>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</si>
  <si>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</si>
  <si>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</si>
  <si>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</si>
  <si>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</si>
  <si>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</si>
  <si>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</si>
  <si>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</si>
  <si>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</si>
  <si>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</si>
  <si>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</si>
  <si>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</si>
  <si>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</si>
  <si>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</si>
  <si>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</si>
  <si>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</si>
  <si>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</si>
  <si>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</si>
  <si>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</si>
  <si>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</si>
  <si>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</si>
  <si>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</si>
  <si>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</si>
  <si>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</si>
  <si>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</si>
  <si>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</si>
  <si>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</si>
  <si>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</si>
  <si>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</si>
  <si>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</si>
  <si>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</si>
  <si>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</si>
  <si>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</si>
  <si>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</si>
  <si>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</si>
  <si>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</si>
  <si>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</si>
  <si>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</si>
  <si>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</si>
  <si>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</si>
  <si>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</si>
  <si>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</si>
  <si>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</si>
  <si>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</si>
  <si>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</si>
  <si>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</si>
  <si>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</si>
  <si>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</si>
  <si>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</si>
  <si>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</si>
  <si>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</si>
  <si>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</si>
  <si>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</si>
  <si>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</si>
  <si>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</si>
  <si>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</si>
  <si>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</si>
  <si>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</si>
  <si>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</si>
  <si>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</si>
  <si>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</si>
  <si>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</si>
  <si>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</si>
  <si>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</si>
  <si>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</si>
  <si>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</si>
  <si>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</si>
  <si>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</si>
  <si>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</si>
  <si>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</si>
  <si>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</si>
  <si>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</si>
  <si>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</si>
  <si>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</si>
  <si>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</si>
  <si>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</si>
  <si>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</si>
  <si>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</si>
  <si>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</si>
  <si>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</si>
  <si>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</si>
  <si>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</si>
  <si>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</si>
  <si>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</si>
  <si>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</si>
  <si>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</si>
  <si>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</si>
  <si>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</si>
  <si>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</si>
  <si>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</si>
  <si>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</si>
  <si>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</si>
  <si>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</si>
  <si>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</si>
  <si>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</si>
  <si>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</si>
  <si>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</si>
  <si>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</si>
  <si>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</si>
  <si>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</si>
  <si>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</si>
  <si>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</si>
  <si>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</si>
  <si>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</si>
  <si>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</si>
  <si>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</si>
  <si>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</si>
  <si>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</si>
  <si>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</si>
  <si>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</si>
  <si>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</si>
  <si>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</si>
  <si>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</si>
  <si>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</si>
  <si>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</si>
  <si>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</si>
  <si>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</si>
  <si>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</si>
  <si>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</si>
  <si>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</si>
  <si>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</si>
  <si>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</si>
  <si>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</si>
  <si>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</si>
  <si>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</si>
  <si>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</si>
  <si>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</si>
  <si>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</si>
  <si>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</si>
  <si>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</si>
  <si>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</si>
  <si>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</si>
  <si>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</si>
  <si>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</si>
  <si>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</si>
  <si>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</si>
  <si>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</si>
  <si>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</si>
  <si>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</si>
  <si>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</si>
  <si>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</si>
  <si>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</si>
  <si>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</si>
  <si>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</si>
  <si>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</si>
  <si>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</si>
  <si>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</si>
  <si>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</si>
  <si>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</si>
  <si>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</si>
  <si>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</si>
  <si>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</si>
  <si>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</si>
  <si>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</si>
  <si>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</si>
  <si>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</si>
  <si>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</si>
  <si>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</si>
  <si>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</si>
  <si>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</si>
  <si>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</si>
  <si>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</si>
  <si>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</si>
  <si>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</si>
  <si>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</si>
  <si>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</si>
  <si>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</si>
  <si>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</si>
  <si>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</si>
  <si>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</si>
  <si>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</si>
  <si>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</si>
  <si>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</si>
  <si>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</si>
  <si>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</si>
  <si>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</si>
  <si>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</si>
  <si>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</si>
  <si>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</si>
  <si>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</si>
  <si>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</si>
  <si>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</si>
  <si>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</si>
  <si>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</si>
  <si>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</si>
  <si>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</si>
  <si>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</si>
  <si>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</si>
  <si>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</si>
  <si>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</si>
  <si>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</si>
  <si>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</si>
  <si>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</si>
  <si>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</si>
  <si>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</si>
  <si>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</si>
  <si>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</si>
  <si>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</si>
  <si>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</si>
  <si>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</si>
  <si>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</si>
  <si>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</si>
  <si>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</si>
  <si>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</si>
  <si>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</si>
  <si>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</si>
  <si>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</si>
  <si>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</si>
  <si>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</si>
  <si>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</si>
  <si>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</si>
  <si>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</si>
  <si>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</si>
  <si>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</si>
  <si>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</si>
  <si>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</si>
  <si>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</si>
  <si>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</si>
  <si>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</si>
  <si>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</si>
  <si>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</si>
  <si>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</si>
  <si>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</si>
  <si>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</si>
  <si>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</si>
  <si>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</si>
  <si>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</si>
  <si>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</si>
  <si>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</si>
  <si>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</si>
  <si>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</si>
  <si>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</si>
  <si>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</si>
  <si>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</si>
  <si>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</si>
  <si>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</si>
  <si>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</si>
  <si>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</si>
  <si>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</si>
  <si>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</si>
  <si>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</si>
  <si>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</si>
  <si>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</si>
  <si>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</si>
  <si>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</si>
  <si>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</si>
  <si>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</si>
  <si>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</si>
  <si>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</si>
  <si>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</si>
  <si>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</si>
  <si>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</si>
  <si>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</si>
  <si>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</si>
  <si>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</si>
  <si>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</si>
  <si>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</si>
  <si>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</si>
  <si>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</si>
  <si>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</si>
  <si>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</si>
  <si>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</si>
  <si>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</si>
  <si>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</si>
  <si>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</si>
  <si>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</si>
  <si>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</si>
  <si>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</si>
  <si>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</si>
  <si>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</si>
  <si>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</si>
  <si>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</si>
  <si>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</si>
  <si>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</si>
  <si>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</si>
  <si>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</si>
  <si>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</si>
  <si>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</si>
  <si>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</si>
  <si>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</si>
  <si>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</si>
  <si>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</si>
  <si>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</si>
  <si>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</si>
  <si>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</si>
  <si>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</si>
  <si>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</si>
  <si>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</si>
  <si>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</si>
  <si>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</si>
  <si>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</si>
  <si>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</si>
  <si>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</si>
  <si>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</si>
  <si>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</si>
  <si>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</si>
  <si>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</si>
  <si>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</si>
  <si>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</si>
  <si>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</si>
  <si>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</si>
  <si>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</si>
  <si>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</si>
  <si>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</si>
  <si>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</si>
  <si>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</si>
  <si>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</si>
  <si>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</si>
  <si>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</si>
  <si>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</si>
  <si>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</si>
  <si>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</si>
  <si>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</si>
  <si>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</si>
  <si>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</si>
  <si>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</si>
  <si>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</si>
  <si>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</si>
  <si>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</si>
  <si>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</si>
  <si>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</si>
  <si>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</si>
  <si>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</si>
  <si>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</si>
  <si>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</si>
  <si>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</si>
  <si>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</si>
  <si>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</si>
  <si>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</si>
  <si>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</si>
  <si>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</si>
  <si>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</si>
  <si>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</si>
  <si>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</si>
  <si>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</si>
  <si>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</si>
  <si>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</si>
  <si>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</si>
  <si>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</si>
  <si>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</si>
  <si>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</si>
  <si>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</si>
  <si>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</si>
  <si>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</si>
  <si>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</si>
  <si>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</si>
  <si>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</si>
  <si>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</si>
  <si>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</si>
  <si>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</si>
  <si>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</si>
  <si>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</si>
  <si>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</si>
  <si>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</si>
  <si>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</si>
  <si>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</si>
  <si>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</si>
  <si>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</si>
  <si>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</si>
  <si>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</si>
  <si>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</si>
  <si>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</si>
  <si>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</si>
  <si>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</si>
  <si>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</si>
  <si>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</si>
  <si>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</si>
  <si>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</si>
  <si>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</si>
  <si>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</si>
  <si>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</si>
  <si>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</si>
  <si>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</si>
  <si>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</si>
  <si>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</si>
  <si>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</si>
  <si>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</si>
  <si>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</si>
  <si>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</si>
  <si>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</si>
  <si>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</si>
  <si>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</si>
  <si>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</si>
  <si>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</si>
  <si>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</si>
  <si>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</si>
  <si>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</si>
  <si>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</si>
  <si>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</si>
  <si>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</si>
  <si>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</si>
  <si>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</si>
  <si>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</si>
  <si>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</si>
  <si>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</si>
  <si>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</si>
  <si>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</si>
  <si>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</si>
  <si>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</si>
  <si>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</si>
  <si>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</si>
  <si>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</si>
  <si>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</si>
  <si>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</si>
  <si>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</si>
  <si>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</si>
  <si>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</si>
  <si>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</si>
  <si>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</si>
  <si>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</si>
  <si>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</si>
  <si>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</si>
  <si>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</si>
  <si>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</si>
  <si>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</si>
  <si>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</si>
  <si>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</si>
  <si>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</si>
  <si>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</si>
  <si>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</si>
  <si>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</si>
  <si>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</si>
  <si>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</si>
  <si>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</si>
  <si>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</si>
  <si>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</si>
  <si>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</si>
  <si>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</si>
  <si>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</si>
  <si>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</si>
  <si>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</si>
  <si>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</si>
  <si>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</si>
  <si>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</si>
  <si>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</si>
  <si>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</si>
  <si>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</si>
  <si>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</si>
  <si>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</si>
  <si>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</si>
  <si>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</si>
  <si>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</si>
  <si>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</si>
  <si>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</si>
  <si>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</si>
  <si>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</si>
  <si>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</si>
  <si>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</si>
  <si>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</si>
  <si>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</si>
  <si>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</si>
  <si>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</si>
  <si>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</si>
  <si>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</si>
  <si>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</si>
  <si>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</si>
  <si>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</si>
  <si>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</si>
  <si>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</si>
  <si>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</si>
  <si>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</si>
  <si>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</si>
  <si>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</si>
  <si>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</si>
  <si>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</si>
  <si>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</si>
  <si>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</si>
  <si>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</si>
  <si>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</si>
  <si>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</si>
  <si>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</si>
  <si>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</si>
  <si>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</si>
  <si>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</si>
  <si>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</si>
  <si>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</si>
  <si>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</si>
  <si>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</si>
  <si>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</si>
  <si>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</si>
  <si>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</si>
  <si>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</si>
  <si>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</si>
  <si>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</si>
  <si>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</si>
  <si>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</si>
  <si>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</si>
  <si>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</si>
  <si>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</si>
  <si>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</si>
  <si>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</si>
  <si>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</si>
  <si>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</si>
  <si>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</si>
  <si>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</si>
  <si>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</si>
  <si>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</si>
  <si>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</si>
  <si>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</si>
  <si>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</si>
  <si>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</si>
  <si>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</si>
  <si>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</si>
  <si>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</si>
  <si>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</si>
  <si>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</si>
  <si>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</si>
  <si>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</si>
  <si>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</si>
  <si>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</si>
  <si>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</si>
  <si>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</si>
  <si>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</si>
  <si>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</si>
  <si>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</si>
  <si>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</si>
  <si>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</si>
  <si>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</si>
  <si>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</si>
  <si>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</si>
  <si>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</si>
  <si>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</si>
  <si>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</si>
  <si>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</si>
  <si>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</si>
  <si>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</si>
  <si>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</si>
  <si>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</si>
  <si>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</si>
  <si>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</si>
  <si>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</si>
  <si>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</si>
  <si>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</si>
  <si>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</si>
  <si>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</si>
  <si>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</si>
  <si>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</si>
  <si>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</si>
  <si>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</si>
  <si>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</si>
  <si>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</si>
  <si>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</si>
  <si>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</si>
  <si>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</si>
  <si>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</si>
  <si>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</si>
  <si>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</si>
  <si>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</si>
  <si>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</si>
  <si>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</si>
  <si>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</si>
  <si>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</si>
  <si>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</si>
  <si>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</si>
  <si>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</si>
  <si>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</si>
  <si>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</si>
  <si>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</si>
  <si>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</si>
  <si>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</si>
  <si>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</si>
  <si>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</si>
  <si>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</si>
  <si>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</si>
  <si>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</si>
  <si>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</si>
  <si>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</si>
  <si>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</si>
  <si>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</si>
  <si>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</si>
  <si>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</si>
  <si>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</si>
  <si>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</si>
  <si>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</si>
  <si>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</si>
  <si>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</si>
  <si>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</si>
  <si>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</si>
  <si>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</si>
  <si>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</si>
  <si>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</si>
  <si>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</si>
  <si>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</si>
  <si>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</si>
  <si>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</si>
  <si>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</si>
  <si>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</si>
  <si>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</si>
  <si>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</si>
  <si>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</si>
  <si>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</si>
  <si>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</si>
  <si>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</si>
  <si>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</si>
  <si>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</si>
  <si>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</si>
  <si>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</si>
  <si>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</si>
  <si>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</si>
  <si>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</si>
  <si>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</si>
  <si>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</si>
  <si>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</si>
  <si>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</si>
  <si>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</si>
  <si>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</si>
  <si>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</si>
  <si>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</si>
  <si>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</si>
  <si>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</si>
  <si>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</si>
  <si>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</si>
  <si>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</si>
  <si>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</si>
  <si>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</si>
  <si>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</si>
  <si>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</si>
  <si>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</si>
  <si>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</si>
  <si>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</si>
  <si>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</si>
  <si>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</si>
  <si>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</si>
  <si>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</si>
  <si>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</si>
  <si>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</si>
  <si>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</si>
  <si>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</si>
  <si>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</si>
  <si>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</si>
  <si>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</si>
  <si>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</si>
  <si>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</si>
  <si>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</si>
  <si>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</si>
  <si>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</si>
  <si>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</si>
  <si>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</si>
  <si>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</si>
  <si>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</si>
  <si>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</si>
  <si>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</si>
  <si>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</si>
  <si>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</si>
  <si>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</si>
  <si>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</si>
  <si>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</si>
  <si>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</si>
  <si>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</si>
  <si>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</si>
  <si>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</si>
  <si>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</si>
  <si>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</si>
  <si>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</si>
  <si>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</si>
  <si>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</si>
  <si>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</si>
  <si>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</si>
  <si>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</si>
  <si>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</si>
  <si>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</si>
  <si>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</si>
  <si>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</si>
  <si>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</si>
  <si>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</si>
  <si>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</si>
  <si>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</si>
  <si>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</si>
  <si>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</si>
  <si>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</si>
  <si>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</si>
  <si>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</si>
  <si>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</si>
  <si>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</si>
  <si>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</si>
  <si>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</si>
  <si>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</si>
  <si>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</si>
  <si>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</si>
  <si>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</si>
  <si>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</si>
  <si>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</si>
  <si>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</si>
  <si>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</si>
  <si>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</si>
  <si>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</si>
  <si>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</si>
  <si>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</si>
  <si>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</si>
  <si>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</si>
  <si>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</si>
  <si>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</si>
  <si>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</si>
  <si>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</si>
  <si>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</si>
  <si>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</si>
  <si>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</si>
  <si>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</si>
  <si>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</si>
  <si>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</si>
  <si>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</si>
  <si>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</si>
  <si>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</si>
  <si>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</si>
  <si>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</si>
  <si>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</si>
  <si>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</si>
  <si>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</si>
  <si>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</si>
  <si>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</si>
  <si>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</si>
  <si>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</si>
  <si>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</si>
  <si>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</si>
  <si>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</si>
  <si>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</si>
  <si>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</si>
  <si>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</si>
  <si>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</si>
  <si>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</si>
  <si>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</si>
  <si>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</si>
  <si>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</si>
  <si>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</si>
  <si>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</si>
  <si>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</si>
  <si>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</si>
  <si>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</si>
  <si>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</si>
  <si>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</si>
  <si>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</si>
  <si>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</si>
  <si>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</si>
  <si>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</si>
  <si>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</si>
  <si>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</si>
  <si>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</si>
  <si>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</si>
  <si>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</si>
  <si>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</si>
  <si>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</si>
  <si>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</si>
  <si>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</si>
  <si>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</si>
  <si>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</si>
  <si>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</si>
  <si>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</si>
  <si>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</si>
  <si>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</si>
  <si>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</si>
  <si>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</si>
  <si>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</si>
  <si>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</si>
  <si>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</si>
  <si>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</si>
  <si>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</si>
  <si>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</si>
  <si>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</si>
  <si>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</si>
  <si>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</si>
  <si>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</si>
  <si>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</si>
  <si>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</si>
  <si>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</si>
  <si>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</si>
  <si>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</si>
  <si>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</si>
  <si>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</si>
  <si>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</si>
  <si>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</si>
  <si>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</si>
  <si>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</si>
  <si>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</si>
  <si>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</si>
  <si>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</si>
  <si>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</si>
  <si>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</si>
  <si>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</si>
  <si>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</si>
  <si>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</si>
  <si>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</si>
  <si>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</si>
  <si>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</si>
  <si>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</si>
  <si>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</si>
  <si>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</si>
  <si>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</si>
  <si>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</si>
  <si>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</si>
  <si>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</si>
  <si>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</si>
  <si>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</si>
  <si>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</si>
  <si>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</si>
  <si>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</si>
  <si>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</si>
  <si>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</si>
  <si>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</si>
  <si>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</si>
  <si>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</si>
  <si>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</si>
  <si>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</si>
  <si>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</si>
  <si>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</si>
  <si>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</si>
  <si>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</si>
  <si>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</si>
  <si>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</si>
  <si>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</si>
  <si>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</si>
  <si>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</si>
  <si>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</si>
  <si>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</si>
  <si>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</si>
  <si>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</si>
  <si>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</si>
  <si>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</si>
  <si>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</si>
  <si>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</si>
  <si>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</si>
  <si>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</si>
  <si>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</si>
  <si>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</si>
  <si>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</si>
  <si>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</si>
  <si>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</si>
  <si>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</si>
  <si>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</si>
  <si>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</si>
  <si>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</si>
  <si>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</si>
  <si>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</si>
  <si>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</si>
  <si>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</si>
  <si>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</si>
  <si>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</si>
  <si>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</si>
  <si>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</si>
  <si>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</si>
  <si>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</si>
  <si>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</si>
  <si>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</si>
  <si>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</si>
  <si>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</si>
  <si>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</si>
  <si>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</si>
  <si>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</si>
  <si>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</si>
  <si>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</si>
  <si>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</si>
  <si>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</si>
  <si>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</si>
  <si>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</si>
  <si>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</si>
  <si>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</si>
  <si>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</si>
  <si>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</si>
  <si>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</si>
  <si>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</si>
  <si>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</si>
  <si>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</si>
  <si>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</si>
  <si>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</si>
  <si>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</si>
  <si>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</si>
  <si>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</si>
  <si>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</si>
  <si>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</si>
  <si>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</si>
  <si>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</si>
  <si>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</si>
  <si>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</si>
  <si>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</si>
  <si>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</si>
  <si>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</si>
  <si>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</si>
  <si>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</si>
  <si>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</si>
  <si>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</si>
  <si>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</si>
  <si>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</si>
  <si>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</si>
  <si>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</si>
  <si>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</si>
  <si>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</si>
  <si>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</si>
  <si>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</si>
  <si>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</si>
  <si>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</si>
  <si>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</si>
  <si>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</si>
  <si>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</si>
  <si>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</si>
  <si>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</si>
  <si>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</si>
  <si>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</si>
  <si>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</si>
  <si>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</si>
  <si>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</si>
  <si>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</si>
  <si>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</si>
  <si>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</si>
  <si>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</si>
  <si>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</si>
  <si>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</si>
  <si>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</si>
  <si>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</si>
  <si>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</si>
  <si>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</si>
  <si>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</si>
  <si>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</si>
  <si>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</si>
  <si>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</si>
  <si>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</si>
  <si>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</si>
  <si>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</si>
  <si>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</si>
  <si>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</si>
  <si>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</si>
  <si>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</si>
  <si>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</si>
  <si>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</si>
  <si>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</si>
  <si>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</si>
  <si>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</si>
  <si>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</si>
  <si>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</si>
  <si>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</si>
  <si>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</si>
  <si>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</si>
  <si>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</si>
  <si>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</si>
  <si>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</si>
  <si>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</si>
  <si>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</si>
  <si>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</si>
  <si>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</si>
  <si>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</si>
  <si>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</si>
  <si>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</si>
  <si>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</si>
  <si>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</si>
  <si>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</si>
  <si>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</si>
  <si>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</si>
  <si>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</si>
  <si>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</si>
  <si>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</si>
  <si>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</si>
  <si>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</si>
  <si>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</si>
  <si>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</si>
  <si>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</si>
  <si>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</si>
  <si>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</si>
  <si>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</si>
  <si>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</si>
  <si>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</si>
  <si>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</si>
  <si>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</si>
  <si>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</si>
  <si>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</si>
  <si>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</si>
  <si>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</si>
  <si>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</si>
  <si>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</si>
  <si>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</si>
  <si>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</si>
  <si>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</si>
  <si>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</si>
  <si>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</si>
  <si>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</si>
  <si>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</si>
  <si>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</si>
  <si>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</si>
  <si>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</si>
  <si>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</si>
  <si>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</si>
  <si>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</si>
  <si>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</si>
  <si>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</si>
  <si>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</si>
  <si>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</si>
  <si>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</si>
  <si>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</si>
  <si>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</si>
  <si>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</si>
  <si>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</si>
  <si>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</si>
  <si>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</si>
  <si>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</si>
  <si>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</si>
  <si>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</si>
  <si>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</si>
  <si>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</si>
  <si>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</si>
  <si>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</si>
  <si>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</si>
  <si>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</si>
  <si>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</si>
  <si>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</si>
  <si>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</si>
  <si>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</si>
  <si>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</si>
  <si>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</si>
  <si>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</si>
  <si>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</si>
  <si>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</si>
  <si>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</si>
  <si>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</si>
  <si>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</si>
  <si>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</si>
  <si>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</si>
  <si>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</si>
  <si>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</si>
  <si>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</si>
  <si>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</si>
  <si>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</si>
  <si>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</si>
  <si>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</si>
  <si>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</si>
  <si>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</si>
  <si>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</si>
  <si>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</si>
  <si>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</si>
  <si>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</si>
  <si>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</si>
  <si>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</si>
  <si>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</si>
  <si>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</si>
  <si>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</si>
  <si>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</si>
  <si>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</si>
  <si>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</si>
  <si>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</si>
  <si>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</si>
  <si>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</si>
  <si>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</si>
  <si>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</si>
  <si>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</si>
  <si>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</si>
  <si>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</si>
  <si>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</si>
  <si>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</si>
  <si>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</si>
  <si>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</si>
  <si>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</si>
  <si>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</si>
  <si>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</si>
  <si>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</si>
  <si>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</si>
  <si>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</si>
  <si>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</si>
  <si>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</si>
  <si>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</si>
  <si>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</si>
  <si>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</si>
  <si>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</si>
  <si>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</si>
  <si>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</si>
  <si>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</si>
  <si>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</si>
  <si>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</si>
  <si>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</si>
  <si>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</si>
  <si>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</si>
  <si>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</si>
  <si>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</si>
  <si>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</si>
  <si>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</si>
  <si>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</si>
  <si>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</si>
  <si>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</si>
  <si>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</si>
  <si>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</si>
  <si>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</si>
  <si>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</si>
  <si>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</si>
  <si>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</si>
  <si>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</si>
  <si>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</si>
  <si>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</si>
  <si>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</si>
  <si>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</si>
  <si>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</si>
  <si>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</si>
  <si>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</si>
  <si>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</si>
  <si>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</si>
  <si>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</si>
  <si>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</si>
  <si>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</si>
  <si>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</si>
  <si>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</si>
  <si>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</si>
  <si>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</si>
  <si>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</si>
  <si>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</si>
  <si>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</si>
  <si>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</si>
  <si>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</si>
  <si>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</si>
  <si>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</si>
  <si>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</si>
  <si>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</si>
  <si>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</si>
  <si>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</si>
  <si>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</si>
  <si>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</si>
  <si>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</si>
  <si>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</si>
  <si>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</si>
  <si>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</si>
  <si>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</si>
  <si>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</si>
  <si>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</si>
  <si>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</si>
  <si>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</si>
  <si>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</si>
  <si>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</si>
  <si>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</si>
  <si>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</si>
  <si>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</si>
  <si>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</si>
  <si>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</si>
  <si>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</si>
  <si>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</si>
  <si>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</si>
  <si>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</si>
  <si>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</si>
  <si>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</si>
  <si>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</si>
  <si>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</si>
  <si>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</si>
  <si>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</si>
  <si>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</si>
  <si>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</si>
  <si>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</si>
  <si>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</si>
  <si>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</si>
  <si>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</si>
  <si>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</si>
  <si>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</si>
  <si>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</si>
  <si>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</si>
  <si>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</si>
  <si>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</si>
  <si>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</si>
  <si>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</si>
  <si>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</si>
  <si>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</si>
  <si>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</si>
  <si>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</si>
  <si>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</si>
  <si>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</si>
  <si>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</si>
  <si>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</si>
  <si>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</si>
  <si>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</si>
  <si>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</si>
  <si>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</si>
  <si>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</si>
  <si>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</si>
  <si>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</si>
  <si>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</si>
  <si>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</si>
  <si>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</si>
  <si>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</si>
  <si>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</si>
  <si>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</si>
  <si>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</si>
  <si>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</si>
  <si>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</si>
  <si>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</si>
  <si>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</si>
  <si>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</si>
  <si>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</si>
  <si>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</si>
  <si>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</si>
  <si>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</si>
  <si>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</si>
  <si>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</si>
  <si>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</si>
  <si>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</si>
  <si>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</si>
  <si>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</si>
  <si>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</si>
  <si>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</si>
  <si>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</si>
  <si>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</si>
  <si>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</si>
  <si>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</si>
  <si>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</si>
  <si>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</si>
  <si>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</si>
  <si>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</si>
  <si>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</si>
  <si>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</si>
  <si>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</si>
  <si>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</si>
  <si>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</si>
  <si>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</si>
  <si>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</si>
  <si>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</si>
  <si>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</si>
  <si>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</si>
  <si>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</si>
  <si>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</si>
  <si>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</si>
  <si>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</si>
  <si>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</si>
  <si>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</si>
  <si>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</si>
  <si>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</si>
  <si>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</si>
  <si>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</si>
  <si>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</si>
  <si>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</si>
  <si>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</si>
  <si>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</si>
  <si>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</si>
  <si>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</si>
  <si>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</si>
  <si>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</si>
  <si>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</si>
  <si>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</si>
  <si>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</si>
  <si>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</si>
  <si>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</si>
  <si>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</si>
  <si>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</si>
  <si>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</si>
  <si>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</si>
  <si>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</si>
  <si>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</si>
  <si>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</si>
  <si>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</si>
  <si>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</si>
  <si>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</si>
  <si>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</si>
  <si>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</si>
  <si>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</si>
  <si>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</si>
  <si>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</si>
  <si>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</si>
  <si>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</si>
  <si>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</si>
  <si>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</si>
  <si>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</si>
  <si>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</si>
  <si>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</si>
  <si>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</si>
  <si>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</si>
  <si>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</si>
  <si>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</si>
  <si>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</si>
  <si>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</si>
  <si>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</si>
  <si>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</si>
  <si>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</si>
  <si>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</si>
  <si>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</si>
  <si>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</si>
  <si>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</si>
  <si>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</si>
  <si>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</si>
  <si>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</si>
  <si>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</si>
  <si>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</si>
  <si>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</si>
  <si>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</si>
  <si>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</si>
  <si>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</si>
  <si>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</si>
  <si>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</si>
  <si>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</si>
  <si>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</si>
  <si>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</si>
  <si>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</si>
  <si>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</si>
  <si>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</si>
  <si>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</si>
  <si>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</si>
  <si>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</si>
  <si>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</si>
  <si>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</si>
  <si>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</si>
  <si>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</si>
  <si>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</si>
  <si>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</si>
  <si>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</si>
  <si>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</si>
  <si>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</si>
  <si>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</si>
  <si>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</si>
  <si>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</si>
  <si>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</si>
  <si>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</si>
  <si>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</si>
  <si>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</si>
  <si>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</si>
  <si>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</si>
  <si>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</si>
  <si>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</si>
  <si>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</si>
  <si>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</si>
  <si>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</si>
  <si>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</si>
  <si>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</si>
  <si>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</si>
  <si>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</si>
  <si>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</si>
  <si>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</si>
  <si>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</si>
  <si>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</si>
  <si>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</si>
  <si>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</si>
  <si>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</si>
  <si>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</si>
  <si>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</si>
  <si>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</si>
  <si>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</si>
  <si>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</si>
  <si>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</si>
  <si>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</si>
  <si>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</si>
  <si>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</si>
  <si>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</si>
  <si>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</si>
  <si>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</si>
  <si>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</si>
  <si>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</si>
  <si>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</si>
  <si>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</si>
  <si>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</si>
  <si>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</si>
  <si>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</si>
  <si>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</si>
  <si>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</si>
  <si>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</si>
  <si>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</si>
  <si>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</si>
  <si>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</si>
  <si>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</si>
  <si>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</si>
  <si>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</si>
  <si>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</si>
  <si>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</si>
  <si>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</si>
  <si>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</si>
  <si>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</si>
  <si>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</si>
  <si>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</si>
  <si>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</si>
  <si>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</si>
  <si>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</si>
  <si>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</si>
  <si>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</si>
  <si>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</si>
  <si>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</si>
  <si>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</si>
  <si>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</si>
  <si>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</si>
  <si>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</si>
  <si>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</si>
  <si>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</si>
  <si>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</si>
  <si>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</si>
  <si>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</si>
  <si>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</si>
  <si>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</si>
  <si>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</si>
  <si>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</si>
  <si>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</si>
  <si>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</si>
  <si>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</si>
  <si>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</si>
  <si>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</si>
  <si>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</si>
  <si>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</si>
  <si>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</si>
  <si>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</si>
  <si>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</si>
  <si>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</si>
  <si>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</si>
  <si>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</si>
  <si>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</si>
  <si>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</si>
  <si>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</si>
  <si>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</si>
  <si>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</si>
  <si>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</si>
  <si>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</si>
  <si>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</si>
  <si>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</si>
  <si>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</si>
  <si>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</si>
  <si>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</si>
  <si>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</si>
  <si>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</si>
  <si>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</si>
  <si>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</si>
  <si>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</si>
  <si>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</si>
  <si>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</si>
  <si>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</si>
  <si>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</si>
  <si>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</si>
  <si>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</si>
  <si>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</si>
  <si>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</si>
  <si>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</si>
  <si>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</si>
  <si>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</si>
  <si>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</si>
  <si>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</si>
  <si>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</si>
  <si>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</si>
  <si>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</si>
  <si>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</si>
  <si>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</si>
  <si>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</si>
  <si>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</si>
  <si>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</si>
  <si>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</si>
  <si>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</si>
  <si>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</si>
  <si>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</si>
  <si>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</si>
  <si>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</si>
  <si>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</si>
  <si>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</si>
  <si>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</si>
  <si>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</si>
  <si>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</si>
  <si>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</si>
  <si>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</si>
  <si>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</si>
  <si>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</si>
  <si>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</si>
  <si>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</si>
  <si>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</si>
  <si>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</si>
  <si>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</si>
  <si>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</si>
  <si>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</si>
  <si>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</si>
  <si>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</si>
  <si>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</si>
  <si>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</si>
  <si>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</si>
  <si>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</si>
  <si>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</si>
  <si>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</si>
  <si>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</si>
  <si>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</si>
  <si>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</si>
  <si>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</si>
  <si>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</si>
  <si>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</si>
  <si>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</si>
  <si>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</si>
  <si>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</si>
  <si>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</si>
  <si>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</si>
  <si>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</si>
  <si>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</si>
  <si>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</si>
  <si>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</si>
  <si>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</si>
  <si>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</si>
  <si>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</si>
  <si>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</si>
  <si>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</si>
  <si>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</si>
  <si>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</si>
  <si>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</si>
  <si>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</si>
  <si>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</si>
  <si>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</si>
  <si>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</si>
  <si>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</si>
  <si>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</si>
  <si>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</si>
  <si>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</si>
  <si>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</si>
  <si>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</si>
  <si>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</si>
  <si>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</si>
  <si>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</si>
  <si>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</si>
  <si>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</si>
  <si>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</si>
  <si>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</si>
  <si>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</si>
  <si>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</si>
  <si>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</si>
  <si>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</si>
  <si>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</si>
  <si>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</si>
  <si>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</si>
  <si>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</si>
  <si>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</si>
  <si>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</si>
  <si>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</si>
  <si>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</si>
  <si>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</si>
  <si>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</si>
  <si>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</si>
  <si>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</si>
  <si>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</si>
  <si>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</si>
  <si>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</si>
  <si>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</si>
  <si>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</si>
  <si>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</si>
  <si>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</si>
  <si>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</si>
  <si>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</si>
  <si>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</si>
  <si>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</si>
  <si>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</si>
  <si>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</si>
  <si>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</si>
  <si>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</si>
  <si>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</si>
  <si>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</si>
  <si>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</si>
  <si>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</si>
  <si>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</si>
  <si>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</si>
  <si>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</si>
  <si>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</si>
  <si>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</si>
  <si>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</si>
  <si>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</si>
  <si>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</si>
  <si>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</si>
  <si>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</si>
  <si>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</si>
  <si>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</si>
  <si>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</si>
  <si>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</si>
  <si>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</si>
  <si>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</si>
  <si>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</si>
  <si>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</si>
  <si>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</si>
  <si>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</si>
  <si>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</si>
  <si>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</si>
  <si>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</si>
  <si>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</si>
  <si>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</si>
  <si>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</si>
  <si>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</si>
  <si>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</si>
  <si>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</si>
  <si>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</si>
  <si>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</si>
  <si>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</si>
  <si>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</si>
  <si>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</si>
  <si>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</si>
  <si>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</si>
  <si>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</si>
  <si>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</si>
  <si>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</si>
  <si>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</si>
  <si>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</si>
  <si>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</si>
  <si>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</si>
  <si>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</si>
  <si>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</si>
  <si>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</si>
  <si>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</si>
  <si>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</si>
  <si>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</si>
  <si>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</si>
  <si>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</si>
  <si>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</si>
  <si>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</si>
  <si>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</si>
  <si>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</si>
  <si>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</si>
  <si>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</si>
  <si>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</si>
  <si>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</si>
  <si>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</si>
  <si>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</si>
  <si>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</si>
  <si>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</si>
  <si>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</si>
  <si>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</si>
  <si>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</si>
  <si>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</si>
  <si>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</si>
  <si>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</si>
  <si>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</si>
  <si>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</si>
  <si>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</si>
  <si>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</si>
  <si>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</si>
  <si>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</si>
  <si>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</si>
  <si>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</si>
  <si>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</si>
  <si>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</si>
  <si>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</si>
  <si>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</si>
  <si>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</si>
  <si>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</si>
  <si>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</si>
  <si>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</si>
  <si>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</si>
  <si>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</si>
  <si>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</si>
  <si>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</si>
  <si>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</si>
  <si>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</si>
  <si>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</si>
  <si>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</si>
  <si>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</si>
  <si>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</si>
  <si>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</si>
  <si>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</si>
  <si>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</si>
  <si>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</si>
  <si>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</si>
  <si>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</si>
  <si>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</si>
  <si>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</si>
  <si>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</si>
  <si>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</si>
  <si>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</si>
  <si>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</si>
  <si>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</si>
  <si>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</si>
  <si>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</si>
  <si>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</si>
  <si>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</si>
  <si>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</si>
  <si>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</si>
  <si>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</si>
  <si>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</si>
  <si>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</si>
  <si>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</si>
  <si>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</si>
  <si>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</si>
  <si>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</si>
  <si>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</si>
  <si>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</si>
  <si>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</si>
  <si>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</si>
  <si>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</si>
  <si>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</si>
  <si>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</si>
  <si>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</si>
  <si>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</si>
  <si>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</si>
  <si>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</si>
  <si>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</si>
  <si>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</si>
  <si>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</si>
  <si>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</si>
  <si>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</si>
  <si>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</si>
  <si>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</si>
  <si>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</si>
  <si>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</si>
  <si>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</si>
  <si>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</si>
  <si>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</si>
  <si>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</si>
  <si>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</si>
  <si>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</si>
  <si>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</si>
  <si>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</si>
  <si>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</si>
  <si>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</si>
  <si>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</si>
  <si>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</si>
  <si>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</si>
  <si>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</si>
  <si>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</si>
  <si>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</si>
  <si>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</si>
  <si>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</si>
  <si>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</si>
  <si>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</si>
  <si>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</si>
  <si>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</si>
  <si>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</si>
  <si>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</si>
  <si>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</si>
  <si>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</si>
  <si>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</si>
  <si>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</si>
  <si>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</si>
  <si>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</si>
  <si>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</si>
  <si>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</si>
  <si>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</si>
  <si>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</si>
  <si>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</si>
  <si>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</si>
  <si>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</si>
  <si>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</si>
  <si>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</si>
  <si>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</si>
  <si>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</si>
  <si>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</si>
  <si>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</si>
  <si>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</si>
  <si>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</si>
  <si>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</si>
  <si>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</si>
  <si>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</si>
  <si>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</si>
  <si>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</si>
  <si>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</si>
  <si>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</si>
  <si>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</si>
  <si>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</si>
  <si>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</si>
  <si>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</si>
  <si>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</si>
  <si>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</si>
  <si>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</si>
  <si>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</si>
  <si>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</si>
  <si>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</si>
  <si>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</si>
  <si>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</si>
  <si>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</si>
  <si>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</si>
  <si>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</si>
  <si>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</si>
  <si>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</si>
  <si>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</si>
  <si>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</si>
  <si>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</si>
  <si>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</si>
  <si>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</si>
  <si>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</si>
  <si>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</si>
  <si>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</si>
  <si>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</si>
  <si>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</si>
  <si>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</si>
  <si>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</si>
  <si>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</si>
  <si>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</si>
  <si>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</si>
  <si>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</si>
  <si>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</si>
  <si>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</si>
  <si>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</si>
  <si>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</si>
  <si>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</si>
  <si>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</si>
  <si>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</si>
  <si>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</si>
  <si>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</si>
  <si>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</si>
  <si>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</si>
  <si>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</si>
  <si>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</si>
  <si>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</si>
  <si>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</si>
  <si>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</si>
  <si>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</si>
  <si>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</si>
  <si>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</si>
  <si>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</si>
  <si>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</si>
  <si>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</si>
  <si>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</si>
  <si>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</si>
  <si>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</si>
  <si>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</si>
  <si>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</si>
  <si>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</si>
  <si>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</si>
  <si>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</si>
  <si>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</si>
  <si>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</si>
  <si>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</si>
  <si>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</si>
  <si>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</si>
  <si>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</si>
  <si>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</si>
  <si>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</si>
  <si>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</si>
  <si>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</si>
  <si>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</si>
  <si>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</si>
  <si>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</si>
  <si>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</si>
  <si>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</si>
  <si>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</si>
  <si>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</si>
  <si>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</si>
  <si>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</si>
  <si>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</si>
  <si>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</si>
  <si>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</si>
  <si>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</si>
  <si>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</si>
  <si>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</si>
  <si>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</si>
  <si>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</si>
  <si>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</si>
  <si>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</si>
  <si>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</si>
  <si>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В БЛОКЕ</t>
  </si>
  <si>
    <t>TSO001129525</t>
  </si>
  <si>
    <t>TSO001129480</t>
  </si>
  <si>
    <t>TSO001129529</t>
  </si>
  <si>
    <t>01,10,26</t>
  </si>
  <si>
    <t>TSO001129558</t>
  </si>
  <si>
    <t>TSO001129896</t>
  </si>
  <si>
    <t>отгружен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</si>
  <si>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</si>
  <si>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</si>
  <si>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</si>
  <si>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</si>
  <si>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</si>
  <si>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НВ Тс209931-26 29.09.2026 Мелитополь 823кг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</si>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</sst>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5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0" fontId="46" fillId="40" borderId="42" xfId="0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34"/>
  <sheetViews>
    <sheetView tabSelected="1" zoomScale="70" zoomScaleNormal="70" workbookViewId="0">
      <pane ySplit="2" topLeftCell="A7409" activePane="bottomLeft" state="frozen"/>
      <selection pane="bottomLeft" activeCell="P7431" sqref="P743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13" t="s">
        <v>0</v>
      </c>
      <c r="B1" s="1113"/>
      <c r="C1" s="1113"/>
      <c r="D1" s="1113"/>
      <c r="E1" s="1113"/>
      <c r="F1" s="1113"/>
      <c r="G1" s="1113"/>
      <c r="H1" s="1113"/>
      <c r="I1" s="1113"/>
      <c r="J1" s="111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14">
        <v>1</v>
      </c>
      <c r="B3" s="111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14"/>
      <c r="B4" s="111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10">
        <v>3</v>
      </c>
      <c r="B6" s="111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10"/>
      <c r="B7" s="111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10"/>
      <c r="B8" s="111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10">
        <v>5</v>
      </c>
      <c r="B10" s="111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10"/>
      <c r="B11" s="111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08">
        <v>8</v>
      </c>
      <c r="B14" s="110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08"/>
      <c r="B15" s="110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10">
        <v>11</v>
      </c>
      <c r="B18" s="111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10"/>
      <c r="B19" s="111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10"/>
      <c r="B20" s="111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10"/>
      <c r="B21" s="111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10">
        <v>13</v>
      </c>
      <c r="B23" s="111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10"/>
      <c r="B24" s="111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08">
        <v>14</v>
      </c>
      <c r="B25" s="110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08"/>
      <c r="B26" s="110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10">
        <v>15</v>
      </c>
      <c r="B27" s="111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10"/>
      <c r="B28" s="111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10"/>
      <c r="B29" s="111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10"/>
      <c r="B30" s="111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08">
        <v>16</v>
      </c>
      <c r="B31" s="110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08"/>
      <c r="B32" s="110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08"/>
      <c r="B33" s="110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08"/>
      <c r="B34" s="110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10">
        <v>17</v>
      </c>
      <c r="B35" s="111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10"/>
      <c r="B36" s="111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10">
        <v>21</v>
      </c>
      <c r="B40" s="111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10"/>
      <c r="B41" s="111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10">
        <v>23</v>
      </c>
      <c r="B43" s="111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10"/>
      <c r="B44" s="111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10"/>
      <c r="B45" s="111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08">
        <v>24</v>
      </c>
      <c r="B46" s="110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08"/>
      <c r="B47" s="110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10">
        <v>25</v>
      </c>
      <c r="B48" s="111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10"/>
      <c r="B49" s="111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10"/>
      <c r="B50" s="111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08">
        <v>26</v>
      </c>
      <c r="B51" s="110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08"/>
      <c r="B52" s="110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10">
        <v>29</v>
      </c>
      <c r="B55" s="111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10"/>
      <c r="B56" s="111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08">
        <v>32</v>
      </c>
      <c r="B59" s="110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08"/>
      <c r="B60" s="110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08">
        <v>34</v>
      </c>
      <c r="B62" s="110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08"/>
      <c r="B63" s="110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08"/>
      <c r="B64" s="110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08"/>
      <c r="B65" s="110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08"/>
      <c r="B66" s="110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10">
        <v>35</v>
      </c>
      <c r="B67" s="111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10"/>
      <c r="B68" s="111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5">
        <v>40</v>
      </c>
      <c r="B73" s="110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5"/>
      <c r="B74" s="110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4">
        <v>41</v>
      </c>
      <c r="B75" s="111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4"/>
      <c r="B76" s="111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4"/>
      <c r="B77" s="111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5">
        <v>42</v>
      </c>
      <c r="B78" s="110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5"/>
      <c r="B79" s="110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4">
        <v>49</v>
      </c>
      <c r="B86" s="111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4"/>
      <c r="B87" s="111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4"/>
      <c r="B88" s="111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5">
        <v>50</v>
      </c>
      <c r="B89" s="110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5"/>
      <c r="B90" s="110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4">
        <v>51</v>
      </c>
      <c r="B91" s="111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4"/>
      <c r="B92" s="111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4">
        <v>53</v>
      </c>
      <c r="B94" s="111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4"/>
      <c r="B95" s="111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5">
        <v>54</v>
      </c>
      <c r="B96" s="110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5"/>
      <c r="B97" s="110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5"/>
      <c r="B98" s="110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5">
        <v>58</v>
      </c>
      <c r="B102" s="110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5"/>
      <c r="B103" s="110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5">
        <v>60</v>
      </c>
      <c r="B105" s="110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5"/>
      <c r="B106" s="110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5"/>
      <c r="B107" s="110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4">
        <v>61</v>
      </c>
      <c r="B108" s="111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4"/>
      <c r="B109" s="111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4"/>
      <c r="B110" s="111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5">
        <v>64</v>
      </c>
      <c r="B113" s="110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5"/>
      <c r="B114" s="110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5">
        <v>66</v>
      </c>
      <c r="B116" s="110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5"/>
      <c r="B117" s="110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4">
        <v>67</v>
      </c>
      <c r="B118" s="111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4"/>
      <c r="B119" s="111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4"/>
      <c r="B120" s="111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5">
        <v>68</v>
      </c>
      <c r="B121" s="110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5"/>
      <c r="B122" s="110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4">
        <v>69</v>
      </c>
      <c r="B123" s="111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4"/>
      <c r="B124" s="111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5">
        <v>72</v>
      </c>
      <c r="B127" s="1108" t="s">
        <v>65</v>
      </c>
      <c r="C127" s="119" t="s">
        <v>26</v>
      </c>
      <c r="D127" s="120">
        <v>3.3</v>
      </c>
      <c r="E127" s="121"/>
      <c r="F127" s="122" t="s">
        <v>30</v>
      </c>
      <c r="G127" s="110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5"/>
      <c r="B128" s="1108"/>
      <c r="C128" s="103" t="s">
        <v>26</v>
      </c>
      <c r="D128" s="88">
        <v>12.9</v>
      </c>
      <c r="E128" s="106"/>
      <c r="F128" s="107" t="s">
        <v>16</v>
      </c>
      <c r="G128" s="110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5">
        <v>76</v>
      </c>
      <c r="B132" s="110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5"/>
      <c r="B133" s="110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5"/>
      <c r="B134" s="110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5"/>
      <c r="B135" s="110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5">
        <v>78</v>
      </c>
      <c r="B137" s="111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5"/>
      <c r="B138" s="111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0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0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0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0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9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9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9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9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5" t="s">
        <v>133</v>
      </c>
      <c r="J420" s="111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9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9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9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9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1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1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1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1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1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9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9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9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9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9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9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1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1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9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9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0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0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0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0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0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0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9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9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0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0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9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9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9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9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0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0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9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9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9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9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9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9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9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9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9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9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9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9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9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9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9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9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0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0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9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9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9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9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9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9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9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9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9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9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9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9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9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9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9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9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9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9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9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9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9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9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9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9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9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9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9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9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9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9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9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9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9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9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9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9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9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9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9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9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9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2" t="s">
        <v>467</v>
      </c>
      <c r="H2160" s="414" t="s">
        <v>515</v>
      </c>
      <c r="I2160" s="415" t="s">
        <v>516</v>
      </c>
      <c r="J2160" s="112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2"/>
      <c r="H2161" s="421" t="s">
        <v>515</v>
      </c>
      <c r="I2161" s="422" t="s">
        <v>516</v>
      </c>
      <c r="J2161" s="112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2"/>
      <c r="H2162" s="429" t="s">
        <v>515</v>
      </c>
      <c r="I2162" s="430" t="s">
        <v>516</v>
      </c>
      <c r="J2162" s="112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2" t="s">
        <v>467</v>
      </c>
      <c r="H2165" s="414" t="s">
        <v>516</v>
      </c>
      <c r="I2165" s="415" t="s">
        <v>516</v>
      </c>
      <c r="J2165" s="112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2"/>
      <c r="H2166" s="429" t="s">
        <v>516</v>
      </c>
      <c r="I2166" s="430" t="s">
        <v>516</v>
      </c>
      <c r="J2166" s="112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9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9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9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9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9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9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9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9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9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9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9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9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9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9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9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9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9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9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9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9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9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9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9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9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9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9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9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9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9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9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9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9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9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9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9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9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9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9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9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9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9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9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9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9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9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9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9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9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9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9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9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9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9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9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9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9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6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6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6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6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6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6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6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6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6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6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6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6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6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6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6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6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6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6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6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6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6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6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6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6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6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6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6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6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6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6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6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6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6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6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6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6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6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6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6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6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6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6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6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6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6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6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6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6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6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6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6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6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6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6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6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6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6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6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6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6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6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6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6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6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6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6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6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6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6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6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6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6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6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6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6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6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6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6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6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6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6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6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6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6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6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6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6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6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6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6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6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6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6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6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6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6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6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6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6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6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6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6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6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6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6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6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6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6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6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6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6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6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6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6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6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6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6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6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6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6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6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6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6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6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6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6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6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6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6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6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6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6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6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6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6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6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8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8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8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8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9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3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4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8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3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3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9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9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6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6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5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5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5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5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5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5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5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5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5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5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5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5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5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5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6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5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0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5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5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5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5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5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5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5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5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0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5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5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5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0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5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5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0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5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6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5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6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62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63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0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0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0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0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5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5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0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5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5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5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8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5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0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5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5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0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6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6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0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0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5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5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0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0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0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0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62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63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0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5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8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9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5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5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5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0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63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0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0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0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0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0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0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5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6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5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6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0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0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62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63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0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0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0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0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0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0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0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0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4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4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6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6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0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2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2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1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0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0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0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0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0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0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0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56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6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6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57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0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0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62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4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4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63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0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0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62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63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6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4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81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0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0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0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7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0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4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0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1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56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57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0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56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57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0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2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0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2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2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3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2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3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1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3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56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66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57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0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2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2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56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66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57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0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4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1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56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58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66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69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66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69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57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5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3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78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4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0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1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56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66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66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49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5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50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6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3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47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4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48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3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78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56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57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0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1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0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1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56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57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0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1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56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57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3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4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0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2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1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73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4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0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2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2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2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1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56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57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0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2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2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1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73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78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78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74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0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2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2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1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56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57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3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78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74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0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2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2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2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1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73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78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78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74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0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1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56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57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0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1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0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1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0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5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1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7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73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74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0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1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0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4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1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56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66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57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0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1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56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66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57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0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4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4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4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1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56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66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57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0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2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2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2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2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2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1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56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66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57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x14ac:dyDescent="0.25">
      <c r="A7321" s="1154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4" t="s">
        <v>2842</v>
      </c>
      <c r="H7321" s="1004" t="s">
        <v>2739</v>
      </c>
      <c r="I7321" s="1005" t="s">
        <v>2766</v>
      </c>
      <c r="J7321" s="1006"/>
      <c r="K7321" s="1007"/>
      <c r="L7321" s="1004" t="s">
        <v>28</v>
      </c>
      <c r="M7321" s="1004">
        <v>9325.31</v>
      </c>
      <c r="N7321" s="1008">
        <v>0.41666666666666669</v>
      </c>
      <c r="O7321" s="897" t="s">
        <v>2752</v>
      </c>
      <c r="P7321" s="867" t="s">
        <v>2877</v>
      </c>
    </row>
    <row r="7322" spans="1:16" x14ac:dyDescent="0.25">
      <c r="A7322" s="1155"/>
      <c r="B7322" s="1009" t="s">
        <v>2692</v>
      </c>
      <c r="C7322" s="1010" t="s">
        <v>24</v>
      </c>
      <c r="D7322" s="1011">
        <v>8.4339999999999993</v>
      </c>
      <c r="E7322" s="1012">
        <v>6.9450000000000003</v>
      </c>
      <c r="F7322" s="1013" t="s">
        <v>16</v>
      </c>
      <c r="G7322" s="1014"/>
      <c r="H7322" s="1013" t="s">
        <v>2739</v>
      </c>
      <c r="I7322" s="1015" t="s">
        <v>2766</v>
      </c>
      <c r="J7322" s="1016"/>
      <c r="K7322" s="1017"/>
      <c r="L7322" s="1013" t="s">
        <v>28</v>
      </c>
      <c r="M7322" s="1013">
        <v>8606.24</v>
      </c>
      <c r="N7322" s="1018">
        <v>0.41666666666666669</v>
      </c>
      <c r="O7322" s="897" t="s">
        <v>2751</v>
      </c>
      <c r="P7322" s="867" t="s">
        <v>2876</v>
      </c>
    </row>
    <row r="7323" spans="1:16" ht="37.5" x14ac:dyDescent="0.25">
      <c r="A7323" s="1155"/>
      <c r="B7323" s="1019" t="s">
        <v>2764</v>
      </c>
      <c r="C7323" s="1020" t="s">
        <v>15</v>
      </c>
      <c r="D7323" s="1021">
        <v>1.56</v>
      </c>
      <c r="E7323" s="1021">
        <v>1.571</v>
      </c>
      <c r="F7323" s="1022" t="s">
        <v>16</v>
      </c>
      <c r="G7323" s="1023" t="s">
        <v>2843</v>
      </c>
      <c r="H7323" s="1022" t="s">
        <v>2739</v>
      </c>
      <c r="I7323" s="1022" t="s">
        <v>2766</v>
      </c>
      <c r="J7323" s="1024"/>
      <c r="K7323" s="1025"/>
      <c r="L7323" s="1022" t="s">
        <v>28</v>
      </c>
      <c r="M7323" s="1022">
        <v>1560</v>
      </c>
      <c r="N7323" s="1018">
        <v>0.41666666666666669</v>
      </c>
      <c r="O7323" s="897" t="s">
        <v>2847</v>
      </c>
      <c r="P7323" s="867" t="s">
        <v>2878</v>
      </c>
    </row>
    <row r="7324" spans="1:16" ht="19.5" thickBot="1" x14ac:dyDescent="0.3">
      <c r="A7324" s="1156"/>
      <c r="B7324" s="1026" t="s">
        <v>2764</v>
      </c>
      <c r="C7324" s="1027" t="s">
        <v>24</v>
      </c>
      <c r="D7324" s="1028">
        <v>1.59</v>
      </c>
      <c r="E7324" s="1028">
        <v>1.597</v>
      </c>
      <c r="F7324" s="1029" t="s">
        <v>16</v>
      </c>
      <c r="G7324" s="1030" t="s">
        <v>76</v>
      </c>
      <c r="H7324" s="1029" t="s">
        <v>2739</v>
      </c>
      <c r="I7324" s="1029" t="s">
        <v>2766</v>
      </c>
      <c r="J7324" s="1031"/>
      <c r="K7324" s="1032"/>
      <c r="L7324" s="1029" t="s">
        <v>28</v>
      </c>
      <c r="M7324" s="1029">
        <v>1590</v>
      </c>
      <c r="N7324" s="1033">
        <v>0.41666666666666669</v>
      </c>
      <c r="O7324" s="897" t="s">
        <v>2813</v>
      </c>
      <c r="P7324" s="867" t="s">
        <v>2879</v>
      </c>
    </row>
    <row r="7325" spans="1:16" x14ac:dyDescent="0.25">
      <c r="A7325" s="1073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x14ac:dyDescent="0.25">
      <c r="A7326" s="1078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thickBot="1" x14ac:dyDescent="0.3">
      <c r="A7327" s="1074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x14ac:dyDescent="0.25">
      <c r="A7328" s="1060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thickBot="1" x14ac:dyDescent="0.3">
      <c r="A7329" s="1061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x14ac:dyDescent="0.25">
      <c r="A7330" s="1056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thickBot="1" x14ac:dyDescent="0.3">
      <c r="A7331" s="1057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customHeight="1" x14ac:dyDescent="0.25">
      <c r="A7332" s="1060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51" t="s">
        <v>2765</v>
      </c>
      <c r="H7332" s="535" t="s">
        <v>2764</v>
      </c>
      <c r="I7332" s="537" t="s">
        <v>2844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customHeight="1" x14ac:dyDescent="0.25">
      <c r="A7333" s="1064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52"/>
      <c r="H7333" s="819" t="s">
        <v>2764</v>
      </c>
      <c r="I7333" s="782" t="s">
        <v>2844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customHeight="1" thickBot="1" x14ac:dyDescent="0.3">
      <c r="A7334" s="1061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3"/>
      <c r="H7334" s="801" t="s">
        <v>2764</v>
      </c>
      <c r="I7334" s="801" t="s">
        <v>2844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x14ac:dyDescent="0.25">
      <c r="A7335" s="1056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58" t="s">
        <v>1633</v>
      </c>
      <c r="H7335" s="483" t="s">
        <v>2764</v>
      </c>
      <c r="I7335" s="484" t="s">
        <v>2854</v>
      </c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thickBot="1" x14ac:dyDescent="0.3">
      <c r="A7336" s="1057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65"/>
      <c r="H7336" s="808" t="s">
        <v>2764</v>
      </c>
      <c r="I7336" s="808" t="s">
        <v>2854</v>
      </c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x14ac:dyDescent="0.25">
      <c r="A7338" s="1073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x14ac:dyDescent="0.25">
      <c r="A7339" s="1078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thickBot="1" x14ac:dyDescent="0.3">
      <c r="A7340" s="1074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x14ac:dyDescent="0.25">
      <c r="A7341" s="1070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thickBot="1" x14ac:dyDescent="0.3">
      <c r="A7342" s="1071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x14ac:dyDescent="0.25">
      <c r="A7344" s="1060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7" ht="19.5" thickBot="1" x14ac:dyDescent="0.3">
      <c r="A7345" s="1061"/>
      <c r="B7345" s="1044" t="s">
        <v>2844</v>
      </c>
      <c r="C7345" s="1045" t="s">
        <v>23</v>
      </c>
      <c r="D7345" s="1046">
        <v>0.39</v>
      </c>
      <c r="E7345" s="1046" t="s">
        <v>1496</v>
      </c>
      <c r="F7345" s="1047" t="s">
        <v>16</v>
      </c>
      <c r="G7345" s="1048" t="s">
        <v>76</v>
      </c>
      <c r="H7345" s="1047" t="s">
        <v>2766</v>
      </c>
      <c r="I7345" s="1047" t="s">
        <v>1496</v>
      </c>
      <c r="J7345" s="1049"/>
      <c r="K7345" s="1050"/>
      <c r="L7345" s="1047" t="s">
        <v>28</v>
      </c>
      <c r="M7345" s="1047">
        <v>390</v>
      </c>
      <c r="N7345" s="1051">
        <v>0.41666666666666669</v>
      </c>
      <c r="O7345" s="920" t="s">
        <v>2886</v>
      </c>
      <c r="P7345" s="921" t="s">
        <v>1024</v>
      </c>
    </row>
    <row r="7346" spans="1:17" x14ac:dyDescent="0.25">
      <c r="A7346" s="1056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58" t="s">
        <v>1633</v>
      </c>
      <c r="H7346" s="483" t="s">
        <v>2766</v>
      </c>
      <c r="I7346" s="484" t="s">
        <v>2854</v>
      </c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7" ht="19.5" thickBot="1" x14ac:dyDescent="0.3">
      <c r="A7347" s="1057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65"/>
      <c r="H7347" s="808" t="s">
        <v>2766</v>
      </c>
      <c r="I7347" s="808" t="s">
        <v>2905</v>
      </c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7" ht="38.25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7" ht="19.5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7" ht="19.5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2818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>
        <v>6319854</v>
      </c>
    </row>
    <row r="7351" spans="1:17" x14ac:dyDescent="0.25">
      <c r="A7351" s="1073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7" x14ac:dyDescent="0.25">
      <c r="A7352" s="1078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7" x14ac:dyDescent="0.25">
      <c r="A7353" s="1078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7" ht="19.5" thickBot="1" x14ac:dyDescent="0.3">
      <c r="A7354" s="1074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7" ht="19.5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7" ht="19.5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7" x14ac:dyDescent="0.25">
      <c r="A7357" s="1060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7" x14ac:dyDescent="0.25">
      <c r="A7358" s="1064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7" ht="19.5" thickBot="1" x14ac:dyDescent="0.3">
      <c r="A7359" s="1061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7" x14ac:dyDescent="0.25">
      <c r="A7360" s="1056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8" x14ac:dyDescent="0.25">
      <c r="A7361" s="1066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1043"/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8" ht="19.5" thickBot="1" x14ac:dyDescent="0.3">
      <c r="A7362" s="1057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8" ht="19.5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8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8" x14ac:dyDescent="0.25">
      <c r="A7365" s="1060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8" ht="19.5" thickBot="1" x14ac:dyDescent="0.3">
      <c r="A7366" s="1061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8" x14ac:dyDescent="0.25">
      <c r="A7367" s="1056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8" x14ac:dyDescent="0.25">
      <c r="A7368" s="1066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52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8" ht="19.5" thickBot="1" x14ac:dyDescent="0.3">
      <c r="A7369" s="1057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8" ht="56.25" x14ac:dyDescent="0.25">
      <c r="A7370" s="1060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2984</v>
      </c>
      <c r="Q7370" s="847">
        <v>913</v>
      </c>
      <c r="R7370" s="833" t="s">
        <v>2974</v>
      </c>
    </row>
    <row r="7371" spans="1:18" x14ac:dyDescent="0.25">
      <c r="A7371" s="1064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2985</v>
      </c>
      <c r="Q7371" s="847">
        <v>7436</v>
      </c>
      <c r="R7371" s="833" t="s">
        <v>2974</v>
      </c>
    </row>
    <row r="7372" spans="1:18" x14ac:dyDescent="0.25">
      <c r="A7372" s="1064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2987</v>
      </c>
      <c r="Q7372" s="847">
        <v>8133</v>
      </c>
      <c r="R7372" s="833" t="s">
        <v>2974</v>
      </c>
    </row>
    <row r="7373" spans="1:18" x14ac:dyDescent="0.25">
      <c r="A7373" s="1064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5"/>
      <c r="L7373" s="816" t="s">
        <v>28</v>
      </c>
      <c r="M7373" s="816">
        <v>600</v>
      </c>
      <c r="N7373" s="811">
        <v>0.41666666666666669</v>
      </c>
      <c r="O7373" s="897" t="s">
        <v>2970</v>
      </c>
      <c r="P7373" s="867" t="s">
        <v>2988</v>
      </c>
      <c r="Q7373" s="847">
        <v>613</v>
      </c>
      <c r="R7373" s="833" t="s">
        <v>2974</v>
      </c>
    </row>
    <row r="7374" spans="1:18" ht="19.5" thickBot="1" x14ac:dyDescent="0.3">
      <c r="A7374" s="1061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8" x14ac:dyDescent="0.25">
      <c r="A7375" s="1073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79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Q7375" s="847" t="s">
        <v>2967</v>
      </c>
    </row>
    <row r="7376" spans="1:18" x14ac:dyDescent="0.25">
      <c r="A7376" s="1078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79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8" x14ac:dyDescent="0.25">
      <c r="A7377" s="1078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79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  <c r="Q7377" s="847">
        <v>-726</v>
      </c>
    </row>
    <row r="7378" spans="1:18" x14ac:dyDescent="0.25">
      <c r="A7378" s="1078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79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8" ht="19.5" thickBot="1" x14ac:dyDescent="0.3">
      <c r="A7379" s="1074"/>
      <c r="B7379" s="1035" t="s">
        <v>2849</v>
      </c>
      <c r="C7379" s="1036" t="s">
        <v>840</v>
      </c>
      <c r="D7379" s="1037">
        <v>3.75</v>
      </c>
      <c r="E7379" s="1038"/>
      <c r="F7379" s="1039" t="s">
        <v>16</v>
      </c>
      <c r="G7379" s="1080"/>
      <c r="H7379" s="1039" t="s">
        <v>2890</v>
      </c>
      <c r="I7379" s="1040"/>
      <c r="J7379" s="1041"/>
      <c r="K7379" s="1035"/>
      <c r="L7379" s="1039" t="s">
        <v>266</v>
      </c>
      <c r="M7379" s="1039">
        <v>3755.04</v>
      </c>
      <c r="N7379" s="1042">
        <v>0.45833333333333331</v>
      </c>
      <c r="O7379" s="897" t="s">
        <v>2908</v>
      </c>
      <c r="P7379" s="867">
        <v>6321110</v>
      </c>
      <c r="Q7379" s="847" t="s">
        <v>2967</v>
      </c>
    </row>
    <row r="7380" spans="1:18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8" x14ac:dyDescent="0.25">
      <c r="A7381" s="1073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8" x14ac:dyDescent="0.25">
      <c r="A7382" s="1078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8" x14ac:dyDescent="0.25">
      <c r="A7383" s="1078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8" ht="19.5" thickBot="1" x14ac:dyDescent="0.3">
      <c r="A7384" s="1078"/>
      <c r="B7384" s="1043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43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2986</v>
      </c>
      <c r="Q7384" s="847">
        <v>602</v>
      </c>
      <c r="R7384" s="833" t="s">
        <v>2974</v>
      </c>
    </row>
    <row r="7385" spans="1:18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8" x14ac:dyDescent="0.25">
      <c r="A7386" s="1073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8" x14ac:dyDescent="0.25">
      <c r="A7387" s="1078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8" ht="19.5" thickBot="1" x14ac:dyDescent="0.3">
      <c r="A7388" s="1074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8" x14ac:dyDescent="0.25">
      <c r="A7389" s="1070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2979</v>
      </c>
      <c r="Q7389" s="847">
        <v>13283</v>
      </c>
      <c r="R7389" s="833" t="s">
        <v>2974</v>
      </c>
    </row>
    <row r="7390" spans="1:18" x14ac:dyDescent="0.25">
      <c r="A7390" s="1072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2989</v>
      </c>
      <c r="Q7390" s="847">
        <v>3700</v>
      </c>
      <c r="R7390" s="833" t="s">
        <v>2974</v>
      </c>
    </row>
    <row r="7391" spans="1:18" ht="19.5" thickBot="1" x14ac:dyDescent="0.3">
      <c r="A7391" s="1071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2969</v>
      </c>
      <c r="P7391" s="867" t="s">
        <v>2980</v>
      </c>
      <c r="Q7391" s="847">
        <v>824</v>
      </c>
      <c r="R7391" s="833" t="s">
        <v>2974</v>
      </c>
    </row>
    <row r="7392" spans="1:18" x14ac:dyDescent="0.25">
      <c r="A7392" s="1073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/>
      <c r="F7392" s="483" t="s">
        <v>16</v>
      </c>
      <c r="G7392" s="549"/>
      <c r="H7392" s="483" t="s">
        <v>2890</v>
      </c>
      <c r="I7392" s="484"/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>
        <v>6321478</v>
      </c>
    </row>
    <row r="7393" spans="1:18" x14ac:dyDescent="0.25">
      <c r="A7393" s="1078"/>
      <c r="B7393" s="523" t="s">
        <v>2844</v>
      </c>
      <c r="C7393" s="524" t="s">
        <v>15</v>
      </c>
      <c r="D7393" s="525">
        <v>5.3390000000000004</v>
      </c>
      <c r="E7393" s="526"/>
      <c r="F7393" s="527" t="s">
        <v>16</v>
      </c>
      <c r="G7393" s="561"/>
      <c r="H7393" s="527" t="s">
        <v>2890</v>
      </c>
      <c r="I7393" s="528"/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</row>
    <row r="7394" spans="1:18" x14ac:dyDescent="0.25">
      <c r="A7394" s="1078"/>
      <c r="B7394" s="864" t="s">
        <v>2990</v>
      </c>
      <c r="C7394" s="861" t="s">
        <v>15</v>
      </c>
      <c r="D7394" s="862">
        <v>0.40500000000000003</v>
      </c>
      <c r="E7394" s="862"/>
      <c r="F7394" s="860" t="s">
        <v>16</v>
      </c>
      <c r="G7394" s="863" t="s">
        <v>76</v>
      </c>
      <c r="H7394" s="860" t="s">
        <v>2890</v>
      </c>
      <c r="I7394" s="860"/>
      <c r="J7394" s="865"/>
      <c r="K7394" s="1052"/>
      <c r="L7394" s="860" t="s">
        <v>28</v>
      </c>
      <c r="M7394" s="860">
        <v>405</v>
      </c>
      <c r="N7394" s="770">
        <v>0.45833333333333331</v>
      </c>
      <c r="O7394" s="897" t="s">
        <v>2997</v>
      </c>
    </row>
    <row r="7395" spans="1:18" ht="19.5" thickBot="1" x14ac:dyDescent="0.3">
      <c r="A7395" s="1074"/>
      <c r="B7395" s="859" t="s">
        <v>2909</v>
      </c>
      <c r="C7395" s="854" t="s">
        <v>15</v>
      </c>
      <c r="D7395" s="855">
        <v>0.6</v>
      </c>
      <c r="E7395" s="855"/>
      <c r="F7395" s="856" t="s">
        <v>16</v>
      </c>
      <c r="G7395" s="857" t="s">
        <v>76</v>
      </c>
      <c r="H7395" s="856" t="s">
        <v>2890</v>
      </c>
      <c r="I7395" s="856"/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2975</v>
      </c>
    </row>
    <row r="7396" spans="1:18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8" ht="19.5" thickBot="1" x14ac:dyDescent="0.3">
      <c r="A7397" s="1053">
        <f>MAX(A7183:A7396)+1</f>
        <v>4520</v>
      </c>
      <c r="B7397" s="1054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8" x14ac:dyDescent="0.25">
      <c r="A7398" s="1064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/>
      <c r="F7398" s="567" t="s">
        <v>16</v>
      </c>
      <c r="G7398" s="568"/>
      <c r="H7398" s="567" t="s">
        <v>2905</v>
      </c>
      <c r="I7398" s="569"/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>
        <v>6321423</v>
      </c>
      <c r="Q7398" s="847">
        <v>16019</v>
      </c>
      <c r="R7398" s="833" t="s">
        <v>2974</v>
      </c>
    </row>
    <row r="7399" spans="1:18" x14ac:dyDescent="0.25">
      <c r="A7399" s="1064"/>
      <c r="B7399" s="852" t="s">
        <v>2909</v>
      </c>
      <c r="C7399" s="837" t="s">
        <v>26</v>
      </c>
      <c r="D7399" s="838">
        <v>1.2</v>
      </c>
      <c r="E7399" s="838"/>
      <c r="F7399" s="839" t="s">
        <v>16</v>
      </c>
      <c r="G7399" s="850" t="s">
        <v>76</v>
      </c>
      <c r="H7399" s="839" t="s">
        <v>2905</v>
      </c>
      <c r="I7399" s="839"/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2981</v>
      </c>
      <c r="Q7399" s="847">
        <v>1236</v>
      </c>
      <c r="R7399" s="833" t="s">
        <v>2974</v>
      </c>
    </row>
    <row r="7400" spans="1:18" ht="19.5" thickBot="1" x14ac:dyDescent="0.3">
      <c r="A7400" s="1061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8" x14ac:dyDescent="0.25">
      <c r="A7401" s="1056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/>
      <c r="F7401" s="483" t="s">
        <v>16</v>
      </c>
      <c r="G7401" s="1058" t="s">
        <v>1634</v>
      </c>
      <c r="H7401" s="483" t="s">
        <v>2905</v>
      </c>
      <c r="I7401" s="484"/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>
        <v>6321445</v>
      </c>
    </row>
    <row r="7402" spans="1:18" ht="19.5" thickBot="1" x14ac:dyDescent="0.3">
      <c r="A7402" s="1057"/>
      <c r="B7402" s="841" t="s">
        <v>2909</v>
      </c>
      <c r="C7402" s="842" t="s">
        <v>47</v>
      </c>
      <c r="D7402" s="843">
        <v>0.40500000000000003</v>
      </c>
      <c r="E7402" s="843"/>
      <c r="F7402" s="844" t="s">
        <v>16</v>
      </c>
      <c r="G7402" s="1059"/>
      <c r="H7402" s="844" t="s">
        <v>2905</v>
      </c>
      <c r="I7402" s="844"/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2973</v>
      </c>
    </row>
    <row r="7403" spans="1:18" x14ac:dyDescent="0.25">
      <c r="A7403" s="1060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/>
      <c r="F7403" s="535" t="s">
        <v>16</v>
      </c>
      <c r="G7403" s="1062" t="s">
        <v>1633</v>
      </c>
      <c r="H7403" s="535" t="s">
        <v>2905</v>
      </c>
      <c r="I7403" s="537"/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>
        <v>6321496</v>
      </c>
    </row>
    <row r="7404" spans="1:18" ht="19.5" thickBot="1" x14ac:dyDescent="0.3">
      <c r="A7404" s="1061"/>
      <c r="B7404" s="785" t="s">
        <v>2909</v>
      </c>
      <c r="C7404" s="786" t="s">
        <v>23</v>
      </c>
      <c r="D7404" s="787">
        <v>0.51</v>
      </c>
      <c r="E7404" s="787"/>
      <c r="F7404" s="788" t="s">
        <v>16</v>
      </c>
      <c r="G7404" s="1063"/>
      <c r="H7404" s="788" t="s">
        <v>2905</v>
      </c>
      <c r="I7404" s="788"/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2977</v>
      </c>
    </row>
    <row r="7405" spans="1:18" x14ac:dyDescent="0.25">
      <c r="A7405" s="1073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8" ht="19.5" thickBot="1" x14ac:dyDescent="0.3">
      <c r="A7406" s="1074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8" x14ac:dyDescent="0.25">
      <c r="A7407" s="1064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/>
      <c r="F7407" s="567" t="s">
        <v>16</v>
      </c>
      <c r="G7407" s="568"/>
      <c r="H7407" s="567" t="s">
        <v>2909</v>
      </c>
      <c r="I7407" s="569"/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>
        <v>6321564</v>
      </c>
    </row>
    <row r="7408" spans="1:18" ht="19.5" thickBot="1" x14ac:dyDescent="0.3">
      <c r="A7408" s="1061"/>
      <c r="B7408" s="798" t="s">
        <v>2909</v>
      </c>
      <c r="C7408" s="799" t="s">
        <v>26</v>
      </c>
      <c r="D7408" s="800">
        <v>0.5</v>
      </c>
      <c r="E7408" s="800"/>
      <c r="F7408" s="801" t="s">
        <v>16</v>
      </c>
      <c r="G7408" s="802" t="s">
        <v>76</v>
      </c>
      <c r="H7408" s="801" t="s">
        <v>2909</v>
      </c>
      <c r="I7408" s="801"/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2968</v>
      </c>
    </row>
    <row r="7409" spans="1:18" x14ac:dyDescent="0.25">
      <c r="A7409" s="1056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/>
      <c r="F7409" s="483" t="s">
        <v>16</v>
      </c>
      <c r="G7409" s="1058" t="s">
        <v>2910</v>
      </c>
      <c r="H7409" s="483" t="s">
        <v>2909</v>
      </c>
      <c r="I7409" s="484"/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>
        <v>6321571</v>
      </c>
    </row>
    <row r="7410" spans="1:18" x14ac:dyDescent="0.25">
      <c r="A7410" s="1066"/>
      <c r="B7410" s="769" t="s">
        <v>2849</v>
      </c>
      <c r="C7410" s="764" t="s">
        <v>20</v>
      </c>
      <c r="D7410" s="765">
        <v>4.0220000000000002</v>
      </c>
      <c r="E7410" s="766"/>
      <c r="F7410" s="763" t="s">
        <v>16</v>
      </c>
      <c r="G7410" s="1069"/>
      <c r="H7410" s="763" t="s">
        <v>2909</v>
      </c>
      <c r="I7410" s="768"/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>
        <v>6321570</v>
      </c>
    </row>
    <row r="7411" spans="1:18" ht="19.5" thickBot="1" x14ac:dyDescent="0.3">
      <c r="A7411" s="1057"/>
      <c r="B7411" s="805" t="s">
        <v>2909</v>
      </c>
      <c r="C7411" s="806" t="s">
        <v>15</v>
      </c>
      <c r="D7411" s="807">
        <v>0.45</v>
      </c>
      <c r="E7411" s="807"/>
      <c r="F7411" s="808" t="s">
        <v>16</v>
      </c>
      <c r="G7411" s="1065"/>
      <c r="H7411" s="808" t="s">
        <v>2909</v>
      </c>
      <c r="I7411" s="808"/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2976</v>
      </c>
    </row>
    <row r="7412" spans="1:18" x14ac:dyDescent="0.25">
      <c r="A7412" s="1060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62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8" ht="19.5" thickBot="1" x14ac:dyDescent="0.3">
      <c r="A7413" s="1061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63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2978</v>
      </c>
    </row>
    <row r="7414" spans="1:18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/>
      <c r="F7414" s="518" t="s">
        <v>16</v>
      </c>
      <c r="G7414" s="519"/>
      <c r="H7414" s="518" t="s">
        <v>2909</v>
      </c>
      <c r="I7414" s="520"/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>
        <v>6321612</v>
      </c>
    </row>
    <row r="7415" spans="1:18" x14ac:dyDescent="0.25">
      <c r="A7415" s="1070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2982</v>
      </c>
      <c r="Q7415" s="847">
        <v>2750</v>
      </c>
      <c r="R7415" s="833" t="s">
        <v>2974</v>
      </c>
    </row>
    <row r="7416" spans="1:18" ht="19.5" thickBot="1" x14ac:dyDescent="0.3">
      <c r="A7416" s="1071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2983</v>
      </c>
      <c r="Q7416" s="847">
        <v>9551</v>
      </c>
      <c r="R7416" s="833" t="s">
        <v>2974</v>
      </c>
    </row>
    <row r="7417" spans="1:18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/>
      <c r="F7417" s="577" t="s">
        <v>16</v>
      </c>
      <c r="G7417" s="578"/>
      <c r="H7417" s="577" t="s">
        <v>2971</v>
      </c>
      <c r="I7417" s="579"/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2972</v>
      </c>
    </row>
    <row r="7418" spans="1:18" ht="19.5" thickBot="1" x14ac:dyDescent="0.3">
      <c r="A7418" s="503">
        <f>MAX(A7197:A7417)+1</f>
        <v>4531</v>
      </c>
      <c r="B7418" s="504" t="s">
        <v>2990</v>
      </c>
      <c r="C7418" s="505" t="s">
        <v>26</v>
      </c>
      <c r="D7418" s="506">
        <v>17.568999999999999</v>
      </c>
      <c r="E7418" s="507"/>
      <c r="F7418" s="508" t="s">
        <v>16</v>
      </c>
      <c r="G7418" s="509"/>
      <c r="H7418" s="508" t="s">
        <v>2991</v>
      </c>
      <c r="I7418" s="510"/>
      <c r="J7418" s="511"/>
      <c r="K7418" s="504"/>
      <c r="L7418" s="508" t="s">
        <v>265</v>
      </c>
      <c r="M7418" s="508">
        <v>17700.500000000004</v>
      </c>
      <c r="N7418" s="512">
        <v>4.1666666666666664E-2</v>
      </c>
      <c r="O7418" s="897" t="s">
        <v>2996</v>
      </c>
    </row>
    <row r="7419" spans="1:18" ht="19.5" thickBot="1" x14ac:dyDescent="0.3">
      <c r="A7419" s="513">
        <f>MAX(A7198:A7418)+1</f>
        <v>4532</v>
      </c>
      <c r="B7419" s="514" t="s">
        <v>2990</v>
      </c>
      <c r="C7419" s="515" t="s">
        <v>26</v>
      </c>
      <c r="D7419" s="516">
        <v>17.094999999999999</v>
      </c>
      <c r="E7419" s="517"/>
      <c r="F7419" s="518" t="s">
        <v>16</v>
      </c>
      <c r="G7419" s="519"/>
      <c r="H7419" s="518" t="s">
        <v>2991</v>
      </c>
      <c r="I7419" s="520"/>
      <c r="J7419" s="521"/>
      <c r="K7419" s="514"/>
      <c r="L7419" s="518" t="s">
        <v>265</v>
      </c>
      <c r="M7419" s="518">
        <v>17119.800000000003</v>
      </c>
      <c r="N7419" s="522">
        <v>8.3333333333333329E-2</v>
      </c>
      <c r="O7419" s="897" t="s">
        <v>2998</v>
      </c>
    </row>
    <row r="7420" spans="1:18" x14ac:dyDescent="0.25">
      <c r="A7420" s="1070">
        <f>MAX(A7199:A7419)+1</f>
        <v>4533</v>
      </c>
      <c r="B7420" s="531" t="s">
        <v>2990</v>
      </c>
      <c r="C7420" s="532" t="s">
        <v>15</v>
      </c>
      <c r="D7420" s="533">
        <v>4.6390000000000002</v>
      </c>
      <c r="E7420" s="534"/>
      <c r="F7420" s="535" t="s">
        <v>30</v>
      </c>
      <c r="G7420" s="536"/>
      <c r="H7420" s="535" t="s">
        <v>2991</v>
      </c>
      <c r="I7420" s="537"/>
      <c r="J7420" s="538"/>
      <c r="K7420" s="531"/>
      <c r="L7420" s="535" t="s">
        <v>28</v>
      </c>
      <c r="M7420" s="535">
        <v>4639.88</v>
      </c>
      <c r="N7420" s="539">
        <v>0.41666666666666669</v>
      </c>
      <c r="O7420" s="897" t="s">
        <v>2994</v>
      </c>
    </row>
    <row r="7421" spans="1:18" x14ac:dyDescent="0.25">
      <c r="A7421" s="1072"/>
      <c r="B7421" s="563" t="s">
        <v>2990</v>
      </c>
      <c r="C7421" s="564" t="s">
        <v>24</v>
      </c>
      <c r="D7421" s="565">
        <v>5.6150000000000002</v>
      </c>
      <c r="E7421" s="566"/>
      <c r="F7421" s="567" t="s">
        <v>30</v>
      </c>
      <c r="G7421" s="568"/>
      <c r="H7421" s="567" t="s">
        <v>2991</v>
      </c>
      <c r="I7421" s="569"/>
      <c r="J7421" s="570"/>
      <c r="K7421" s="563"/>
      <c r="L7421" s="567" t="s">
        <v>28</v>
      </c>
      <c r="M7421" s="567">
        <v>5615.6400000000012</v>
      </c>
      <c r="N7421" s="571">
        <v>0.41666666666666669</v>
      </c>
      <c r="O7421" s="897" t="s">
        <v>2993</v>
      </c>
    </row>
    <row r="7422" spans="1:18" ht="19.5" thickBot="1" x14ac:dyDescent="0.3">
      <c r="A7422" s="1071"/>
      <c r="B7422" s="636" t="s">
        <v>2990</v>
      </c>
      <c r="C7422" s="637" t="s">
        <v>20</v>
      </c>
      <c r="D7422" s="638">
        <v>5.7270000000000003</v>
      </c>
      <c r="E7422" s="639"/>
      <c r="F7422" s="640" t="s">
        <v>30</v>
      </c>
      <c r="G7422" s="641"/>
      <c r="H7422" s="640" t="s">
        <v>2991</v>
      </c>
      <c r="I7422" s="642"/>
      <c r="J7422" s="643"/>
      <c r="K7422" s="636"/>
      <c r="L7422" s="640" t="s">
        <v>28</v>
      </c>
      <c r="M7422" s="640">
        <v>5727.1200000000008</v>
      </c>
      <c r="N7422" s="644">
        <v>0.41666666666666669</v>
      </c>
      <c r="O7422" s="897" t="s">
        <v>2995</v>
      </c>
    </row>
    <row r="7423" spans="1:18" ht="19.5" thickBot="1" x14ac:dyDescent="0.3">
      <c r="A7423" s="513">
        <f>MAX(A7202:A7422)+1</f>
        <v>4534</v>
      </c>
      <c r="B7423" s="514" t="s">
        <v>2990</v>
      </c>
      <c r="C7423" s="515" t="s">
        <v>26</v>
      </c>
      <c r="D7423" s="516">
        <v>14.672000000000001</v>
      </c>
      <c r="E7423" s="517"/>
      <c r="F7423" s="518" t="s">
        <v>30</v>
      </c>
      <c r="G7423" s="519"/>
      <c r="H7423" s="518" t="s">
        <v>2991</v>
      </c>
      <c r="I7423" s="520"/>
      <c r="J7423" s="521"/>
      <c r="K7423" s="514"/>
      <c r="L7423" s="518" t="s">
        <v>265</v>
      </c>
      <c r="M7423" s="518">
        <v>14672.52</v>
      </c>
      <c r="N7423" s="522">
        <v>4.1666666666666664E-2</v>
      </c>
      <c r="O7423" s="897" t="s">
        <v>3000</v>
      </c>
    </row>
    <row r="7424" spans="1:18" ht="19.5" thickBot="1" x14ac:dyDescent="0.3">
      <c r="A7424" s="503">
        <f>MAX(A7203:A7423)+1</f>
        <v>4535</v>
      </c>
      <c r="B7424" s="504" t="s">
        <v>2990</v>
      </c>
      <c r="C7424" s="505" t="s">
        <v>26</v>
      </c>
      <c r="D7424" s="506">
        <v>17.728999999999999</v>
      </c>
      <c r="E7424" s="507"/>
      <c r="F7424" s="508" t="s">
        <v>16</v>
      </c>
      <c r="G7424" s="509"/>
      <c r="H7424" s="508" t="s">
        <v>2992</v>
      </c>
      <c r="I7424" s="510"/>
      <c r="J7424" s="511"/>
      <c r="K7424" s="504"/>
      <c r="L7424" s="508" t="s">
        <v>265</v>
      </c>
      <c r="M7424" s="508">
        <v>17889.14</v>
      </c>
      <c r="N7424" s="512">
        <v>4.1666666666666664E-2</v>
      </c>
      <c r="O7424" s="897" t="s">
        <v>2999</v>
      </c>
    </row>
    <row r="7425" spans="1:17" x14ac:dyDescent="0.25">
      <c r="A7425" s="1073">
        <f>MAX(A7204:A7424)+1</f>
        <v>4536</v>
      </c>
      <c r="B7425" s="479" t="s">
        <v>2990</v>
      </c>
      <c r="C7425" s="480" t="s">
        <v>23</v>
      </c>
      <c r="D7425" s="481">
        <v>14.750999999999999</v>
      </c>
      <c r="E7425" s="482"/>
      <c r="F7425" s="483" t="s">
        <v>16</v>
      </c>
      <c r="G7425" s="549"/>
      <c r="H7425" s="483" t="s">
        <v>2992</v>
      </c>
      <c r="I7425" s="484"/>
      <c r="J7425" s="485"/>
      <c r="K7425" s="479"/>
      <c r="L7425" s="483" t="s">
        <v>28</v>
      </c>
      <c r="M7425" s="483">
        <v>14923.7</v>
      </c>
      <c r="N7425" s="486">
        <v>0.41666666666666669</v>
      </c>
      <c r="O7425" s="897" t="s">
        <v>3002</v>
      </c>
    </row>
    <row r="7426" spans="1:17" ht="19.5" thickBot="1" x14ac:dyDescent="0.3">
      <c r="A7426" s="1074"/>
      <c r="B7426" s="645" t="s">
        <v>2990</v>
      </c>
      <c r="C7426" s="646" t="s">
        <v>20</v>
      </c>
      <c r="D7426" s="647">
        <v>2.7170000000000001</v>
      </c>
      <c r="E7426" s="648"/>
      <c r="F7426" s="649" t="s">
        <v>16</v>
      </c>
      <c r="G7426" s="650"/>
      <c r="H7426" s="649" t="s">
        <v>2992</v>
      </c>
      <c r="I7426" s="651"/>
      <c r="J7426" s="652"/>
      <c r="K7426" s="645"/>
      <c r="L7426" s="649" t="s">
        <v>28</v>
      </c>
      <c r="M7426" s="649">
        <v>2809.78</v>
      </c>
      <c r="N7426" s="653">
        <v>0.41666666666666669</v>
      </c>
      <c r="O7426" s="897" t="s">
        <v>3001</v>
      </c>
    </row>
    <row r="7427" spans="1:17" ht="56.25" x14ac:dyDescent="0.25">
      <c r="A7427" s="1070">
        <f>MAX(A7206:A7426)+1</f>
        <v>4537</v>
      </c>
      <c r="B7427" s="531" t="s">
        <v>2990</v>
      </c>
      <c r="C7427" s="532" t="s">
        <v>587</v>
      </c>
      <c r="D7427" s="533">
        <v>1.075</v>
      </c>
      <c r="E7427" s="534"/>
      <c r="F7427" s="535" t="s">
        <v>16</v>
      </c>
      <c r="G7427" s="536" t="s">
        <v>794</v>
      </c>
      <c r="H7427" s="535" t="s">
        <v>2992</v>
      </c>
      <c r="I7427" s="537"/>
      <c r="J7427" s="538"/>
      <c r="K7427" s="531"/>
      <c r="L7427" s="535" t="s">
        <v>28</v>
      </c>
      <c r="M7427" s="535">
        <v>1075.04</v>
      </c>
      <c r="N7427" s="539">
        <v>0.45833333333333331</v>
      </c>
      <c r="O7427" s="897" t="s">
        <v>3004</v>
      </c>
    </row>
    <row r="7428" spans="1:17" x14ac:dyDescent="0.25">
      <c r="A7428" s="1072"/>
      <c r="B7428" s="563" t="s">
        <v>2990</v>
      </c>
      <c r="C7428" s="564" t="s">
        <v>587</v>
      </c>
      <c r="D7428" s="565">
        <v>7.423</v>
      </c>
      <c r="E7428" s="566"/>
      <c r="F7428" s="567" t="s">
        <v>16</v>
      </c>
      <c r="G7428" s="568" t="s">
        <v>47</v>
      </c>
      <c r="H7428" s="567" t="s">
        <v>2992</v>
      </c>
      <c r="I7428" s="569"/>
      <c r="J7428" s="570"/>
      <c r="K7428" s="563"/>
      <c r="L7428" s="567" t="s">
        <v>28</v>
      </c>
      <c r="M7428" s="567">
        <v>7423.5599999999995</v>
      </c>
      <c r="N7428" s="571">
        <v>0.45833333333333331</v>
      </c>
      <c r="O7428" s="897" t="s">
        <v>3005</v>
      </c>
    </row>
    <row r="7429" spans="1:17" ht="19.5" thickBot="1" x14ac:dyDescent="0.3">
      <c r="A7429" s="1071"/>
      <c r="B7429" s="636" t="s">
        <v>2990</v>
      </c>
      <c r="C7429" s="637" t="s">
        <v>47</v>
      </c>
      <c r="D7429" s="638">
        <v>9.1080000000000005</v>
      </c>
      <c r="E7429" s="639"/>
      <c r="F7429" s="640" t="s">
        <v>16</v>
      </c>
      <c r="G7429" s="641"/>
      <c r="H7429" s="640" t="s">
        <v>2992</v>
      </c>
      <c r="I7429" s="642"/>
      <c r="J7429" s="643"/>
      <c r="K7429" s="636"/>
      <c r="L7429" s="640" t="s">
        <v>28</v>
      </c>
      <c r="M7429" s="640">
        <v>9340.3799999999992</v>
      </c>
      <c r="N7429" s="644">
        <v>0.45833333333333331</v>
      </c>
      <c r="O7429" s="897" t="s">
        <v>3003</v>
      </c>
      <c r="Q7429" s="900"/>
    </row>
    <row r="7430" spans="1:17" x14ac:dyDescent="0.25">
      <c r="A7430" s="676">
        <f>MAX(A7209:A7429)+1</f>
        <v>4538</v>
      </c>
      <c r="B7430" s="676"/>
      <c r="C7430" s="473"/>
      <c r="D7430" s="474"/>
      <c r="E7430" s="475"/>
      <c r="F7430" s="676"/>
      <c r="G7430" s="476"/>
      <c r="H7430" s="676"/>
      <c r="I7430" s="477"/>
      <c r="J7430" s="478"/>
      <c r="K7430" s="676"/>
      <c r="L7430" s="676"/>
      <c r="M7430" s="676"/>
      <c r="N7430" s="676"/>
    </row>
    <row r="7431" spans="1:17" x14ac:dyDescent="0.25">
      <c r="A7431" s="676">
        <f>MAX(A7210:A7430)+1</f>
        <v>4539</v>
      </c>
      <c r="B7431" s="676"/>
      <c r="C7431" s="473"/>
      <c r="D7431" s="474"/>
      <c r="E7431" s="475"/>
      <c r="F7431" s="676"/>
      <c r="G7431" s="476"/>
      <c r="H7431" s="676"/>
      <c r="I7431" s="477"/>
      <c r="J7431" s="478"/>
      <c r="K7431" s="676"/>
      <c r="L7431" s="676"/>
      <c r="M7431" s="676"/>
      <c r="N7431" s="676"/>
    </row>
    <row r="7432" spans="1:17" x14ac:dyDescent="0.25">
      <c r="A7432" s="676">
        <f>MAX(A7211:A7431)+1</f>
        <v>4540</v>
      </c>
      <c r="B7432" s="676"/>
      <c r="C7432" s="473"/>
      <c r="D7432" s="474"/>
      <c r="E7432" s="475"/>
      <c r="F7432" s="676"/>
      <c r="G7432" s="476"/>
      <c r="H7432" s="676"/>
      <c r="I7432" s="477"/>
      <c r="J7432" s="478"/>
      <c r="K7432" s="676"/>
      <c r="L7432" s="676"/>
      <c r="M7432" s="676"/>
      <c r="N7432" s="676"/>
    </row>
    <row r="7433" spans="1:17" x14ac:dyDescent="0.25">
      <c r="A7433" s="676">
        <f>MAX(A7212:A7432)+1</f>
        <v>4541</v>
      </c>
      <c r="B7433" s="676"/>
      <c r="C7433" s="473"/>
      <c r="D7433" s="474"/>
      <c r="E7433" s="475"/>
      <c r="F7433" s="676"/>
      <c r="G7433" s="476"/>
      <c r="H7433" s="676"/>
      <c r="I7433" s="477"/>
      <c r="J7433" s="478"/>
      <c r="K7433" s="676"/>
      <c r="L7433" s="676"/>
      <c r="M7433" s="676"/>
      <c r="N7433" s="676"/>
    </row>
    <row r="7434" spans="1:17" x14ac:dyDescent="0.25">
      <c r="A7434" s="676">
        <f>MAX(A7213:A7433)+1</f>
        <v>4542</v>
      </c>
      <c r="B7434" s="676"/>
      <c r="C7434" s="473"/>
      <c r="D7434" s="474"/>
      <c r="E7434" s="475"/>
      <c r="F7434" s="676"/>
      <c r="G7434" s="476"/>
      <c r="H7434" s="676"/>
      <c r="I7434" s="477"/>
      <c r="J7434" s="478"/>
      <c r="K7434" s="676"/>
      <c r="L7434" s="676"/>
      <c r="M7434" s="676"/>
      <c r="N7434" s="676"/>
    </row>
  </sheetData>
  <autoFilter ref="A2:R7434" xr:uid="{9E4C531E-AD50-422A-AC7C-8C5AF4C19268}">
    <filterColumn colId="10">
      <filters blank="1"/>
    </filterColumn>
  </autoFilter>
  <mergeCells count="1981">
    <mergeCell ref="A7420:A7422"/>
    <mergeCell ref="A7425:A7426"/>
    <mergeCell ref="A7427:A7429"/>
    <mergeCell ref="A7407:A7408"/>
    <mergeCell ref="A7415:A7416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405:A7406"/>
    <mergeCell ref="A7409:A7411"/>
    <mergeCell ref="G7409:G7411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65:A736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7401:A7402"/>
    <mergeCell ref="G7401:G7402"/>
    <mergeCell ref="A7403:A7404"/>
    <mergeCell ref="G7403:G7404"/>
    <mergeCell ref="A7412:A7413"/>
    <mergeCell ref="G7412:G7413"/>
    <mergeCell ref="A7398:A7400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2026-09-30T18:12:19Z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