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69106C6-818D-40AA-B156-7EE0D4A3FC1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Лист1!$A$2:$N$6749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750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6" i="1" l="1"/>
  <c r="A6737" i="1" s="1"/>
  <c r="A6738" i="1" s="1"/>
  <c r="A6739" i="1" s="1"/>
  <c r="A6740" i="1" s="1"/>
  <c r="A6741" i="1" l="1"/>
  <c r="A6742" i="1" s="1"/>
  <c r="A6745" i="1" l="1"/>
  <c r="A6746" i="1" l="1"/>
  <c r="A6747" i="1" s="1"/>
  <c r="A6748" i="1" s="1"/>
  <c r="A6752" i="1" l="1"/>
  <c r="A6753" i="1" s="1"/>
  <c r="A6754" i="1" l="1"/>
  <c r="A6755" i="1" s="1"/>
  <c r="A6756" i="1" l="1"/>
  <c r="A6757" i="1" s="1"/>
  <c r="A6758" i="1" s="1"/>
</calcChain>
</file>

<file path=xl/sharedStrings.xml><?xml version="1.0" encoding="utf-8"?>
<sst xmlns="http://schemas.openxmlformats.org/spreadsheetml/2006/main" count="42589" uniqueCount="1704">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</sst>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3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4" fillId="17" borderId="75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58"/>
  <sheetViews>
    <sheetView tabSelected="1" zoomScale="85" zoomScaleNormal="85" workbookViewId="0">
      <pane ySplit="2" topLeftCell="A6734" activePane="bottomLeft" state="frozen"/>
      <selection pane="bottomLeft" activeCell="G6756" sqref="G675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14.140625" style="853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31" t="s">
        <v>0</v>
      </c>
      <c r="B1" s="931"/>
      <c r="C1" s="931"/>
      <c r="D1" s="931"/>
      <c r="E1" s="931"/>
      <c r="F1" s="931"/>
      <c r="G1" s="931"/>
      <c r="H1" s="931"/>
      <c r="I1" s="931"/>
      <c r="J1" s="931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32">
        <v>1</v>
      </c>
      <c r="B3" s="93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32"/>
      <c r="B4" s="93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29">
        <v>3</v>
      </c>
      <c r="B6" s="929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29"/>
      <c r="B7" s="929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29"/>
      <c r="B8" s="929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29">
        <v>5</v>
      </c>
      <c r="B10" s="929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29"/>
      <c r="B11" s="929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28">
        <v>8</v>
      </c>
      <c r="B14" s="92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28"/>
      <c r="B15" s="92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29">
        <v>11</v>
      </c>
      <c r="B18" s="929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29"/>
      <c r="B19" s="929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29"/>
      <c r="B20" s="929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29"/>
      <c r="B21" s="929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29">
        <v>13</v>
      </c>
      <c r="B23" s="929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29"/>
      <c r="B24" s="929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28">
        <v>14</v>
      </c>
      <c r="B25" s="92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28"/>
      <c r="B26" s="92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29">
        <v>15</v>
      </c>
      <c r="B27" s="929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29"/>
      <c r="B28" s="929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29"/>
      <c r="B29" s="929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29"/>
      <c r="B30" s="929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28">
        <v>16</v>
      </c>
      <c r="B31" s="92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28"/>
      <c r="B32" s="92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28"/>
      <c r="B33" s="92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28"/>
      <c r="B34" s="92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29">
        <v>17</v>
      </c>
      <c r="B35" s="929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29"/>
      <c r="B36" s="929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29">
        <v>21</v>
      </c>
      <c r="B40" s="929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29"/>
      <c r="B41" s="929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29">
        <v>23</v>
      </c>
      <c r="B43" s="929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29"/>
      <c r="B44" s="929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29"/>
      <c r="B45" s="929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28">
        <v>24</v>
      </c>
      <c r="B46" s="92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28"/>
      <c r="B47" s="92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29">
        <v>25</v>
      </c>
      <c r="B48" s="929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29"/>
      <c r="B49" s="929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29"/>
      <c r="B50" s="929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28">
        <v>26</v>
      </c>
      <c r="B51" s="92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28"/>
      <c r="B52" s="92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29">
        <v>29</v>
      </c>
      <c r="B55" s="929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29"/>
      <c r="B56" s="929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28">
        <v>32</v>
      </c>
      <c r="B59" s="92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28"/>
      <c r="B60" s="92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28">
        <v>34</v>
      </c>
      <c r="B62" s="92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28"/>
      <c r="B63" s="92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28"/>
      <c r="B64" s="92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28"/>
      <c r="B65" s="92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28"/>
      <c r="B66" s="92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29">
        <v>35</v>
      </c>
      <c r="B67" s="929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29"/>
      <c r="B68" s="929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04">
        <v>40</v>
      </c>
      <c r="B73" s="92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04"/>
      <c r="B74" s="92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05">
        <v>41</v>
      </c>
      <c r="B75" s="929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05"/>
      <c r="B76" s="929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05"/>
      <c r="B77" s="929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04">
        <v>42</v>
      </c>
      <c r="B78" s="92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04"/>
      <c r="B79" s="92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05">
        <v>49</v>
      </c>
      <c r="B86" s="929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05"/>
      <c r="B87" s="929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05"/>
      <c r="B88" s="929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04">
        <v>50</v>
      </c>
      <c r="B89" s="92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04"/>
      <c r="B90" s="92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05">
        <v>51</v>
      </c>
      <c r="B91" s="929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05"/>
      <c r="B92" s="929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05">
        <v>53</v>
      </c>
      <c r="B94" s="929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05"/>
      <c r="B95" s="929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04">
        <v>54</v>
      </c>
      <c r="B96" s="92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04"/>
      <c r="B97" s="92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04"/>
      <c r="B98" s="92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04">
        <v>58</v>
      </c>
      <c r="B102" s="92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04"/>
      <c r="B103" s="92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04">
        <v>60</v>
      </c>
      <c r="B105" s="92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04"/>
      <c r="B106" s="92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04"/>
      <c r="B107" s="92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05">
        <v>61</v>
      </c>
      <c r="B108" s="929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05"/>
      <c r="B109" s="929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05"/>
      <c r="B110" s="929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04">
        <v>64</v>
      </c>
      <c r="B113" s="92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04"/>
      <c r="B114" s="92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04">
        <v>66</v>
      </c>
      <c r="B116" s="92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04"/>
      <c r="B117" s="92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05">
        <v>67</v>
      </c>
      <c r="B118" s="929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05"/>
      <c r="B119" s="929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05"/>
      <c r="B120" s="929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04">
        <v>68</v>
      </c>
      <c r="B121" s="92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04"/>
      <c r="B122" s="92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05">
        <v>69</v>
      </c>
      <c r="B123" s="929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05"/>
      <c r="B124" s="929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04">
        <v>72</v>
      </c>
      <c r="B127" s="928" t="s">
        <v>65</v>
      </c>
      <c r="C127" s="119" t="s">
        <v>26</v>
      </c>
      <c r="D127" s="120">
        <v>3.3</v>
      </c>
      <c r="E127" s="121"/>
      <c r="F127" s="122" t="s">
        <v>30</v>
      </c>
      <c r="G127" s="92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04"/>
      <c r="B128" s="928"/>
      <c r="C128" s="103" t="s">
        <v>26</v>
      </c>
      <c r="D128" s="88">
        <v>12.9</v>
      </c>
      <c r="E128" s="106"/>
      <c r="F128" s="107" t="s">
        <v>16</v>
      </c>
      <c r="G128" s="92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04">
        <v>76</v>
      </c>
      <c r="B132" s="93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04"/>
      <c r="B133" s="93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04"/>
      <c r="B134" s="93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04"/>
      <c r="B135" s="93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04">
        <v>78</v>
      </c>
      <c r="B137" s="93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04"/>
      <c r="B138" s="93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3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3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0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0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0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0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0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0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0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0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0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0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0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0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0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0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0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0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0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0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0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0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0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0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2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0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2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0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0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0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0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0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0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0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0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0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0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0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0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0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0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0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0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0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0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0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0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0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0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0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0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0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0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0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0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0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0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0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0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0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0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0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0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0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0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0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0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0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2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0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2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0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0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0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0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0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0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0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0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0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0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0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0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0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0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0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0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0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0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0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0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0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0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0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0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0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0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0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0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0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0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0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0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1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0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19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0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0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0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2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0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2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0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0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0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0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0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0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0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0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0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0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0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0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0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0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0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0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0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0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0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0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0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0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0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0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0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0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0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0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0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2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0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2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0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0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0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0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0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0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0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0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0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0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0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0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0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0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0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0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0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0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0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0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0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0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0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0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0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0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0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0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0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0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0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0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0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0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1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0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1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0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0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0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0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0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0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0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0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0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0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0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0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0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0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0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0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0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0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0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0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0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0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0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0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0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0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0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0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0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0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0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0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0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0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1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0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1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0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0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0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0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0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0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25" t="s">
        <v>133</v>
      </c>
      <c r="J420" s="925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0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0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0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0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0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0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0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0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0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0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0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0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0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0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0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0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0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0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0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0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0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0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0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0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0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0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0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0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0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0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0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0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0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0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0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0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0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0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0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0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0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0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0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0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0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0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0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0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0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0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0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0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0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0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0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0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0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0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0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0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0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1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0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1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0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0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0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2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0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24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0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24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0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24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0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24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0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0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0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0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0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0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0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0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0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0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0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0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0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0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0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0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0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0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0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0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0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0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0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0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0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0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0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0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0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0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0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0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0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0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0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0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0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0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0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0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0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0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0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0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0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0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0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0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0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0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0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0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0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0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0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0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0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0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0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0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0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0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0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0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0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0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0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0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0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0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0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0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0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0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0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0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1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0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1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0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0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0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0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0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0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0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0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0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0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0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0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0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0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0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0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0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0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0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0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0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0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0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0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0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0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0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0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0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0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0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0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0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0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0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0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0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0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0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0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0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0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0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0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1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0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1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0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0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2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0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21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0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0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0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0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0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0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0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0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0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0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0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0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0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0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0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0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0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0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0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0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0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0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0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0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0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0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0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0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0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1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0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1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2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2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2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0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0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0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2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2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0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0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0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2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2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0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0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0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0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0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0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0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0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0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0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0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0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0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0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0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0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0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0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0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0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0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0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2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0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23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0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0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0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0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0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0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0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0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0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0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0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0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0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0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0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0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3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3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3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3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3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3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0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1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0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1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0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0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0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0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0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0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0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0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0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0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0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0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0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0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0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0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3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3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0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0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0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0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0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0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0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0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0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0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0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0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0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0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0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0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0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0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0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0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0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0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0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0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0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0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0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0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0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0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0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0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0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0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0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0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0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0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0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0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0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0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0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0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0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0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0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0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0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0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0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0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0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0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0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0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0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0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0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0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0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0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0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0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0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0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0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0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0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0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0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0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0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0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0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0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0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0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0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0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0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0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0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0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0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0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0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0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0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0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0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0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0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0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0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0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0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0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0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0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0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0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0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0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0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0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0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0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0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0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0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0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0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0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0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0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0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0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0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0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0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0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0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0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0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0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0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0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0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0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0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0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0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0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0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0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0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0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0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0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0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0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0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0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0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3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3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0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0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0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0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0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0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0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0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0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0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0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0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0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0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0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0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0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0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0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0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0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0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0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0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1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0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1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0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0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0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0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0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0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0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0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0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0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0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0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0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0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0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0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0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0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0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0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0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0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0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0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0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0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0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0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0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0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0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0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0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0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0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0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0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0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0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0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0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0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1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0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1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0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0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0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0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0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0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0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0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0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0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0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0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0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0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0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0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0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0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0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0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0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0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0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0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0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0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0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0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0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0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0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0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0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0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0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0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0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0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0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0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0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0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0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0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0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0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0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0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0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0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0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0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0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0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0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0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0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0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0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0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0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0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0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0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0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0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0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0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0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0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90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0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0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0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0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0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0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0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0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0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0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0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0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0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0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0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0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0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0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0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0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0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0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0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0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0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0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0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0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0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0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0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0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0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0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0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0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0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0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0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0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0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0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0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0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0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0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0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0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0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0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0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0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0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0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0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0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0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0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0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0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0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0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0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0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0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0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0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0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0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0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0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0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0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0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0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0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0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0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0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0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0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0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0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0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0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0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0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0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0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0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0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0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0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0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0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0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0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0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0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0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0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0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0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0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0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0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0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0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0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0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0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0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0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0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0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0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0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0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0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0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0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0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0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0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0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0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0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0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0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0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1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0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1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0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0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0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0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0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0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0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0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0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0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0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0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0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0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0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0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0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0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0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0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0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0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0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0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0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0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0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2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0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2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0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0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0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0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0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0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0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0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0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0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0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0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0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0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0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0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0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0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0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0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0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0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0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0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0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0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0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1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0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1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0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0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0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0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0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0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0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0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0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0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0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0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0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0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0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1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0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1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0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1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0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1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0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0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0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0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0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0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0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0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0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1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0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1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0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0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0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0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0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0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0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0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0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0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0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0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0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0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0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0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0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0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0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0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0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0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0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0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0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1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0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1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0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0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0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0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0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0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0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0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0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0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0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0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0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0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0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0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0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0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0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0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0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0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0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0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0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0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0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0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0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0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0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0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0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0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0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0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0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0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0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0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0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0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0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0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1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0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1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0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0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0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0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0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0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0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0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0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0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0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0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0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0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0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0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0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0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0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0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0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0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0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0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0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0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0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0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0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0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0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0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0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0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0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0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0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0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0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0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0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0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0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0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0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0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0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0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0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0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0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0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0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0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0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0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0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0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0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0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0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0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0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0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0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0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0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0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0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0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0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0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0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0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0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0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1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0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1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0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0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0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0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0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0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0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0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0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0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0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0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0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0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0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0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0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0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0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0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0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0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0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0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0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0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0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0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0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0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0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0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0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0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0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0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0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0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1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0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1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0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0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0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0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0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0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0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0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0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0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0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0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0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0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0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0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0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0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0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0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0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0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0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0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1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0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1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0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1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0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0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0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0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0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0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0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0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0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0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0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0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0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0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0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0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0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0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0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0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0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0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0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0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0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0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0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0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0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0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0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0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0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0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0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0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0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0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0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0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0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0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0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0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0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1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0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1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0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0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0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0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0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0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0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0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0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0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0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0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0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0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0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0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0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0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0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0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1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0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1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0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0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0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0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0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0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0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0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0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0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0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0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0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0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0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0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0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0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0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0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0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0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1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0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1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0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0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0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0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0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0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0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0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0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0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0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0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0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0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0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0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0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0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0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0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0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0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0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0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0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0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0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0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0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0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0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0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0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0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0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0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0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0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0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0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0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0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0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0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0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0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0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0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0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0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0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0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0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0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0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0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0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0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0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0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0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0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0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0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0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0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0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0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0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0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0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1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0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1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0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0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0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0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0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0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0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0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0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0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1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0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1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0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0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0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0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0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0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0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0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0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0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0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0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0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0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0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0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0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0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0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0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0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0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0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0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0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0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0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0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0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0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0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0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0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0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0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0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0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0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0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0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0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0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0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0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0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0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0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0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0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0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0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0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0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0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0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0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0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0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0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0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0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0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0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0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0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0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0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0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0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0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0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0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0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0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0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0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0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0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0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0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0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1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17" t="s">
        <v>467</v>
      </c>
      <c r="H2160" s="414" t="s">
        <v>515</v>
      </c>
      <c r="I2160" s="415" t="s">
        <v>516</v>
      </c>
      <c r="J2160" s="91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1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17"/>
      <c r="H2161" s="421" t="s">
        <v>515</v>
      </c>
      <c r="I2161" s="422" t="s">
        <v>516</v>
      </c>
      <c r="J2161" s="91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1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17"/>
      <c r="H2162" s="429" t="s">
        <v>515</v>
      </c>
      <c r="I2162" s="430" t="s">
        <v>516</v>
      </c>
      <c r="J2162" s="91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1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17" t="s">
        <v>467</v>
      </c>
      <c r="H2165" s="414" t="s">
        <v>516</v>
      </c>
      <c r="I2165" s="415" t="s">
        <v>516</v>
      </c>
      <c r="J2165" s="91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1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17"/>
      <c r="H2166" s="429" t="s">
        <v>516</v>
      </c>
      <c r="I2166" s="430" t="s">
        <v>516</v>
      </c>
      <c r="J2166" s="91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0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0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0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0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0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0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0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0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0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0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0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0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1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0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1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0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0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0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0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0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0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0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0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1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0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1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0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1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0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1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0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0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0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0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0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0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0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0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0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0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0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0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0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0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0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0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0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0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0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0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0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0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0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0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0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0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0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0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0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0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0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0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0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0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0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0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0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0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0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0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0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0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0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0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0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0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0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0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0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0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0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0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0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0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0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0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0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0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0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0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0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0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0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0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0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0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0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0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0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0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0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0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0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0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0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0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0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0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0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0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0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0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0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0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0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0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0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0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0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0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0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0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0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0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0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0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0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0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0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0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0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0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0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0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0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0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0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0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0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0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0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0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0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0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0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0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0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0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0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0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0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0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0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0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0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0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0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0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0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0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0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0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0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0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0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0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0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0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0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0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0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0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0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0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0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0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0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0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0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0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0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0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0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0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0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0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0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0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0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0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0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0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0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0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0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0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0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0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0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0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0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0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0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0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0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0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0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0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0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0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0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0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0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0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0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0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0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0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0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0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0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0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0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0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0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0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0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0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0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0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0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0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0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0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0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0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0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0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0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0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0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0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0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0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0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0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0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0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0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0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0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0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0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0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1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1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1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1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0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0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0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1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0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1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0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0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0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0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0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0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0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0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0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0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0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0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0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0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0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0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0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0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0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0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0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0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0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0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0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0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0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0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0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0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0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0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0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0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0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0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0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0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0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0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0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0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0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0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0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0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0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0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0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0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0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0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0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0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0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0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0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0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0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0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0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0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0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0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0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0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0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0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0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0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0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0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0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0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0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0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0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1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1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0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0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0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0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0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0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0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0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0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0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0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0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0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0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0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0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0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0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0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0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0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0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0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0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0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0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0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0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0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0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0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0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0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0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0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0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0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0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0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0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0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0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0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0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0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0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0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0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0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0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0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0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0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0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0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0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0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0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0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0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0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0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0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0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0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0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0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0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0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0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0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0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0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0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0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0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0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0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0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0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0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0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0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0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0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0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0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0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0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0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0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0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0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0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0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0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1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0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1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0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0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0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1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0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1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0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0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0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0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0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0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0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0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0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0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0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0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0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0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0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0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0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0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0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0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0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0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0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0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0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0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0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0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0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0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0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0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0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0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0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0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0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0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0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0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0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0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0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0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0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0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0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0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0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1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0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1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0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0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0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0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0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0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0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1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0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1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0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0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0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0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0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0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0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0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0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0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0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0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0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0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0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0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0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0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0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0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0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0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0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0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0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0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0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0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1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0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1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0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0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0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0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0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0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0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0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0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0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0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0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0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0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0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0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0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0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0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0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0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0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0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0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0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0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0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0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0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0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0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0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0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0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0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0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0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0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0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0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0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0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0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0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0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0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0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0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0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0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0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0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0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0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0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0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0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0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0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0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0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0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0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0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0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0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0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0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0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0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0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0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0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0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0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0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0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0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0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0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0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0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0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0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0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0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0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0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0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0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0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0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0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0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0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0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0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0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0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0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0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0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0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0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0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0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0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0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0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0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0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0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0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0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0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0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0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0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0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0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0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0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0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0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0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0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0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0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0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0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0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0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0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0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0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0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0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0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0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0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0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0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0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0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0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0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0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0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0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0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0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0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0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0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0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1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0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1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0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1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0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1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0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0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0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0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0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0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0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0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0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0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0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0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0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0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0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0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0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0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0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0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0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0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0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0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0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0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0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0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0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0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0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0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0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0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0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0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0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0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0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0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0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0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0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0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0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0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0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0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0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0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0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0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0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0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0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0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0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0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0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0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0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0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0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0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0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0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0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0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0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0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0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0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0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0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0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0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0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0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0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0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0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0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0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0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0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0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0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0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0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0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0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0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0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0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0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0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0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0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0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0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0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0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0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0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0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0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0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0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0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0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0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0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0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0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0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0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0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0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0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0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0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0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0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0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0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0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0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0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0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0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0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0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0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0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0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0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0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0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0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0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0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0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0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0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0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0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0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0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0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0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0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0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0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0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0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0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0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0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0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0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0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0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0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0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0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0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0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0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0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0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0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1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0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1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0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0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0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0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0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0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0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0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0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0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1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0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1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0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0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0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0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0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0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0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0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0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0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0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0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0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1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0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1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0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0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0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0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0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0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0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0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0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0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0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0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0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0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0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0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0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0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0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0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0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0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0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0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0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0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0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0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0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0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0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0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0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0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0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0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0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0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0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0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0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0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0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0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0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0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0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0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0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0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0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0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0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0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0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0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0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0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0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0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0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0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0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0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0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0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0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0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0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0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0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0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0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0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0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0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0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0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0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0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0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0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0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0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0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0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0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0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0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0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0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0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0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0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0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0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0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0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0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0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0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6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9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7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9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6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9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7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9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7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9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7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9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6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89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6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89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6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9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89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0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6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7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7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7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6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6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6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6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89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6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89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6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89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6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7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7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7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7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7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6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6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89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0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6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89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6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6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89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0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6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7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7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89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6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7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6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6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6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89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6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6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6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6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7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7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7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7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7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6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89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6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9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89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0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6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9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89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0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6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89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6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89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6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7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6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89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6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89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6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7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89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6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6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89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6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6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6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6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6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6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6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89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6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6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89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0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6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89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6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89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6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7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7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89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6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9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89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0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6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6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89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6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89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6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6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89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0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6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7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7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7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7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7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6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89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6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89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6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6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89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0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6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7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89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6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6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89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6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7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89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6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6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6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6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6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89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6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7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89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6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7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7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7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6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6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6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6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6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6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6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6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6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89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6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9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7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9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89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0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6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7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89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6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6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89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6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7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7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6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9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89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0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6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6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6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89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6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89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6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89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6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89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6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6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6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6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6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6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89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6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7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89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6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89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6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89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6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89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6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9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89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0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6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6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6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7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89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6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89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6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89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6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89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6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89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6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7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6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6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6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6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6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6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6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89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6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89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6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6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6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89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6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7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7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7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7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89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6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89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6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6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6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89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6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6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6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6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6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6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6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89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6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9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89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0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6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6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89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6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7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7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89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6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6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89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6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9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7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9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89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0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6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6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89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0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6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89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6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89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6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7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7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7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7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7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6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89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6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89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6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6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89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6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7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7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89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6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89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6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9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89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0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6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89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6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6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89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6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89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6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7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6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6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6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6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6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6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6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6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89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6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7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6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6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89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0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6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7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7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7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7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7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89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6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6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6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6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6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7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89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6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89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6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89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6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7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89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6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89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6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0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0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6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7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7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7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7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89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6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89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6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7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89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6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89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6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89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6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89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6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6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64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6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7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6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6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64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6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9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6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9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6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7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6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6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64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6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6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7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7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7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7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6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64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6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6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6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7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6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6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64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6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7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7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6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6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6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9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64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6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6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64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6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6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64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6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7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6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6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6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6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6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6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6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6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6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6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64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6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7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7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6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6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64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6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7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7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6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6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6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6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6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6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6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6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6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6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6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6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6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6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6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6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6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64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6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6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6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64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6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6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6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7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6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6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6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6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64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6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6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64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6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7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7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7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6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6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7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6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64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6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64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6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64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6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7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6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6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6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6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64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6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7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6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6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9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6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9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6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6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64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6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6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64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6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7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7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6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6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6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6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6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6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9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6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9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64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6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6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7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6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6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6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6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6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64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6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6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6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6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6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6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6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64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6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6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6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6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6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64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6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64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6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6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6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6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6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6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6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6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6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6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6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6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7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6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6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9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7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9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7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9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6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9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6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64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6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6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6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6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6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6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64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6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6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6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6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64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6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6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6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6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6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6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6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6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64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6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7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6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6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64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6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6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6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7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6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6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6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64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6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7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6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6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6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64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6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64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6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6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6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6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64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6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7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7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6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6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6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6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6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6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7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6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6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64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6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7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7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7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6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64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6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6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6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6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6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64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6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6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6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64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6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64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6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6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6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6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6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7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7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6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6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6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6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7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7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6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6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64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6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64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6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7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6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6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6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64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6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6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64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6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6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64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6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6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6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7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7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6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6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6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6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9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6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6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6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64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6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6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6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64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6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6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6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7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6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6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64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6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6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6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6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64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6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7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6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6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64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6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6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6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7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6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6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64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6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7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6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6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6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6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6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6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64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6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6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6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64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6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7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6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6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6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64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6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6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64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6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6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6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6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64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6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9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7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9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6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9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6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6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64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6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64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6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64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6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7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6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6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6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6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6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6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7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7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6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6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6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6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9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6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9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6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64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6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6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6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64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6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7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7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6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6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6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6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6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6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6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6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7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6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6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6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64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6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6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6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6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64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6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6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6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64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6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6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6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6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64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7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7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6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6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6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6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6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6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6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64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6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6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6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64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6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6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6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9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6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9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6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7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6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6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6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64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6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7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6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6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6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6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64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6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7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6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64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6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6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6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6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6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9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6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9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64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6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6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6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64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6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6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64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6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6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7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6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7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6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6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6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64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6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9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6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9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6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6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6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6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6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6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6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64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6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9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7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9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6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64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6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64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6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6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6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64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6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9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6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9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6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7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6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6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6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64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6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6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64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6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6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6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6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7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6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6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6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6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6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6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6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6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6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64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6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6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6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6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6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9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64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6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6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6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6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9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6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9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6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64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6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7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7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6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6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6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64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6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6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6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6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64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6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6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6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6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6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9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6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9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6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6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6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6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6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6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9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6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9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6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6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6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64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6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6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6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6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64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6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7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7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6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6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64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6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6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6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64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6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9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6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9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6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6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6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6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64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6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9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7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9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6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64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6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6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64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6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7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6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6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6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6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6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6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6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6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64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6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9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6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9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6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6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6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6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64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6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6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7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7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6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64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6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6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6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64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6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9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6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9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6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64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6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6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6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6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64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6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6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6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6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6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64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6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6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6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6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64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6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6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64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6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6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7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6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6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6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6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6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6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7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6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6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6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64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6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6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64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6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6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6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64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6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6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7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6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7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6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6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6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64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6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6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6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64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6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6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64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6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6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6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6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6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6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6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6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64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6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6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6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6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6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64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6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9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7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9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7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9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6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6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64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6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7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7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7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7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7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7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6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7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6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64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6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9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7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9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7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7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7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6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64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6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7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6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6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64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6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6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6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6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6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6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6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9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64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6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6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7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6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6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64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6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6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6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6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64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6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6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64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6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7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6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6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9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7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9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7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9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7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9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6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64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6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9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6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9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6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6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6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6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64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6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9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6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9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6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6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6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7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7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6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6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64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6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9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6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9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6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6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64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6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6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6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7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7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6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64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6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6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6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64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6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64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6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6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6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7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7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6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6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6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64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6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6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6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64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6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6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6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9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7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9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6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6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6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64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6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9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6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9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6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6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6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9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6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9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6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7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6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6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64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6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6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6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6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64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6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6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6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64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6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7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7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6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6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6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64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6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7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6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9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6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9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6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6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6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7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7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6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64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6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7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6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6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64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6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6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6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64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6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6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6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6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6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6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64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6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6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6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64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6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6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6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9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6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7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7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6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64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6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7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7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6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6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6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64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6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6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6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6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6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6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64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6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7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7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6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6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64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6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6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6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7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6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9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7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9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7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9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7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9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7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9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6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64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6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6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6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64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6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6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6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64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6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6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6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6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64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6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7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6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6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7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6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6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64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6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6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64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6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6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6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6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9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6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9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6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9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6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6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6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64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6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6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6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6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6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64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6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6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6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64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7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7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6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64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7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9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7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9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6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6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6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9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6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9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6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6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6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9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7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9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6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64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6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6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6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64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6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6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6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64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6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9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6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9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6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6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6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64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6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6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6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64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6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7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6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6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64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6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64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6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6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6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6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6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6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6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6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6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64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6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6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64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6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7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6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6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6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64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6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7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6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6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64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6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6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7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6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6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6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6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64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6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6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6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9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6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9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6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6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6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64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6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6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6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6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64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6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6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6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6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6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64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6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7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6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6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7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6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6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64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6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6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6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6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9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6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9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6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9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64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6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6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7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6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6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6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6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6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64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6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9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6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9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6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64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6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7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6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6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6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6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6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6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6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64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6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6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6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64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6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7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6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7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7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6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6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64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6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7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6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6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64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6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6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6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6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64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6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6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6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6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6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6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6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6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7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7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6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6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6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6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64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6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6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6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6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64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6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6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6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9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9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88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88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89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6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64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88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88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8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89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8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88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89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6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6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6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6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86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87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7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87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87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87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6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86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6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64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6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6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6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6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6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6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64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6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7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64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72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6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6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6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6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6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7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6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6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64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6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64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6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6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64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6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7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6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6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6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6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6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6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6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6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64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6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6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6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64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6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6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64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6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6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6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6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64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6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6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6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6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86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7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7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81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7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7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6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6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6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7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7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79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8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81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7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85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85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79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8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7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81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7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7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8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81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7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85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79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8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81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7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85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79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6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845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758" t="s">
        <v>1666</v>
      </c>
    </row>
    <row r="6704" spans="1:16" x14ac:dyDescent="0.25">
      <c r="A6704" s="87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758" t="s">
        <v>1667</v>
      </c>
    </row>
    <row r="6705" spans="1:16" x14ac:dyDescent="0.25">
      <c r="A6705" s="87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758" t="s">
        <v>1668</v>
      </c>
    </row>
    <row r="6706" spans="1:16" ht="19.5" thickBot="1" x14ac:dyDescent="0.3">
      <c r="A6706" s="870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758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6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758" t="s">
        <v>1673</v>
      </c>
      <c r="P6709" s="853" t="s">
        <v>1675</v>
      </c>
    </row>
    <row r="6710" spans="1:16" x14ac:dyDescent="0.25">
      <c r="A6710" s="86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758" t="s">
        <v>1671</v>
      </c>
    </row>
    <row r="6711" spans="1:16" x14ac:dyDescent="0.25">
      <c r="A6711" s="86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758" t="s">
        <v>1672</v>
      </c>
    </row>
    <row r="6712" spans="1:16" ht="19.5" thickBot="1" x14ac:dyDescent="0.3">
      <c r="A6712" s="864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758" t="s">
        <v>1674</v>
      </c>
    </row>
    <row r="6713" spans="1:16" x14ac:dyDescent="0.25">
      <c r="A6713" s="88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845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758" t="s">
        <v>1698</v>
      </c>
    </row>
    <row r="6714" spans="1:16" ht="19.5" thickBot="1" x14ac:dyDescent="0.3">
      <c r="A6714" s="881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758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843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853" t="s">
        <v>1665</v>
      </c>
    </row>
    <row r="6718" spans="1:16" x14ac:dyDescent="0.25">
      <c r="A6718" s="88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882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758" t="s">
        <v>1690</v>
      </c>
    </row>
    <row r="6719" spans="1:16" x14ac:dyDescent="0.25">
      <c r="A6719" s="87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883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758" t="s">
        <v>1689</v>
      </c>
    </row>
    <row r="6720" spans="1:16" ht="19.5" thickBot="1" x14ac:dyDescent="0.3">
      <c r="A6720" s="881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884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758" t="s">
        <v>1691</v>
      </c>
    </row>
    <row r="6721" spans="1:17" x14ac:dyDescent="0.25">
      <c r="A6721" s="86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93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758" t="s">
        <v>1682</v>
      </c>
    </row>
    <row r="6722" spans="1:17" ht="19.5" thickBot="1" x14ac:dyDescent="0.3">
      <c r="A6722" s="864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93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758" t="s">
        <v>1683</v>
      </c>
    </row>
    <row r="6723" spans="1:17" x14ac:dyDescent="0.25">
      <c r="A6723" s="88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94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758" t="s">
        <v>1669</v>
      </c>
    </row>
    <row r="6724" spans="1:17" ht="19.5" thickBot="1" x14ac:dyDescent="0.3">
      <c r="A6724" s="881"/>
      <c r="B6724" s="846" t="s">
        <v>1631</v>
      </c>
      <c r="C6724" s="847" t="s">
        <v>23</v>
      </c>
      <c r="D6724" s="848">
        <v>1.7</v>
      </c>
      <c r="E6724" s="848">
        <v>1.722</v>
      </c>
      <c r="F6724" s="849" t="s">
        <v>16</v>
      </c>
      <c r="G6724" s="896"/>
      <c r="H6724" s="849" t="s">
        <v>1631</v>
      </c>
      <c r="I6724" s="849" t="s">
        <v>1635</v>
      </c>
      <c r="J6724" s="850"/>
      <c r="K6724" s="851"/>
      <c r="L6724" s="849" t="s">
        <v>28</v>
      </c>
      <c r="M6724" s="849">
        <v>1728</v>
      </c>
      <c r="N6724" s="852">
        <v>0.54166666666666663</v>
      </c>
      <c r="O6724" s="758" t="s">
        <v>1670</v>
      </c>
      <c r="Q6724" s="837"/>
    </row>
    <row r="6725" spans="1:17" x14ac:dyDescent="0.25">
      <c r="A6725" s="87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758" t="s">
        <v>1685</v>
      </c>
      <c r="P6725" s="836"/>
    </row>
    <row r="6726" spans="1:17" ht="19.5" thickBot="1" x14ac:dyDescent="0.3">
      <c r="A6726" s="87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758" t="s">
        <v>1686</v>
      </c>
      <c r="P6726" s="836"/>
    </row>
    <row r="6727" spans="1:17" x14ac:dyDescent="0.25">
      <c r="A6727" s="86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758" t="s">
        <v>1687</v>
      </c>
    </row>
    <row r="6728" spans="1:17" ht="19.5" thickBot="1" x14ac:dyDescent="0.3">
      <c r="A6728" s="86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758" t="s">
        <v>1688</v>
      </c>
    </row>
    <row r="6729" spans="1:17" x14ac:dyDescent="0.25">
      <c r="A6729" s="86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758" t="s">
        <v>1696</v>
      </c>
    </row>
    <row r="6730" spans="1:17" ht="19.5" thickBot="1" x14ac:dyDescent="0.3">
      <c r="A6730" s="864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844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758" t="s">
        <v>1697</v>
      </c>
      <c r="P6730" s="836"/>
    </row>
    <row r="6731" spans="1:17" x14ac:dyDescent="0.25">
      <c r="A6731" s="86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845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758" t="s">
        <v>1694</v>
      </c>
    </row>
    <row r="6732" spans="1:17" ht="19.5" thickBot="1" x14ac:dyDescent="0.3">
      <c r="A6732" s="87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758" t="s">
        <v>1695</v>
      </c>
      <c r="P6732" s="836"/>
    </row>
    <row r="6733" spans="1:17" x14ac:dyDescent="0.25">
      <c r="A6733" s="86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758" t="s">
        <v>1692</v>
      </c>
      <c r="P6733" s="836"/>
    </row>
    <row r="6734" spans="1:17" ht="19.5" thickBot="1" x14ac:dyDescent="0.3">
      <c r="A6734" s="861"/>
      <c r="B6734" s="854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4"/>
      <c r="L6734" s="802" t="s">
        <v>265</v>
      </c>
      <c r="M6734" s="802">
        <v>810</v>
      </c>
      <c r="N6734" s="805">
        <v>0.66666666666666663</v>
      </c>
      <c r="O6734" s="758" t="s">
        <v>1693</v>
      </c>
      <c r="P6734" s="836"/>
    </row>
    <row r="6735" spans="1:17" ht="19.5" thickBot="1" x14ac:dyDescent="0.3">
      <c r="A6735" s="513">
        <f>MAX(A6717:A6734)+1</f>
        <v>4226</v>
      </c>
      <c r="B6735" s="514" t="s">
        <v>1635</v>
      </c>
      <c r="C6735" s="515" t="s">
        <v>32</v>
      </c>
      <c r="D6735" s="516">
        <v>17.984000000000002</v>
      </c>
      <c r="E6735" s="517"/>
      <c r="F6735" s="518" t="s">
        <v>16</v>
      </c>
      <c r="G6735" s="519"/>
      <c r="H6735" s="518" t="s">
        <v>1684</v>
      </c>
      <c r="I6735" s="520"/>
      <c r="J6735" s="521"/>
      <c r="K6735" s="514"/>
      <c r="L6735" s="518" t="s">
        <v>266</v>
      </c>
      <c r="M6735" s="518">
        <v>18153.29</v>
      </c>
      <c r="N6735" s="522">
        <v>0.41666666666666669</v>
      </c>
      <c r="P6735" s="836"/>
    </row>
    <row r="6736" spans="1:17" ht="19.5" thickBot="1" x14ac:dyDescent="0.3">
      <c r="A6736" s="503">
        <f>MAX(A6718:A6735)+1</f>
        <v>4227</v>
      </c>
      <c r="B6736" s="504" t="s">
        <v>1635</v>
      </c>
      <c r="C6736" s="505" t="s">
        <v>32</v>
      </c>
      <c r="D6736" s="506">
        <v>18.010999999999999</v>
      </c>
      <c r="E6736" s="507"/>
      <c r="F6736" s="508" t="s">
        <v>16</v>
      </c>
      <c r="G6736" s="509"/>
      <c r="H6736" s="508" t="s">
        <v>1684</v>
      </c>
      <c r="I6736" s="510"/>
      <c r="J6736" s="511"/>
      <c r="K6736" s="504"/>
      <c r="L6736" s="508" t="s">
        <v>266</v>
      </c>
      <c r="M6736" s="508">
        <v>18135.710000000003</v>
      </c>
      <c r="N6736" s="512">
        <v>0.45833333333333331</v>
      </c>
      <c r="P6736" s="836"/>
    </row>
    <row r="6737" spans="1:16" ht="19.5" thickBot="1" x14ac:dyDescent="0.3">
      <c r="A6737" s="513">
        <f>MAX(A6720:A6736)+1</f>
        <v>4228</v>
      </c>
      <c r="B6737" s="514" t="s">
        <v>1635</v>
      </c>
      <c r="C6737" s="515" t="s">
        <v>32</v>
      </c>
      <c r="D6737" s="516">
        <v>18.05</v>
      </c>
      <c r="E6737" s="517"/>
      <c r="F6737" s="518" t="s">
        <v>16</v>
      </c>
      <c r="G6737" s="519"/>
      <c r="H6737" s="518" t="s">
        <v>1684</v>
      </c>
      <c r="I6737" s="520"/>
      <c r="J6737" s="521"/>
      <c r="K6737" s="514"/>
      <c r="L6737" s="518" t="s">
        <v>266</v>
      </c>
      <c r="M6737" s="518">
        <v>18078.599999999999</v>
      </c>
      <c r="N6737" s="522">
        <v>0.5</v>
      </c>
      <c r="P6737" s="836"/>
    </row>
    <row r="6738" spans="1:16" ht="19.5" thickBot="1" x14ac:dyDescent="0.3">
      <c r="A6738" s="855">
        <f t="shared" ref="A6738:A6758" si="203">MAX(A6721:A6737)+1</f>
        <v>4229</v>
      </c>
      <c r="B6738" s="552" t="s">
        <v>1635</v>
      </c>
      <c r="C6738" s="553" t="s">
        <v>848</v>
      </c>
      <c r="D6738" s="554">
        <v>18.059000000000001</v>
      </c>
      <c r="E6738" s="555"/>
      <c r="F6738" s="556" t="s">
        <v>16</v>
      </c>
      <c r="G6738" s="857"/>
      <c r="H6738" s="556" t="s">
        <v>1684</v>
      </c>
      <c r="I6738" s="558"/>
      <c r="J6738" s="559"/>
      <c r="K6738" s="552"/>
      <c r="L6738" s="556" t="s">
        <v>266</v>
      </c>
      <c r="M6738" s="556">
        <v>18156.96</v>
      </c>
      <c r="N6738" s="560">
        <v>0.54166666666666663</v>
      </c>
    </row>
    <row r="6739" spans="1:16" ht="19.5" thickBot="1" x14ac:dyDescent="0.3">
      <c r="A6739" s="513">
        <f t="shared" si="203"/>
        <v>4230</v>
      </c>
      <c r="B6739" s="514" t="s">
        <v>1700</v>
      </c>
      <c r="C6739" s="515" t="s">
        <v>26</v>
      </c>
      <c r="D6739" s="516">
        <v>17.47</v>
      </c>
      <c r="E6739" s="517"/>
      <c r="F6739" s="518" t="s">
        <v>16</v>
      </c>
      <c r="G6739" s="519"/>
      <c r="H6739" s="518" t="s">
        <v>1701</v>
      </c>
      <c r="I6739" s="520"/>
      <c r="J6739" s="521"/>
      <c r="K6739" s="514"/>
      <c r="L6739" s="518" t="s">
        <v>265</v>
      </c>
      <c r="M6739" s="518">
        <v>17734.39</v>
      </c>
      <c r="N6739" s="522">
        <v>0.375</v>
      </c>
    </row>
    <row r="6740" spans="1:16" ht="19.5" thickBot="1" x14ac:dyDescent="0.3">
      <c r="A6740" s="503">
        <f t="shared" si="203"/>
        <v>4231</v>
      </c>
      <c r="B6740" s="504" t="s">
        <v>1700</v>
      </c>
      <c r="C6740" s="505" t="s">
        <v>26</v>
      </c>
      <c r="D6740" s="506">
        <v>17.331</v>
      </c>
      <c r="E6740" s="507"/>
      <c r="F6740" s="508" t="s">
        <v>16</v>
      </c>
      <c r="G6740" s="509"/>
      <c r="H6740" s="508" t="s">
        <v>1701</v>
      </c>
      <c r="I6740" s="510"/>
      <c r="J6740" s="511"/>
      <c r="K6740" s="504"/>
      <c r="L6740" s="508" t="s">
        <v>265</v>
      </c>
      <c r="M6740" s="508">
        <v>17497.330000000002</v>
      </c>
      <c r="N6740" s="512">
        <v>0.41666666666666669</v>
      </c>
    </row>
    <row r="6741" spans="1:16" ht="19.5" thickBot="1" x14ac:dyDescent="0.3">
      <c r="A6741" s="513">
        <f t="shared" si="203"/>
        <v>4232</v>
      </c>
      <c r="B6741" s="514" t="s">
        <v>1700</v>
      </c>
      <c r="C6741" s="515" t="s">
        <v>26</v>
      </c>
      <c r="D6741" s="516">
        <v>17.260999999999999</v>
      </c>
      <c r="E6741" s="517"/>
      <c r="F6741" s="518" t="s">
        <v>16</v>
      </c>
      <c r="G6741" s="519"/>
      <c r="H6741" s="518" t="s">
        <v>1701</v>
      </c>
      <c r="I6741" s="520"/>
      <c r="J6741" s="521"/>
      <c r="K6741" s="514"/>
      <c r="L6741" s="518" t="s">
        <v>265</v>
      </c>
      <c r="M6741" s="518">
        <v>17469.330000000002</v>
      </c>
      <c r="N6741" s="522">
        <v>0.45833333333333331</v>
      </c>
    </row>
    <row r="6742" spans="1:16" x14ac:dyDescent="0.25">
      <c r="A6742" s="863">
        <f t="shared" si="203"/>
        <v>4233</v>
      </c>
      <c r="B6742" s="531" t="s">
        <v>1700</v>
      </c>
      <c r="C6742" s="532" t="s">
        <v>41</v>
      </c>
      <c r="D6742" s="533">
        <v>10.225</v>
      </c>
      <c r="E6742" s="534"/>
      <c r="F6742" s="535" t="s">
        <v>16</v>
      </c>
      <c r="G6742" s="536"/>
      <c r="H6742" s="535" t="s">
        <v>1701</v>
      </c>
      <c r="I6742" s="537"/>
      <c r="J6742" s="538"/>
      <c r="K6742" s="531"/>
      <c r="L6742" s="535" t="s">
        <v>266</v>
      </c>
      <c r="M6742" s="535">
        <v>10316.100000000002</v>
      </c>
      <c r="N6742" s="539">
        <v>0.5</v>
      </c>
    </row>
    <row r="6743" spans="1:16" x14ac:dyDescent="0.25">
      <c r="A6743" s="869"/>
      <c r="B6743" s="563" t="s">
        <v>1700</v>
      </c>
      <c r="C6743" s="564" t="s">
        <v>32</v>
      </c>
      <c r="D6743" s="565">
        <v>4.7690000000000001</v>
      </c>
      <c r="E6743" s="566"/>
      <c r="F6743" s="567" t="s">
        <v>16</v>
      </c>
      <c r="G6743" s="568" t="s">
        <v>1702</v>
      </c>
      <c r="H6743" s="567" t="s">
        <v>1701</v>
      </c>
      <c r="I6743" s="569"/>
      <c r="J6743" s="570"/>
      <c r="K6743" s="563"/>
      <c r="L6743" s="567" t="s">
        <v>266</v>
      </c>
      <c r="M6743" s="567">
        <v>4769.0999999999995</v>
      </c>
      <c r="N6743" s="571">
        <v>0.5</v>
      </c>
    </row>
    <row r="6744" spans="1:16" ht="19.5" thickBot="1" x14ac:dyDescent="0.3">
      <c r="A6744" s="864"/>
      <c r="B6744" s="636" t="s">
        <v>1700</v>
      </c>
      <c r="C6744" s="637" t="s">
        <v>32</v>
      </c>
      <c r="D6744" s="638">
        <v>2.5</v>
      </c>
      <c r="E6744" s="639"/>
      <c r="F6744" s="640" t="s">
        <v>16</v>
      </c>
      <c r="G6744" s="858"/>
      <c r="H6744" s="640" t="s">
        <v>1701</v>
      </c>
      <c r="I6744" s="642"/>
      <c r="J6744" s="643"/>
      <c r="K6744" s="636"/>
      <c r="L6744" s="640" t="s">
        <v>266</v>
      </c>
      <c r="M6744" s="640">
        <v>2503.7999999999997</v>
      </c>
      <c r="N6744" s="644">
        <v>0.5</v>
      </c>
    </row>
    <row r="6745" spans="1:16" ht="19.5" thickBot="1" x14ac:dyDescent="0.3">
      <c r="A6745" s="513">
        <f t="shared" si="203"/>
        <v>4234</v>
      </c>
      <c r="B6745" s="514" t="s">
        <v>1700</v>
      </c>
      <c r="C6745" s="515" t="s">
        <v>26</v>
      </c>
      <c r="D6745" s="516">
        <v>13.055</v>
      </c>
      <c r="E6745" s="517"/>
      <c r="F6745" s="518" t="s">
        <v>30</v>
      </c>
      <c r="G6745" s="519"/>
      <c r="H6745" s="518" t="s">
        <v>1701</v>
      </c>
      <c r="I6745" s="520"/>
      <c r="J6745" s="521"/>
      <c r="K6745" s="514"/>
      <c r="L6745" s="518" t="s">
        <v>265</v>
      </c>
      <c r="M6745" s="518">
        <v>13055.56</v>
      </c>
      <c r="N6745" s="522">
        <v>0.375</v>
      </c>
    </row>
    <row r="6746" spans="1:16" ht="19.5" thickBot="1" x14ac:dyDescent="0.3">
      <c r="A6746" s="503">
        <f t="shared" si="203"/>
        <v>4235</v>
      </c>
      <c r="B6746" s="504" t="s">
        <v>1700</v>
      </c>
      <c r="C6746" s="505" t="s">
        <v>26</v>
      </c>
      <c r="D6746" s="506">
        <v>17.495999999999999</v>
      </c>
      <c r="E6746" s="507"/>
      <c r="F6746" s="508" t="s">
        <v>16</v>
      </c>
      <c r="G6746" s="509"/>
      <c r="H6746" s="508" t="s">
        <v>1703</v>
      </c>
      <c r="I6746" s="510"/>
      <c r="J6746" s="511"/>
      <c r="K6746" s="504"/>
      <c r="L6746" s="508" t="s">
        <v>265</v>
      </c>
      <c r="M6746" s="508">
        <v>17758.39</v>
      </c>
      <c r="N6746" s="512">
        <v>0.375</v>
      </c>
    </row>
    <row r="6747" spans="1:16" ht="19.5" thickBot="1" x14ac:dyDescent="0.3">
      <c r="A6747" s="513">
        <f t="shared" si="203"/>
        <v>4236</v>
      </c>
      <c r="B6747" s="514" t="s">
        <v>1700</v>
      </c>
      <c r="C6747" s="515" t="s">
        <v>26</v>
      </c>
      <c r="D6747" s="516">
        <v>17.387</v>
      </c>
      <c r="E6747" s="517"/>
      <c r="F6747" s="518" t="s">
        <v>16</v>
      </c>
      <c r="G6747" s="519"/>
      <c r="H6747" s="518" t="s">
        <v>1703</v>
      </c>
      <c r="I6747" s="520"/>
      <c r="J6747" s="521"/>
      <c r="K6747" s="514"/>
      <c r="L6747" s="518" t="s">
        <v>265</v>
      </c>
      <c r="M6747" s="518">
        <v>17577.29</v>
      </c>
      <c r="N6747" s="522">
        <v>0.41666666666666669</v>
      </c>
    </row>
    <row r="6748" spans="1:16" x14ac:dyDescent="0.25">
      <c r="A6748" s="863">
        <f t="shared" si="203"/>
        <v>4237</v>
      </c>
      <c r="B6748" s="531" t="s">
        <v>1700</v>
      </c>
      <c r="C6748" s="532" t="s">
        <v>15</v>
      </c>
      <c r="D6748" s="533">
        <v>9.6829999999999998</v>
      </c>
      <c r="E6748" s="534"/>
      <c r="F6748" s="535" t="s">
        <v>16</v>
      </c>
      <c r="G6748" s="536"/>
      <c r="H6748" s="535" t="s">
        <v>1703</v>
      </c>
      <c r="I6748" s="537"/>
      <c r="J6748" s="538"/>
      <c r="K6748" s="531"/>
      <c r="L6748" s="535" t="s">
        <v>28</v>
      </c>
      <c r="M6748" s="535">
        <v>9815.5400000000009</v>
      </c>
      <c r="N6748" s="539">
        <v>0.45833333333333331</v>
      </c>
    </row>
    <row r="6749" spans="1:16" ht="19.5" thickBot="1" x14ac:dyDescent="0.3">
      <c r="A6749" s="864"/>
      <c r="B6749" s="636" t="s">
        <v>1700</v>
      </c>
      <c r="C6749" s="637" t="s">
        <v>24</v>
      </c>
      <c r="D6749" s="638">
        <v>7.4669999999999996</v>
      </c>
      <c r="E6749" s="639"/>
      <c r="F6749" s="640" t="s">
        <v>16</v>
      </c>
      <c r="G6749" s="858"/>
      <c r="H6749" s="640" t="s">
        <v>1703</v>
      </c>
      <c r="I6749" s="642"/>
      <c r="J6749" s="643"/>
      <c r="K6749" s="636"/>
      <c r="L6749" s="640" t="s">
        <v>28</v>
      </c>
      <c r="M6749" s="640">
        <v>7637.880000000001</v>
      </c>
      <c r="N6749" s="644">
        <v>0.45833333333333331</v>
      </c>
    </row>
    <row r="6750" spans="1:16" x14ac:dyDescent="0.25">
      <c r="A6750" s="867">
        <f t="shared" si="203"/>
        <v>4238</v>
      </c>
      <c r="B6750" s="479" t="s">
        <v>1700</v>
      </c>
      <c r="C6750" s="480" t="s">
        <v>24</v>
      </c>
      <c r="D6750" s="481">
        <v>6</v>
      </c>
      <c r="E6750" s="482"/>
      <c r="F6750" s="483" t="s">
        <v>16</v>
      </c>
      <c r="G6750" s="859"/>
      <c r="H6750" s="483" t="s">
        <v>1703</v>
      </c>
      <c r="I6750" s="484"/>
      <c r="J6750" s="485"/>
      <c r="K6750" s="479"/>
      <c r="L6750" s="483" t="s">
        <v>28</v>
      </c>
      <c r="M6750" s="483">
        <v>6098.88</v>
      </c>
      <c r="N6750" s="486">
        <v>0.5</v>
      </c>
    </row>
    <row r="6751" spans="1:16" ht="19.5" thickBot="1" x14ac:dyDescent="0.3">
      <c r="A6751" s="868"/>
      <c r="B6751" s="645" t="s">
        <v>1700</v>
      </c>
      <c r="C6751" s="646" t="s">
        <v>764</v>
      </c>
      <c r="D6751" s="647">
        <v>11.1</v>
      </c>
      <c r="E6751" s="648"/>
      <c r="F6751" s="649" t="s">
        <v>16</v>
      </c>
      <c r="G6751" s="650"/>
      <c r="H6751" s="649" t="s">
        <v>1703</v>
      </c>
      <c r="I6751" s="651"/>
      <c r="J6751" s="652"/>
      <c r="K6751" s="645"/>
      <c r="L6751" s="649" t="s">
        <v>28</v>
      </c>
      <c r="M6751" s="649">
        <v>11147.4</v>
      </c>
      <c r="N6751" s="653">
        <v>0.5</v>
      </c>
    </row>
    <row r="6752" spans="1:16" ht="19.5" thickBot="1" x14ac:dyDescent="0.3">
      <c r="A6752" s="503">
        <f t="shared" si="203"/>
        <v>4239</v>
      </c>
      <c r="B6752" s="504" t="s">
        <v>1700</v>
      </c>
      <c r="C6752" s="505" t="s">
        <v>47</v>
      </c>
      <c r="D6752" s="506">
        <v>17.521999999999998</v>
      </c>
      <c r="E6752" s="507"/>
      <c r="F6752" s="508" t="s">
        <v>16</v>
      </c>
      <c r="G6752" s="509"/>
      <c r="H6752" s="508" t="s">
        <v>1703</v>
      </c>
      <c r="I6752" s="510"/>
      <c r="J6752" s="511"/>
      <c r="K6752" s="504"/>
      <c r="L6752" s="508" t="s">
        <v>28</v>
      </c>
      <c r="M6752" s="508">
        <v>17691.16</v>
      </c>
      <c r="N6752" s="512">
        <v>0.54166666666666663</v>
      </c>
    </row>
    <row r="6753" spans="1:14" x14ac:dyDescent="0.25">
      <c r="A6753" s="676">
        <f t="shared" si="203"/>
        <v>4240</v>
      </c>
      <c r="B6753" s="676"/>
      <c r="C6753" s="473"/>
      <c r="D6753" s="474"/>
      <c r="E6753" s="475"/>
      <c r="F6753" s="676"/>
      <c r="G6753" s="476"/>
      <c r="H6753" s="676"/>
      <c r="I6753" s="477"/>
      <c r="J6753" s="856"/>
      <c r="K6753" s="676"/>
      <c r="L6753" s="676"/>
      <c r="M6753" s="676"/>
      <c r="N6753" s="676"/>
    </row>
    <row r="6754" spans="1:14" x14ac:dyDescent="0.25">
      <c r="A6754" s="676">
        <f t="shared" si="203"/>
        <v>4241</v>
      </c>
      <c r="B6754" s="676"/>
      <c r="C6754" s="473"/>
      <c r="D6754" s="474"/>
      <c r="E6754" s="475"/>
      <c r="F6754" s="676"/>
      <c r="G6754" s="476"/>
      <c r="H6754" s="676"/>
      <c r="I6754" s="477"/>
      <c r="J6754" s="856"/>
      <c r="K6754" s="676"/>
      <c r="L6754" s="676"/>
      <c r="M6754" s="676"/>
      <c r="N6754" s="676"/>
    </row>
    <row r="6755" spans="1:14" x14ac:dyDescent="0.25">
      <c r="A6755" s="676">
        <f t="shared" si="203"/>
        <v>4242</v>
      </c>
      <c r="B6755" s="676"/>
      <c r="C6755" s="473"/>
      <c r="D6755" s="474"/>
      <c r="E6755" s="475"/>
      <c r="F6755" s="676"/>
      <c r="G6755" s="476"/>
      <c r="H6755" s="676"/>
      <c r="I6755" s="477"/>
      <c r="J6755" s="856"/>
      <c r="K6755" s="676"/>
      <c r="L6755" s="676"/>
      <c r="M6755" s="676"/>
      <c r="N6755" s="676"/>
    </row>
    <row r="6756" spans="1:14" x14ac:dyDescent="0.25">
      <c r="A6756" s="676">
        <f t="shared" si="203"/>
        <v>4243</v>
      </c>
      <c r="B6756" s="676"/>
      <c r="C6756" s="473"/>
      <c r="D6756" s="474"/>
      <c r="E6756" s="475"/>
      <c r="F6756" s="676"/>
      <c r="G6756" s="476"/>
      <c r="H6756" s="676"/>
      <c r="I6756" s="477"/>
      <c r="J6756" s="856"/>
      <c r="K6756" s="676"/>
      <c r="L6756" s="676"/>
      <c r="M6756" s="676"/>
      <c r="N6756" s="676"/>
    </row>
    <row r="6757" spans="1:14" x14ac:dyDescent="0.25">
      <c r="A6757" s="676">
        <f t="shared" si="203"/>
        <v>4244</v>
      </c>
      <c r="B6757" s="676"/>
      <c r="C6757" s="473"/>
      <c r="D6757" s="474"/>
      <c r="E6757" s="475"/>
      <c r="F6757" s="676"/>
      <c r="G6757" s="476"/>
      <c r="H6757" s="676"/>
      <c r="I6757" s="477"/>
      <c r="J6757" s="856"/>
      <c r="K6757" s="676"/>
      <c r="L6757" s="676"/>
      <c r="M6757" s="676"/>
      <c r="N6757" s="676"/>
    </row>
    <row r="6758" spans="1:14" x14ac:dyDescent="0.25">
      <c r="A6758" s="676">
        <f t="shared" si="203"/>
        <v>4245</v>
      </c>
      <c r="B6758" s="676"/>
      <c r="C6758" s="473"/>
      <c r="D6758" s="474"/>
      <c r="E6758" s="475"/>
      <c r="F6758" s="676"/>
      <c r="G6758" s="476"/>
      <c r="H6758" s="676"/>
      <c r="I6758" s="477"/>
      <c r="J6758" s="856"/>
      <c r="K6758" s="676"/>
      <c r="L6758" s="676"/>
      <c r="M6758" s="676"/>
      <c r="N6758" s="676"/>
    </row>
  </sheetData>
  <autoFilter ref="A2:N6749" xr:uid="{00000000-0009-0000-0000-000000000000}">
    <filterColumn colId="10">
      <filters blank="1"/>
    </filterColumn>
  </autoFilter>
  <mergeCells count="1749">
    <mergeCell ref="A6742:A6744"/>
    <mergeCell ref="A6748:A6749"/>
    <mergeCell ref="A6750:A6751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G6721:G6722"/>
    <mergeCell ref="A6723:A6724"/>
    <mergeCell ref="G6723:G6724"/>
    <mergeCell ref="A6725:A6726"/>
    <mergeCell ref="A5029:A5030"/>
    <mergeCell ref="A5082:A5083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G5321:G5325"/>
    <mergeCell ref="A5316:A5317"/>
    <mergeCell ref="A5247:A5249"/>
    <mergeCell ref="G5232:G5233"/>
    <mergeCell ref="A5199:A5200"/>
    <mergeCell ref="A5202:A5203"/>
    <mergeCell ref="G5202:G5203"/>
    <mergeCell ref="A5205:A5207"/>
    <mergeCell ref="A5172:A5175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83:A5184"/>
    <mergeCell ref="A5070:A5071"/>
    <mergeCell ref="A5282:A5283"/>
    <mergeCell ref="A6670:A6672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929:A930"/>
    <mergeCell ref="A817:A819"/>
    <mergeCell ref="A842:A843"/>
    <mergeCell ref="A865:A866"/>
    <mergeCell ref="A868:A870"/>
    <mergeCell ref="A872:A874"/>
    <mergeCell ref="A876:A877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84:A4185"/>
    <mergeCell ref="A4167:A4168"/>
    <mergeCell ref="A4164:A4166"/>
    <mergeCell ref="A4169:A4170"/>
    <mergeCell ref="A4245:A424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A4354:A4355"/>
    <mergeCell ref="A4367:A4369"/>
    <mergeCell ref="A4360:A4362"/>
    <mergeCell ref="A4298:A4299"/>
    <mergeCell ref="A4324:A4326"/>
    <mergeCell ref="A4315:A43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250:A5251"/>
    <mergeCell ref="A5240:A5242"/>
    <mergeCell ref="A5234:A5235"/>
    <mergeCell ref="A5279:A5281"/>
    <mergeCell ref="G5363:G5364"/>
    <mergeCell ref="A5416:A5417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73:A5574"/>
    <mergeCell ref="A5575:A5576"/>
    <mergeCell ref="A5561:A5562"/>
    <mergeCell ref="A5551:A5552"/>
    <mergeCell ref="A5553:A5555"/>
    <mergeCell ref="A5408:A5409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534:A5538"/>
    <mergeCell ref="A5539:A5541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G6080:G6081"/>
    <mergeCell ref="A6733:A6734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663:A666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673:A6674"/>
    <mergeCell ref="A6695:A6697"/>
    <mergeCell ref="A6700:A6702"/>
    <mergeCell ref="A6703:A670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2026-07-22T13:23:34Z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