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D009C68B-38BE-42A1-B88F-351760855685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Лист1!$A$2:$R$7285</definedName>
    <definedName name="_xlnm.Print_Area" localSheetId="0">Лист1!$A$1:$J$5690</definedName>
  </definedNames>
  <calcPr calcId="191029"/>
</workbook>
</file>

<file path=xl/calcChain.xml><?xml version="1.0" encoding="utf-8"?>
<calcChain xmlns="http://schemas.openxmlformats.org/spreadsheetml/2006/main">
  <c r="E7218" i="1" l="1"/>
  <c r="E7216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44" i="1"/>
  <c r="K7104" i="1" l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03" i="1"/>
  <c r="E7142" i="1" l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069" i="1"/>
  <c r="K7057" i="1" l="1"/>
  <c r="K7058" i="1"/>
  <c r="K7059" i="1"/>
  <c r="K7060" i="1"/>
  <c r="K7061" i="1"/>
  <c r="K7062" i="1"/>
  <c r="K7063" i="1"/>
  <c r="K7064" i="1"/>
  <c r="K7065" i="1"/>
  <c r="K7066" i="1"/>
  <c r="K7067" i="1"/>
  <c r="K7068" i="1"/>
  <c r="K7056" i="1"/>
  <c r="E7114" i="1" l="1"/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l="1"/>
  <c r="A6989" i="1" l="1"/>
  <c r="A6992" i="1" l="1"/>
  <c r="A6996" i="1" l="1"/>
  <c r="A6999" i="1" s="1"/>
  <c r="A7004" i="1" l="1"/>
  <c r="A7006" i="1" l="1"/>
  <c r="A7008" i="1" l="1"/>
  <c r="A7009" i="1" s="1"/>
  <c r="A7010" i="1" s="1"/>
  <c r="A7011" i="1" l="1"/>
  <c r="A7014" i="1" s="1"/>
  <c r="A7016" i="1" l="1"/>
  <c r="A7017" i="1" l="1"/>
  <c r="A7020" i="1" l="1"/>
  <c r="A7021" i="1" l="1"/>
  <c r="A7022" i="1" l="1"/>
  <c r="A7023" i="1" l="1"/>
  <c r="A7024" i="1" s="1"/>
  <c r="A7025" i="1" l="1"/>
  <c r="A7026" i="1" l="1"/>
  <c r="A7028" i="1" l="1"/>
  <c r="A7031" i="1" l="1"/>
  <c r="A7032" i="1" l="1"/>
  <c r="A7035" i="1" l="1"/>
  <c r="A7037" i="1" l="1"/>
  <c r="A7039" i="1" l="1"/>
  <c r="A7041" i="1" l="1"/>
  <c r="A7042" i="1" l="1"/>
  <c r="A7047" i="1" l="1"/>
  <c r="A7050" i="1" l="1"/>
  <c r="A7054" i="1" l="1"/>
  <c r="A7056" i="1" l="1"/>
  <c r="A7058" i="1" l="1"/>
  <c r="A7062" i="1" l="1"/>
  <c r="A7063" i="1" l="1"/>
  <c r="A7067" i="1" l="1"/>
  <c r="A7069" i="1" l="1"/>
  <c r="A7073" i="1" l="1"/>
  <c r="A7074" i="1" l="1"/>
  <c r="A7076" i="1" s="1"/>
  <c r="A7078" i="1" s="1"/>
  <c r="A7080" i="1" s="1"/>
  <c r="A7082" i="1" s="1"/>
  <c r="A7084" i="1" s="1"/>
  <c r="A7086" i="1" l="1"/>
  <c r="A7088" i="1" l="1"/>
  <c r="A7089" i="1" l="1"/>
  <c r="A7090" i="1" l="1"/>
  <c r="A7091" i="1" l="1"/>
  <c r="A7092" i="1" l="1"/>
  <c r="A7093" i="1" l="1"/>
  <c r="A7095" i="1" l="1"/>
  <c r="A7097" i="1" l="1"/>
  <c r="A7103" i="1" l="1"/>
  <c r="A7104" i="1" l="1"/>
  <c r="A7106" i="1" l="1"/>
  <c r="A7110" i="1" l="1"/>
  <c r="A7112" i="1" l="1"/>
  <c r="A7115" i="1" s="1"/>
  <c r="A7119" i="1" s="1"/>
  <c r="A7120" i="1" s="1"/>
  <c r="A7124" i="1" s="1"/>
  <c r="A7125" i="1" s="1"/>
  <c r="A7126" i="1" s="1"/>
  <c r="A7127" i="1" s="1"/>
  <c r="A7129" i="1" s="1"/>
  <c r="A7131" i="1" s="1"/>
  <c r="A7135" i="1" s="1"/>
  <c r="A7138" i="1" s="1"/>
  <c r="A7140" i="1" s="1"/>
  <c r="A7141" i="1" s="1"/>
  <c r="A7142" i="1" s="1"/>
  <c r="A7144" i="1" s="1"/>
  <c r="A7148" i="1" s="1"/>
  <c r="A7151" i="1" s="1"/>
  <c r="A7154" i="1" s="1"/>
  <c r="A7155" i="1" s="1"/>
  <c r="A7156" i="1" s="1"/>
  <c r="A7157" i="1" s="1"/>
  <c r="A7158" i="1" s="1"/>
  <c r="A7159" i="1" s="1"/>
  <c r="A7160" i="1" s="1"/>
  <c r="A7161" i="1" s="1"/>
  <c r="A7163" i="1" s="1"/>
  <c r="A7165" i="1" s="1"/>
  <c r="A7167" i="1" s="1"/>
  <c r="A7169" i="1" s="1"/>
  <c r="A7172" i="1" s="1"/>
  <c r="A7173" i="1" s="1"/>
  <c r="A7177" i="1" s="1"/>
  <c r="A7180" i="1" s="1"/>
  <c r="A7183" i="1" s="1"/>
  <c r="A7184" i="1" s="1"/>
  <c r="A7185" i="1" s="1"/>
  <c r="A7188" i="1" s="1"/>
  <c r="A7191" i="1" s="1"/>
  <c r="A7195" i="1" s="1"/>
  <c r="A7196" i="1" s="1"/>
  <c r="A7199" i="1" s="1"/>
  <c r="A7201" i="1" s="1"/>
  <c r="A7204" i="1" s="1"/>
  <c r="A7206" i="1" s="1"/>
  <c r="A7208" i="1" s="1"/>
  <c r="A7209" i="1" s="1"/>
  <c r="A7211" i="1" s="1"/>
  <c r="A7212" i="1" l="1"/>
  <c r="A7213" i="1" s="1"/>
  <c r="A7214" i="1" s="1"/>
  <c r="A7215" i="1" s="1"/>
  <c r="A7216" i="1" s="1"/>
  <c r="A7218" i="1" s="1"/>
  <c r="A7220" i="1" s="1"/>
  <c r="A7221" i="1" s="1"/>
  <c r="A7223" i="1" s="1"/>
  <c r="A7225" i="1" s="1"/>
  <c r="A7227" i="1" l="1"/>
  <c r="A7229" i="1" s="1"/>
  <c r="A7230" i="1" s="1"/>
  <c r="A7232" i="1" s="1"/>
  <c r="A7235" i="1" s="1"/>
  <c r="A7237" i="1" s="1"/>
  <c r="A7242" i="1" l="1"/>
  <c r="A7243" i="1"/>
  <c r="A7245" i="1" s="1"/>
  <c r="A7249" i="1" s="1"/>
  <c r="A7252" i="1" l="1"/>
  <c r="A7254" i="1" s="1"/>
  <c r="A7255" i="1" s="1"/>
  <c r="A7256" i="1" l="1"/>
  <c r="A7259" i="1" s="1"/>
  <c r="A7261" i="1" s="1"/>
  <c r="A7262" i="1" s="1"/>
  <c r="A7263" i="1" s="1"/>
  <c r="A7265" i="1" s="1"/>
  <c r="A7266" i="1" s="1"/>
  <c r="A7267" i="1" s="1"/>
  <c r="A7268" i="1" s="1"/>
  <c r="A7269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</calcChain>
</file>

<file path=xl/sharedStrings.xml><?xml version="1.0" encoding="utf-8"?>
<sst xmlns="http://schemas.openxmlformats.org/spreadsheetml/2006/main" count="46823" uniqueCount="2653">
  <si>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</si>
  <si>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</si>
  <si>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</si>
  <si>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</si>
  <si>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</si>
  <si>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</si>
  <si>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</si>
  <si>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</si>
  <si>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</si>
  <si>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</si>
  <si>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</si>
  <si>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</si>
  <si>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</si>
  <si>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</si>
  <si>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</si>
  <si>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</si>
  <si>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</si>
  <si>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</si>
  <si>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</si>
  <si>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</si>
  <si>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</si>
  <si>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</si>
  <si>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</si>
  <si>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</si>
  <si>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</si>
  <si>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</si>
  <si>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</si>
  <si>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</si>
  <si>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</si>
  <si>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</si>
  <si>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</si>
  <si>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</si>
  <si>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</si>
  <si>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</si>
  <si>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</si>
  <si>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</si>
  <si>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</si>
  <si>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</si>
  <si>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</si>
  <si>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</si>
  <si>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</si>
  <si>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</si>
  <si>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</si>
  <si>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</si>
  <si>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</si>
  <si>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</si>
  <si>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</si>
  <si>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</si>
  <si>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</si>
  <si>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</si>
  <si>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</si>
  <si>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</si>
  <si>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</si>
  <si>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</si>
  <si>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</si>
  <si>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</si>
  <si>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</si>
  <si>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</si>
  <si>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</si>
  <si>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</si>
  <si>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</si>
  <si>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</si>
  <si>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</si>
  <si>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</si>
  <si>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</si>
  <si>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</si>
  <si>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</si>
  <si>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</si>
  <si>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</si>
  <si>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</si>
  <si>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</si>
  <si>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</si>
  <si>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</si>
  <si>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</si>
  <si>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</si>
  <si>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</si>
  <si>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</si>
  <si>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</si>
  <si>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</si>
  <si>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</si>
  <si>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</si>
  <si>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</si>
  <si>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</si>
  <si>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</si>
  <si>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</si>
  <si>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</si>
  <si>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</si>
  <si>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</si>
  <si>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</si>
  <si>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</si>
  <si>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</si>
  <si>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</si>
  <si>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</si>
  <si>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</si>
  <si>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</si>
  <si>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</si>
  <si>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</si>
  <si>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</si>
  <si>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</si>
  <si>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</si>
  <si>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</si>
  <si>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</si>
  <si>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</si>
  <si>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</si>
  <si>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</si>
  <si>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</si>
  <si>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</si>
  <si>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</si>
  <si>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</si>
  <si>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</si>
  <si>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</si>
  <si>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</si>
  <si>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</si>
  <si>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</si>
  <si>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</si>
  <si>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</si>
  <si>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</si>
  <si>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</si>
  <si>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</si>
  <si>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</si>
  <si>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</si>
  <si>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</si>
  <si>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</si>
  <si>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</si>
  <si>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</si>
  <si>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</si>
  <si>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</si>
  <si>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</si>
  <si>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</si>
  <si>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</si>
  <si>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</si>
  <si>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</si>
  <si>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</si>
  <si>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</si>
  <si>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</si>
  <si>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</si>
  <si>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</si>
  <si>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</si>
  <si>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</si>
  <si>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</si>
  <si>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</si>
  <si>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</si>
  <si>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</si>
  <si>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</si>
  <si>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</si>
  <si>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</si>
  <si>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</si>
  <si>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</si>
  <si>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</si>
  <si>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</si>
  <si>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</si>
  <si>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</si>
  <si>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</si>
  <si>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</si>
  <si>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</si>
  <si>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</si>
  <si>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</si>
  <si>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</si>
  <si>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</si>
  <si>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</si>
  <si>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</si>
  <si>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</si>
  <si>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</si>
  <si>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</si>
  <si>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</si>
  <si>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</si>
  <si>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</si>
  <si>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</si>
  <si>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</si>
  <si>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</si>
  <si>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</si>
  <si>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</si>
  <si>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</si>
  <si>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</si>
  <si>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</si>
  <si>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</si>
  <si>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</si>
  <si>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</si>
  <si>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</si>
  <si>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</si>
  <si>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</si>
  <si>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</si>
  <si>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</si>
  <si>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</si>
  <si>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</si>
  <si>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</si>
  <si>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</si>
  <si>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</si>
  <si>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</si>
  <si>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</si>
  <si>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</si>
  <si>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</si>
  <si>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</si>
  <si>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</si>
  <si>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</si>
  <si>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</si>
  <si>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</si>
  <si>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</si>
  <si>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</si>
  <si>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</si>
  <si>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</si>
  <si>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</si>
  <si>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</si>
  <si>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</si>
  <si>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</si>
  <si>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</si>
  <si>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</si>
  <si>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</si>
  <si>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</si>
  <si>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</si>
  <si>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</si>
  <si>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</si>
  <si>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</si>
  <si>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</si>
  <si>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</si>
  <si>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</si>
  <si>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</si>
  <si>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</si>
  <si>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</si>
  <si>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</si>
  <si>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</si>
  <si>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</si>
  <si>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</si>
  <si>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</si>
  <si>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</si>
  <si>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</si>
  <si>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</si>
  <si>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</si>
  <si>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</si>
  <si>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</si>
  <si>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</si>
  <si>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</si>
  <si>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</si>
  <si>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</si>
  <si>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</si>
  <si>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</si>
  <si>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</si>
  <si>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</si>
  <si>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</si>
  <si>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</si>
  <si>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</si>
  <si>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</si>
  <si>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</si>
  <si>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</si>
  <si>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</si>
  <si>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</si>
  <si>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</si>
  <si>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</si>
  <si>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</si>
  <si>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</si>
  <si>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</si>
  <si>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</si>
  <si>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</si>
  <si>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</si>
  <si>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</si>
  <si>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</si>
  <si>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</si>
  <si>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</si>
  <si>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</si>
  <si>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</si>
  <si>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</si>
  <si>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</si>
  <si>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</si>
  <si>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</si>
  <si>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</si>
  <si>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</si>
  <si>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</si>
  <si>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</si>
  <si>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</si>
  <si>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</si>
  <si>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</si>
  <si>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</si>
  <si>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</si>
  <si>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</si>
  <si>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</si>
  <si>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</si>
  <si>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</si>
  <si>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</si>
  <si>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</si>
  <si>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</si>
  <si>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</si>
  <si>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</si>
  <si>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</si>
  <si>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</si>
  <si>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</si>
  <si>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</si>
  <si>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</si>
  <si>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</si>
  <si>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</si>
  <si>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</si>
  <si>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</si>
  <si>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</si>
  <si>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</si>
  <si>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</si>
  <si>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</si>
  <si>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</si>
  <si>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</si>
  <si>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</si>
  <si>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</si>
  <si>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</si>
  <si>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</si>
  <si>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</si>
  <si>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</si>
  <si>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</si>
  <si>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</si>
  <si>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</si>
  <si>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</si>
  <si>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</si>
  <si>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</si>
  <si>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</si>
  <si>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</si>
  <si>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</si>
  <si>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</si>
  <si>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</si>
  <si>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</si>
  <si>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</si>
  <si>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</si>
  <si>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</si>
  <si>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</si>
  <si>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</si>
  <si>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</si>
  <si>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</si>
  <si>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</si>
  <si>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</si>
  <si>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</si>
  <si>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</si>
  <si>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</si>
  <si>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</si>
  <si>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</si>
  <si>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</si>
  <si>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</si>
  <si>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</si>
  <si>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</si>
  <si>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</si>
  <si>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</si>
  <si>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</si>
  <si>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</si>
  <si>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</si>
  <si>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</si>
  <si>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</si>
  <si>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</si>
  <si>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</si>
  <si>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</si>
  <si>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</si>
  <si>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</si>
  <si>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</si>
  <si>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</si>
  <si>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</si>
  <si>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</si>
  <si>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</si>
  <si>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</si>
  <si>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</si>
  <si>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</si>
  <si>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</si>
  <si>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</si>
  <si>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</si>
  <si>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</si>
  <si>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</si>
  <si>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</si>
  <si>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</si>
  <si>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</si>
  <si>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</si>
  <si>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</si>
  <si>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</si>
  <si>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</si>
  <si>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</si>
  <si>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</si>
  <si>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</si>
  <si>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</si>
  <si>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</si>
  <si>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</si>
  <si>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</si>
  <si>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</si>
  <si>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</si>
  <si>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</si>
  <si>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</si>
  <si>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</si>
  <si>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</si>
  <si>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</si>
  <si>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</si>
  <si>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</si>
  <si>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</si>
  <si>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</si>
  <si>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</si>
  <si>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</si>
  <si>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</si>
  <si>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</si>
  <si>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</si>
  <si>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</si>
  <si>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</si>
  <si>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</si>
  <si>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</si>
  <si>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</si>
  <si>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</si>
  <si>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</si>
  <si>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</si>
  <si>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</si>
  <si>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</si>
  <si>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</si>
  <si>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</si>
  <si>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</si>
  <si>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</si>
  <si>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</si>
  <si>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</si>
  <si>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</si>
  <si>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</si>
  <si>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</si>
  <si>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</si>
  <si>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</si>
  <si>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</si>
  <si>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</si>
  <si>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</si>
  <si>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</si>
  <si>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</si>
  <si>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</si>
  <si>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</si>
  <si>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</si>
  <si>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</si>
  <si>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</si>
  <si>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</si>
  <si>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</si>
  <si>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</si>
  <si>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</si>
  <si>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</si>
  <si>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</si>
  <si>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</si>
  <si>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</si>
  <si>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</si>
  <si>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</si>
  <si>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</si>
  <si>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</si>
  <si>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</si>
  <si>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</si>
  <si>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</si>
  <si>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</si>
  <si>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</si>
  <si>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</si>
  <si>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</si>
  <si>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</si>
  <si>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</si>
  <si>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</si>
  <si>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</si>
  <si>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</si>
  <si>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</si>
  <si>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</si>
  <si>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</si>
  <si>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</si>
  <si>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</si>
  <si>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</si>
  <si>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</si>
  <si>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</si>
  <si>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</si>
  <si>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</si>
  <si>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</si>
  <si>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</si>
  <si>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</si>
  <si>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</si>
  <si>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</si>
  <si>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</si>
  <si>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</si>
  <si>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</si>
  <si>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</si>
  <si>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</si>
  <si>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</si>
  <si>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</si>
  <si>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</si>
  <si>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</si>
  <si>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</si>
  <si>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</si>
  <si>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</si>
  <si>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</si>
  <si>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</si>
  <si>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</si>
  <si>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</si>
  <si>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</si>
  <si>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</si>
  <si>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</si>
  <si>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</si>
  <si>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</si>
  <si>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</si>
  <si>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</si>
  <si>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</si>
  <si>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</si>
  <si>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</si>
  <si>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</si>
  <si>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</si>
  <si>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</si>
  <si>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</si>
  <si>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</si>
  <si>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</si>
  <si>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</si>
  <si>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</si>
  <si>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</si>
  <si>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</si>
  <si>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</si>
  <si>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</si>
  <si>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</si>
  <si>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</si>
  <si>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</si>
  <si>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</si>
  <si>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</si>
  <si>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</si>
  <si>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</si>
  <si>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</si>
  <si>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</si>
  <si>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</si>
  <si>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</si>
  <si>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</si>
  <si>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</si>
  <si>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</si>
  <si>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</si>
  <si>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</si>
  <si>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</si>
  <si>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</si>
  <si>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</si>
  <si>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</si>
  <si>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</si>
  <si>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</si>
  <si>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</si>
  <si>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</si>
  <si>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</si>
  <si>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</si>
  <si>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</si>
  <si>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</si>
  <si>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</si>
  <si>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</si>
  <si>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</si>
  <si>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</si>
  <si>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</si>
  <si>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</si>
  <si>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</si>
  <si>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</si>
  <si>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</si>
  <si>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</si>
  <si>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</si>
  <si>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</si>
  <si>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</si>
  <si>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</si>
  <si>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</si>
  <si>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</si>
  <si>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</si>
  <si>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</si>
  <si>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</si>
  <si>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</si>
  <si>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</si>
  <si>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</si>
  <si>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</si>
  <si>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</si>
  <si>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</si>
  <si>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</si>
  <si>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</si>
  <si>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</si>
  <si>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</si>
  <si>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</si>
  <si>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</si>
  <si>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</si>
  <si>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</si>
  <si>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</si>
  <si>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</si>
  <si>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</si>
  <si>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</si>
  <si>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</si>
  <si>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</si>
  <si>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</si>
  <si>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</si>
  <si>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</si>
  <si>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</si>
  <si>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</si>
  <si>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</si>
  <si>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</si>
  <si>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</si>
  <si>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</si>
  <si>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</si>
  <si>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</si>
  <si>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</si>
  <si>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</si>
  <si>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</si>
  <si>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</si>
  <si>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</si>
  <si>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</si>
  <si>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</si>
  <si>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</si>
  <si>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</si>
  <si>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</si>
  <si>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</si>
  <si>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</si>
  <si>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</si>
  <si>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</si>
  <si>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</si>
  <si>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</si>
  <si>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</si>
  <si>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</si>
  <si>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</si>
  <si>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</si>
  <si>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</si>
  <si>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</si>
  <si>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</si>
  <si>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</si>
  <si>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</si>
  <si>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</si>
  <si>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</si>
  <si>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</si>
  <si>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</si>
  <si>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</si>
  <si>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</si>
  <si>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</si>
  <si>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</si>
  <si>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</si>
  <si>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</si>
  <si>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</si>
  <si>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</si>
  <si>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</si>
  <si>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</si>
  <si>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</si>
  <si>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</si>
  <si>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</si>
  <si>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</si>
  <si>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</si>
  <si>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</si>
  <si>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</si>
  <si>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</si>
  <si>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</si>
  <si>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</si>
  <si>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</si>
  <si>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</si>
  <si>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</si>
  <si>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</si>
  <si>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</si>
  <si>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</si>
  <si>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</si>
  <si>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</si>
  <si>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</si>
  <si>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</si>
  <si>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</si>
  <si>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</si>
  <si>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</si>
  <si>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</si>
  <si>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</si>
  <si>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</si>
  <si>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</si>
  <si>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</si>
  <si>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</si>
  <si>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</si>
  <si>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</si>
  <si>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</si>
  <si>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</si>
  <si>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</si>
  <si>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</si>
  <si>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</si>
  <si>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</si>
  <si>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</si>
  <si>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</si>
  <si>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</si>
  <si>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</si>
  <si>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</si>
  <si>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</si>
  <si>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</si>
  <si>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</si>
  <si>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</si>
  <si>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</si>
  <si>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</si>
  <si>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</si>
  <si>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</si>
  <si>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</si>
  <si>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</si>
  <si>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</si>
  <si>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</si>
  <si>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</si>
  <si>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</si>
  <si>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</si>
  <si>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</si>
  <si>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</si>
  <si>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</si>
  <si>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</si>
  <si>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</si>
  <si>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</si>
  <si>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</si>
  <si>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</si>
  <si>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</si>
  <si>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</si>
  <si>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</si>
  <si>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</si>
  <si>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</si>
  <si>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</si>
  <si>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</si>
  <si>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</si>
  <si>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</si>
  <si>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</si>
  <si>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</si>
  <si>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</si>
  <si>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</si>
  <si>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</si>
  <si>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</si>
  <si>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</si>
  <si>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</si>
  <si>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</si>
  <si>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</si>
  <si>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</si>
  <si>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</si>
  <si>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</si>
  <si>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</si>
  <si>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</si>
  <si>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</si>
  <si>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</si>
  <si>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</si>
  <si>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</si>
  <si>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</si>
  <si>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</si>
  <si>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</si>
  <si>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</si>
  <si>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</si>
  <si>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</si>
  <si>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</si>
  <si>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</si>
  <si>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</si>
  <si>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</si>
  <si>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</si>
  <si>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</si>
  <si>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</si>
  <si>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</si>
  <si>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</si>
  <si>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</si>
  <si>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</si>
  <si>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</si>
  <si>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</si>
  <si>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</si>
  <si>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</si>
  <si>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</si>
  <si>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</si>
  <si>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</si>
  <si>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</si>
  <si>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</si>
  <si>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</si>
  <si>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</si>
  <si>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</si>
  <si>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</si>
  <si>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</si>
  <si>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</si>
  <si>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</si>
  <si>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</si>
  <si>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</si>
  <si>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</si>
  <si>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</si>
  <si>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</si>
  <si>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</si>
  <si>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</si>
  <si>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</si>
  <si>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</si>
  <si>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</si>
  <si>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</si>
  <si>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</si>
  <si>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</si>
  <si>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</si>
  <si>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</si>
  <si>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</si>
  <si>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</si>
  <si>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</si>
  <si>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</si>
  <si>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</si>
  <si>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</si>
  <si>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</si>
  <si>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</si>
  <si>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</si>
  <si>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</si>
  <si>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</si>
  <si>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</si>
  <si>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</si>
  <si>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</si>
  <si>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</si>
  <si>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</si>
  <si>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</si>
  <si>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</si>
  <si>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</si>
  <si>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</si>
  <si>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</si>
  <si>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</si>
  <si>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</si>
  <si>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</si>
  <si>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</si>
  <si>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</si>
  <si>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</si>
  <si>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</si>
  <si>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</si>
  <si>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</si>
  <si>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</si>
  <si>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</si>
  <si>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</si>
  <si>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</si>
  <si>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</si>
  <si>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</si>
  <si>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</si>
  <si>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</si>
  <si>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</si>
  <si>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</si>
  <si>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</si>
  <si>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</si>
  <si>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</si>
  <si>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</si>
  <si>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</si>
  <si>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</si>
  <si>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</si>
  <si>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</si>
  <si>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</si>
  <si>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</si>
  <si>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</si>
  <si>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</si>
  <si>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</si>
  <si>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</si>
  <si>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</si>
  <si>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</si>
  <si>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</si>
  <si>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</si>
  <si>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</si>
  <si>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</si>
  <si>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</si>
  <si>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</si>
  <si>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</si>
  <si>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</si>
  <si>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</si>
  <si>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</si>
  <si>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</si>
  <si>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</si>
  <si>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</si>
  <si>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</si>
  <si>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</si>
  <si>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</si>
  <si>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</si>
  <si>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</si>
  <si>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</si>
  <si>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</si>
  <si>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</si>
  <si>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</si>
  <si>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</si>
  <si>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</si>
  <si>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</si>
  <si>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</si>
  <si>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</si>
  <si>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</si>
  <si>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</si>
  <si>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</si>
  <si>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</si>
  <si>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</si>
  <si>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</si>
  <si>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</si>
  <si>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</si>
  <si>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</si>
  <si>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</si>
  <si>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</si>
  <si>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</si>
  <si>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</si>
  <si>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</si>
  <si>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</si>
  <si>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</si>
  <si>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</si>
  <si>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</si>
  <si>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</si>
  <si>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</si>
  <si>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</si>
  <si>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</si>
  <si>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</si>
  <si>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</si>
  <si>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</si>
  <si>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</si>
  <si>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</si>
  <si>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</si>
  <si>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</si>
  <si>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</si>
  <si>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</si>
  <si>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</si>
  <si>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</si>
  <si>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</si>
  <si>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</si>
  <si>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</si>
  <si>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</si>
  <si>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</si>
  <si>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</si>
  <si>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</si>
  <si>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</si>
  <si>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</si>
  <si>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</si>
  <si>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</si>
  <si>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</si>
  <si>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</si>
  <si>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</si>
  <si>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</si>
  <si>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</si>
  <si>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</si>
  <si>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</si>
  <si>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</si>
  <si>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</si>
  <si>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</si>
  <si>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</si>
  <si>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</si>
  <si>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</si>
  <si>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</si>
  <si>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</si>
  <si>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</si>
  <si>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</si>
  <si>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</si>
  <si>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</si>
  <si>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</si>
  <si>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</si>
  <si>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</si>
  <si>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</si>
  <si>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</si>
  <si>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</si>
  <si>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</si>
  <si>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</si>
  <si>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</si>
  <si>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</si>
  <si>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</si>
  <si>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</si>
  <si>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</si>
  <si>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</si>
  <si>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</si>
  <si>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</si>
  <si>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</si>
  <si>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</si>
  <si>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</si>
  <si>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</si>
  <si>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</si>
  <si>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</si>
  <si>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</si>
  <si>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</si>
  <si>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</si>
  <si>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</si>
  <si>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</si>
  <si>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</si>
  <si>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</si>
  <si>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</si>
  <si>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</si>
  <si>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</si>
  <si>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</si>
  <si>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</si>
  <si>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</si>
  <si>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</si>
  <si>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</si>
  <si>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</si>
  <si>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</si>
  <si>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</si>
  <si>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</si>
  <si>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</si>
  <si>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</si>
  <si>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</si>
  <si>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</si>
  <si>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</si>
  <si>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</si>
  <si>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</si>
  <si>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</si>
  <si>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</si>
  <si>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</si>
  <si>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</si>
  <si>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</si>
  <si>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</si>
  <si>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</si>
  <si>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</si>
  <si>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</si>
  <si>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</si>
  <si>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</si>
  <si>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</si>
  <si>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</si>
  <si>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</si>
  <si>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</si>
  <si>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</si>
  <si>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</si>
  <si>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</si>
  <si>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</si>
  <si>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</si>
  <si>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</si>
  <si>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</si>
  <si>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</si>
  <si>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</si>
  <si>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</si>
  <si>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</si>
  <si>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</si>
  <si>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</si>
  <si>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</si>
  <si>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</si>
  <si>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</si>
  <si>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</si>
  <si>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</si>
  <si>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</si>
  <si>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</si>
  <si>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</si>
  <si>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</si>
  <si>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</si>
  <si>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</si>
  <si>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</si>
  <si>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</si>
  <si>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</si>
  <si>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</si>
  <si>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</si>
  <si>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</si>
  <si>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</si>
  <si>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</si>
  <si>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</si>
  <si>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</si>
  <si>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</si>
  <si>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</si>
  <si>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</si>
  <si>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</si>
  <si>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</si>
  <si>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</si>
  <si>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</si>
  <si>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</si>
  <si>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</si>
  <si>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</si>
  <si>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</si>
  <si>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</si>
  <si>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</si>
  <si>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</si>
  <si>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</si>
  <si>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</si>
  <si>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</si>
  <si>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</si>
  <si>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</si>
  <si>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</si>
  <si>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</si>
  <si>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</si>
  <si>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</si>
  <si>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</si>
  <si>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</si>
  <si>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</si>
  <si>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</si>
  <si>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</si>
  <si>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</si>
  <si>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</si>
  <si>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</si>
  <si>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</si>
  <si>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</si>
  <si>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</si>
  <si>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</si>
  <si>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</si>
  <si>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</si>
  <si>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</si>
  <si>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</si>
  <si>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</si>
  <si>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</si>
  <si>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</si>
  <si>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</si>
  <si>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</si>
  <si>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</si>
  <si>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</si>
  <si>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</si>
  <si>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</si>
  <si>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</si>
  <si>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</si>
  <si>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</si>
  <si>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</si>
  <si>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</si>
  <si>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</si>
  <si>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</si>
  <si>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</si>
  <si>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</si>
  <si>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</si>
  <si>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</si>
  <si>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</si>
  <si>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</si>
  <si>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</si>
  <si>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</si>
  <si>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</si>
  <si>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</si>
  <si>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</si>
  <si>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</si>
  <si>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</si>
  <si>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</si>
  <si>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</si>
  <si>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</si>
  <si>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</si>
  <si>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</si>
  <si>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</si>
  <si>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</si>
  <si>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</si>
  <si>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</si>
  <si>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</si>
  <si>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</si>
  <si>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</si>
  <si>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</si>
  <si>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</si>
  <si>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</si>
  <si>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</si>
  <si>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</si>
  <si>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</si>
  <si>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</si>
  <si>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</si>
  <si>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</si>
  <si>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</si>
  <si>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</si>
  <si>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</si>
  <si>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</si>
  <si>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</si>
  <si>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</si>
  <si>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</si>
  <si>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</si>
  <si>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</si>
  <si>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</si>
  <si>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</si>
  <si>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</si>
  <si>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</si>
  <si>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</si>
  <si>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</si>
  <si>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</si>
  <si>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</si>
  <si>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</si>
  <si>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</si>
  <si>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</si>
  <si>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</si>
  <si>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</si>
  <si>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</si>
  <si>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</si>
  <si>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</si>
  <si>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</si>
  <si>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</si>
  <si>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</si>
  <si>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</si>
  <si>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</si>
  <si>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</si>
  <si>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</si>
  <si>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</si>
  <si>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</si>
  <si>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</si>
  <si>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</si>
  <si>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</si>
  <si>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</si>
  <si>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</si>
  <si>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</si>
  <si>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</si>
  <si>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</si>
  <si>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</si>
  <si>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</si>
  <si>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</si>
  <si>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</si>
  <si>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</si>
  <si>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</si>
  <si>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</si>
  <si>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</si>
  <si>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</si>
  <si>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</si>
  <si>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</si>
  <si>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</si>
  <si>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</si>
  <si>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</si>
  <si>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</si>
  <si>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</si>
  <si>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</si>
  <si>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</si>
  <si>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</si>
  <si>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</si>
  <si>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</si>
  <si>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</si>
  <si>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</si>
  <si>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</si>
  <si>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</si>
  <si>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</si>
  <si>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</si>
  <si>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</si>
  <si>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</si>
  <si>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</si>
  <si>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</si>
  <si>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</si>
  <si>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</si>
  <si>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</si>
  <si>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</si>
  <si>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</si>
  <si>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</si>
  <si>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</si>
  <si>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</si>
  <si>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</si>
  <si>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</si>
  <si>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</si>
  <si>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</si>
  <si>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</si>
  <si>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</si>
  <si>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</si>
  <si>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</si>
  <si>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</si>
  <si>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</si>
  <si>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</si>
  <si>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</si>
  <si>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</si>
  <si>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</si>
  <si>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</si>
  <si>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</si>
  <si>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</si>
  <si>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</si>
  <si>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</si>
  <si>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</si>
  <si>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</si>
  <si>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</si>
  <si>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</si>
  <si>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</si>
  <si>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</si>
  <si>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</si>
  <si>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</si>
  <si>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</si>
  <si>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</si>
  <si>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</si>
  <si>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</si>
  <si>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</si>
  <si>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</si>
  <si>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</si>
  <si>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</si>
  <si>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</si>
  <si>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</si>
  <si>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</si>
  <si>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</si>
  <si>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</si>
  <si>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</si>
  <si>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</si>
  <si>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</si>
  <si>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</si>
  <si>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</si>
  <si>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</si>
  <si>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</si>
  <si>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</si>
  <si>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</si>
  <si>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</si>
  <si>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</si>
  <si>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</si>
  <si>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</si>
  <si>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</si>
  <si>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</si>
  <si>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</si>
  <si>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</si>
  <si>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</si>
  <si>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</si>
  <si>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</si>
  <si>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</si>
  <si>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</si>
  <si>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</si>
  <si>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</si>
  <si>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</si>
  <si>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</si>
  <si>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</si>
  <si>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</si>
  <si>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</si>
  <si>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</si>
  <si>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</si>
  <si>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</si>
  <si>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</si>
  <si>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</si>
  <si>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</si>
  <si>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</si>
  <si>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</si>
  <si>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</si>
  <si>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</si>
  <si>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</si>
  <si>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</si>
  <si>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</si>
  <si>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</si>
  <si>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</si>
  <si>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</si>
  <si>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</si>
  <si>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</si>
  <si>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</si>
  <si>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</si>
  <si>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</si>
  <si>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</si>
  <si>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</si>
  <si>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</si>
  <si>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</si>
  <si>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</si>
  <si>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</si>
  <si>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</si>
  <si>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</si>
  <si>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</si>
  <si>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</si>
  <si>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</si>
  <si>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</si>
  <si>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</si>
  <si>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</si>
  <si>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</si>
  <si>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</si>
  <si>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</si>
  <si>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</si>
  <si>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</si>
  <si>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</si>
  <si>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</si>
  <si>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</si>
  <si>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</si>
  <si>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</si>
  <si>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</si>
  <si>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</si>
  <si>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</si>
  <si>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</si>
  <si>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</si>
  <si>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</si>
  <si>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</si>
  <si>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</si>
  <si>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</si>
  <si>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</si>
  <si>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</si>
  <si>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</si>
  <si>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</si>
  <si>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</si>
  <si>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</si>
  <si>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</si>
  <si>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</si>
  <si>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</si>
  <si>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</si>
  <si>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</si>
  <si>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</si>
  <si>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</si>
  <si>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</si>
  <si>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</si>
  <si>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</si>
  <si>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</si>
  <si>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</si>
  <si>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</si>
  <si>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</si>
  <si>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</si>
  <si>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</si>
  <si>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</si>
  <si>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</si>
  <si>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</si>
  <si>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</si>
  <si>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</si>
  <si>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</si>
  <si>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</si>
  <si>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</si>
  <si>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</si>
  <si>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</si>
  <si>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</si>
  <si>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</si>
  <si>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</si>
  <si>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</si>
  <si>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</si>
  <si>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</si>
  <si>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</si>
  <si>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</si>
  <si>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</si>
  <si>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</si>
  <si>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</si>
  <si>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</si>
  <si>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</si>
  <si>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</si>
  <si>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</si>
  <si>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</si>
  <si>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</si>
  <si>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</si>
  <si>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</si>
  <si>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</si>
  <si>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</si>
  <si>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</si>
  <si>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</si>
  <si>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</si>
  <si>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</si>
  <si>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</si>
  <si>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</si>
  <si>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</si>
  <si>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</si>
  <si>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</si>
  <si>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</si>
  <si>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</si>
  <si>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</si>
  <si>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</si>
  <si>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</si>
  <si>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</si>
  <si>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</si>
  <si>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</si>
  <si>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</si>
  <si>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</si>
  <si>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</si>
  <si>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</si>
  <si>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</si>
  <si>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</si>
  <si>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</si>
  <si>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</si>
  <si>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</si>
  <si>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</si>
  <si>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</si>
  <si>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</si>
  <si>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</si>
  <si>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</si>
  <si>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</si>
  <si>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</si>
  <si>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</si>
  <si>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</si>
  <si>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</si>
  <si>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</si>
  <si>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</si>
  <si>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</si>
  <si>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</si>
  <si>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</si>
  <si>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</si>
  <si>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</si>
  <si>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</si>
  <si>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</si>
  <si>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</si>
  <si>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</si>
  <si>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</si>
  <si>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</si>
  <si>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</si>
  <si>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</si>
  <si>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</si>
  <si>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</si>
  <si>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</si>
  <si>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</si>
  <si>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</si>
  <si>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</si>
  <si>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</si>
  <si>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</si>
  <si>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</si>
  <si>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</si>
  <si>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</si>
  <si>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</si>
  <si>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</si>
  <si>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</si>
  <si>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</si>
  <si>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</si>
  <si>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</si>
  <si>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</si>
  <si>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</si>
  <si>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</si>
  <si>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</si>
  <si>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</si>
  <si>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</si>
  <si>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</si>
  <si>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</si>
  <si>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</si>
  <si>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</si>
  <si>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</si>
  <si>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</si>
  <si>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</si>
  <si>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</si>
  <si>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</si>
  <si>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</si>
  <si>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</si>
  <si>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</si>
  <si>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</si>
  <si>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</si>
  <si>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</si>
  <si>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</si>
  <si>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</si>
  <si>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</si>
  <si>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</si>
  <si>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</si>
  <si>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</si>
  <si>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</si>
  <si>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</si>
  <si>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</si>
  <si>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</si>
  <si>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</si>
  <si>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</si>
  <si>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</si>
  <si>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</si>
  <si>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</si>
  <si>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</si>
  <si>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</si>
  <si>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</si>
  <si>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</si>
  <si>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</si>
  <si>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</si>
  <si>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</si>
  <si>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</si>
  <si>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</si>
  <si>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</si>
  <si>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</si>
  <si>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</si>
  <si>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</si>
  <si>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</si>
  <si>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</si>
  <si>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</si>
  <si>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</si>
  <si>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</si>
  <si>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</si>
  <si>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</si>
  <si>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</si>
  <si>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</si>
  <si>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</si>
  <si>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</si>
  <si>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</si>
  <si>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</si>
  <si>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</si>
  <si>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</si>
  <si>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</si>
  <si>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</si>
  <si>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</si>
  <si>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</si>
  <si>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</si>
  <si>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</si>
  <si>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</si>
  <si>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</si>
  <si>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</si>
  <si>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</si>
  <si>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</si>
  <si>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</si>
  <si>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</si>
  <si>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</si>
  <si>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</si>
  <si>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</si>
  <si>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</si>
  <si>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</si>
  <si>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</si>
  <si>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</si>
  <si>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</si>
  <si>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</si>
  <si>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</si>
  <si>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</si>
  <si>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</si>
  <si>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</si>
  <si>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</si>
  <si>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</si>
  <si>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</si>
  <si>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</si>
  <si>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</si>
  <si>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</si>
  <si>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</si>
  <si>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</si>
  <si>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</si>
  <si>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</si>
  <si>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</si>
  <si>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</si>
  <si>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</si>
  <si>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</si>
  <si>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</si>
  <si>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</si>
  <si>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</si>
  <si>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</si>
  <si>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</si>
  <si>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</si>
  <si>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</si>
  <si>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</si>
  <si>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</si>
  <si>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</si>
  <si>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</si>
  <si>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</si>
  <si>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</si>
  <si>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</si>
  <si>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</si>
  <si>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</si>
  <si>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</si>
  <si>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</si>
  <si>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</si>
  <si>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</si>
  <si>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</si>
  <si>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</si>
  <si>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</si>
  <si>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</si>
  <si>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</si>
  <si>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</si>
  <si>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</si>
  <si>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</si>
  <si>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</si>
  <si>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</si>
  <si>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</si>
  <si>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</si>
  <si>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</si>
  <si>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</si>
  <si>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</si>
  <si>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</si>
  <si>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</si>
  <si>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</si>
  <si>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</si>
  <si>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</si>
  <si>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</si>
  <si>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</si>
  <si>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</si>
  <si>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</si>
  <si>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</si>
  <si>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</si>
  <si>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</si>
  <si>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</si>
  <si>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</si>
  <si>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</si>
  <si>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</si>
  <si>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</si>
  <si>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</si>
  <si>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</si>
  <si>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</si>
  <si>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</si>
  <si>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</si>
  <si>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</si>
  <si>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</si>
  <si>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</si>
  <si>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</si>
  <si>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</si>
  <si>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</si>
  <si>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</si>
  <si>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</si>
  <si>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</si>
  <si>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</si>
  <si>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</si>
  <si>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</si>
  <si>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</si>
  <si>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</si>
  <si>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</si>
  <si>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</si>
  <si>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</si>
  <si>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</si>
  <si>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</si>
  <si>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</si>
  <si>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</si>
  <si>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</si>
  <si>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</si>
  <si>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</si>
  <si>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</si>
  <si>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</si>
  <si>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</si>
  <si>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</si>
  <si>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</si>
  <si>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</si>
  <si>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</si>
  <si>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</si>
  <si>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</si>
  <si>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</si>
  <si>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</si>
  <si>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</si>
  <si>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</si>
  <si>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</si>
  <si>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</si>
  <si>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</si>
  <si>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</si>
  <si>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</si>
  <si>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</si>
  <si>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</si>
  <si>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</si>
  <si>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</si>
  <si>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</si>
  <si>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</si>
  <si>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</si>
  <si>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</si>
  <si>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</si>
  <si>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</si>
  <si>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</si>
  <si>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</si>
  <si>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</si>
  <si>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</si>
  <si>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</si>
  <si>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</si>
  <si>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</si>
  <si>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</si>
  <si>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</si>
  <si>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</si>
  <si>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</si>
  <si>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</si>
  <si>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</si>
  <si>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</si>
  <si>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</si>
  <si>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</si>
  <si>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</si>
  <si>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</si>
  <si>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</si>
  <si>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</si>
  <si>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</si>
  <si>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</si>
  <si>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</si>
  <si>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</si>
  <si>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</si>
  <si>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</si>
  <si>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</si>
  <si>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</si>
  <si>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</si>
  <si>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</si>
  <si>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</si>
  <si>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</si>
  <si>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</si>
  <si>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</si>
  <si>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</si>
  <si>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</si>
  <si>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</si>
  <si>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</si>
  <si>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</si>
  <si>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</si>
  <si>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</si>
  <si>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</si>
  <si>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</si>
  <si>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</si>
  <si>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</si>
  <si>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</si>
  <si>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</si>
  <si>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</si>
  <si>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</si>
  <si>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</si>
  <si>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</si>
  <si>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</si>
  <si>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</si>
  <si>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</si>
  <si>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</si>
  <si>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</si>
  <si>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</si>
  <si>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</si>
  <si>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</si>
  <si>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</si>
  <si>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</si>
  <si>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</si>
  <si>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</si>
  <si>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</si>
  <si>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</si>
  <si>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</si>
  <si>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</si>
  <si>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</si>
  <si>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</si>
  <si>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</si>
  <si>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</si>
  <si>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</si>
  <si>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</si>
  <si>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</si>
  <si>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</si>
  <si>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</si>
  <si>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</si>
  <si>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</si>
  <si>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</si>
  <si>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</si>
  <si>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</si>
  <si>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</si>
  <si>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</si>
  <si>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</si>
  <si>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</si>
  <si>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</si>
  <si>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</si>
  <si>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</si>
  <si>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</si>
  <si>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</si>
  <si>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</si>
  <si>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</si>
  <si>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</si>
  <si>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</si>
  <si>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</si>
  <si>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</si>
  <si>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</si>
  <si>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</si>
  <si>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</si>
  <si>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</si>
  <si>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</si>
  <si>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</si>
  <si>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</si>
  <si>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</si>
  <si>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</si>
  <si>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</si>
  <si>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</si>
  <si>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</si>
  <si>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</si>
  <si>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</si>
  <si>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</si>
  <si>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</si>
  <si>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</si>
  <si>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</si>
  <si>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</si>
  <si>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</si>
  <si>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</si>
  <si>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</si>
  <si>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</si>
  <si>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</si>
  <si>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</si>
  <si>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</si>
  <si>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</si>
  <si>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</si>
  <si>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</si>
  <si>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</si>
  <si>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</si>
  <si>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</si>
  <si>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</si>
  <si>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</si>
  <si>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</si>
  <si>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</si>
  <si>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</si>
  <si>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</si>
  <si>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</si>
  <si>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</si>
  <si>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</si>
  <si>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</si>
  <si>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</si>
  <si>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</si>
  <si>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</si>
  <si>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</si>
  <si>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</si>
  <si>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</si>
  <si>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</si>
  <si>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</si>
  <si>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</si>
  <si>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</si>
  <si>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</si>
  <si>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</si>
  <si>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</si>
  <si>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</si>
  <si>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</si>
  <si>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</si>
  <si>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</si>
  <si>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</si>
  <si>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</si>
  <si>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</si>
  <si>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</si>
  <si>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</si>
  <si>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</si>
  <si>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</si>
  <si>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</si>
  <si>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</si>
  <si>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</si>
  <si>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</si>
  <si>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</si>
  <si>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</si>
  <si>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</si>
  <si>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</si>
  <si>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</si>
  <si>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</si>
  <si>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</si>
  <si>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</si>
  <si>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</si>
  <si>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</si>
  <si>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</si>
  <si>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</si>
  <si>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</si>
  <si>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</si>
  <si>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</si>
  <si>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</si>
  <si>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</si>
  <si>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</si>
  <si>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</si>
  <si>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</si>
  <si>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</si>
  <si>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</si>
  <si>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</si>
  <si>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</si>
  <si>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</si>
  <si>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</si>
  <si>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</si>
  <si>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</si>
  <si>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</si>
  <si>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</si>
  <si>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</si>
  <si>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</si>
  <si>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</si>
  <si>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</si>
  <si>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</si>
  <si>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</si>
  <si>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</si>
  <si>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</si>
  <si>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</si>
  <si>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</si>
  <si>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</si>
  <si>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</si>
  <si>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</si>
  <si>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</si>
  <si>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</si>
  <si>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</si>
  <si>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</si>
  <si>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</si>
  <si>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</si>
  <si>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</si>
  <si>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</si>
  <si>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</si>
  <si>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</si>
  <si>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</si>
  <si>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</si>
  <si>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</si>
  <si>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</si>
  <si>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</si>
  <si>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</si>
  <si>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</si>
  <si>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</si>
  <si>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</si>
  <si>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</si>
  <si>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</si>
  <si>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</si>
  <si>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</si>
  <si>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</si>
  <si>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</si>
  <si>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</si>
  <si>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</si>
  <si>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</si>
  <si>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</si>
  <si>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</si>
  <si>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</si>
  <si>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</si>
  <si>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</si>
  <si>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</si>
  <si>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</si>
  <si>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</si>
  <si>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</si>
  <si>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</si>
  <si>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</si>
  <si>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</si>
  <si>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</si>
  <si>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</si>
  <si>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</si>
  <si>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</si>
  <si>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</si>
  <si>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</si>
  <si>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</si>
  <si>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</si>
  <si>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</si>
  <si>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</si>
  <si>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</si>
  <si>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</si>
  <si>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</si>
  <si>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</si>
  <si>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</si>
  <si>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</si>
  <si>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</si>
  <si>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</si>
  <si>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</si>
  <si>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</si>
  <si>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</si>
  <si>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</si>
  <si>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</si>
  <si>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</si>
  <si>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</si>
  <si>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</si>
  <si>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</si>
  <si>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</si>
  <si>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</si>
  <si>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</si>
  <si>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</si>
  <si>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</si>
  <si>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</si>
  <si>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</si>
  <si>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</si>
  <si>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</si>
  <si>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</si>
  <si>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</si>
  <si>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</si>
  <si>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</si>
  <si>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</si>
  <si>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</si>
  <si>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</si>
  <si>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</si>
  <si>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</si>
  <si>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</si>
  <si>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</si>
  <si>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</si>
  <si>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</si>
  <si>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</si>
  <si>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</si>
  <si>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</si>
  <si>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</si>
  <si>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</si>
  <si>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</si>
  <si>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</si>
  <si>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</si>
  <si>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</si>
  <si>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</si>
  <si>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</si>
  <si>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</si>
  <si>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</si>
  <si>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</si>
  <si>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</si>
  <si>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</si>
  <si>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</si>
  <si>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</si>
  <si>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</si>
  <si>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</si>
  <si>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</si>
  <si>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</si>
  <si>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</si>
  <si>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</si>
  <si>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</si>
  <si>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</si>
  <si>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</si>
  <si>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</si>
  <si>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</si>
  <si>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</si>
  <si>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</si>
  <si>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</si>
  <si>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</si>
  <si>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</si>
  <si>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</si>
  <si>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</si>
  <si>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</si>
  <si>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</si>
  <si>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</si>
  <si>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</si>
  <si>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</si>
  <si>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</si>
  <si>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</si>
  <si>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</si>
  <si>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</si>
  <si>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</si>
  <si>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</si>
  <si>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</si>
  <si>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</si>
  <si>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</si>
  <si>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</si>
  <si>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</si>
  <si>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</si>
  <si>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</si>
  <si>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</si>
  <si>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</si>
  <si>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</si>
  <si>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</si>
  <si>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</si>
  <si>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</si>
  <si>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</si>
  <si>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</si>
  <si>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</si>
  <si>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</si>
  <si>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</si>
  <si>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</si>
  <si>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</si>
  <si>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</si>
  <si>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</si>
  <si>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</si>
  <si>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</si>
  <si>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</si>
  <si>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</si>
  <si>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</si>
  <si>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</si>
  <si>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</si>
  <si>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</si>
  <si>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</si>
  <si>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</si>
  <si>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</si>
  <si>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</si>
  <si>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</si>
  <si>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</si>
  <si>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</si>
  <si>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</si>
  <si>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</si>
  <si>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</si>
  <si>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</si>
  <si>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</si>
  <si>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</si>
  <si>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</si>
  <si>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</si>
  <si>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</si>
  <si>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</si>
  <si>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</si>
  <si>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</si>
  <si>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</si>
  <si>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</si>
  <si>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</si>
  <si>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</si>
  <si>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</si>
  <si>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</si>
  <si>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</si>
  <si>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</si>
  <si>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</si>
  <si>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</si>
  <si>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</si>
  <si>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</si>
  <si>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</si>
  <si>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</si>
  <si>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</si>
  <si>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</si>
  <si>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</si>
  <si>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</si>
  <si>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</si>
  <si>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</si>
  <si>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</si>
  <si>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</si>
  <si>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</si>
  <si>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</si>
  <si>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</si>
  <si>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</si>
  <si>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</si>
  <si>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</si>
  <si>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</si>
  <si>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</si>
  <si>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</si>
  <si>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</si>
  <si>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</si>
  <si>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</si>
  <si>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</si>
  <si>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</si>
  <si>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</si>
  <si>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</si>
  <si>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</si>
  <si>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</si>
  <si>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</si>
  <si>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</si>
  <si>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</si>
  <si>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</si>
  <si>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</si>
  <si>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</si>
  <si>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</si>
  <si>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</si>
  <si>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</si>
  <si>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</si>
  <si>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</si>
  <si>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</si>
  <si>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</si>
  <si>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</si>
  <si>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</si>
  <si>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</si>
  <si>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</si>
  <si>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</si>
  <si>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</si>
  <si>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</si>
  <si>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</si>
  <si>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</si>
  <si>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</si>
  <si>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</si>
  <si>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</si>
  <si>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</si>
  <si>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</si>
  <si>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</si>
  <si>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</si>
  <si>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</si>
  <si>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</si>
  <si>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</si>
  <si>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</si>
  <si>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</si>
  <si>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</si>
  <si>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</si>
  <si>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</si>
  <si>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</si>
  <si>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</si>
  <si>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</si>
  <si>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</si>
  <si>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</si>
  <si>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</si>
  <si>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</si>
  <si>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</si>
  <si>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</si>
  <si>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</si>
  <si>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</si>
  <si>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</si>
  <si>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</si>
  <si>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</si>
  <si>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</si>
  <si>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</si>
  <si>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</si>
  <si>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</si>
  <si>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</si>
  <si>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</si>
  <si>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</si>
  <si>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</si>
  <si>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</si>
  <si>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</si>
  <si>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</si>
  <si>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</si>
  <si>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</si>
  <si>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</si>
  <si>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</si>
  <si>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</si>
  <si>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</si>
  <si>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</si>
  <si>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</si>
  <si>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</si>
  <si>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</si>
  <si>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</si>
  <si>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</si>
  <si>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</si>
  <si>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</si>
  <si>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</si>
  <si>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</si>
  <si>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</si>
  <si>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</si>
  <si>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</si>
  <si>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</si>
  <si>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</si>
  <si>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</si>
  <si>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</si>
  <si>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</si>
  <si>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</si>
  <si>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</si>
  <si>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</si>
  <si>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</si>
  <si>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</si>
  <si>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</si>
  <si>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</si>
  <si>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</si>
  <si>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</si>
  <si>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</si>
  <si>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</si>
  <si>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</si>
  <si>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</si>
  <si>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</si>
  <si>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</si>
  <si>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</si>
  <si>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</si>
  <si>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</si>
  <si>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</si>
  <si>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</si>
  <si>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</si>
  <si>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</si>
  <si>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</si>
  <si>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</si>
  <si>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</si>
  <si>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</si>
  <si>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</si>
  <si>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</si>
  <si>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</si>
  <si>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</si>
  <si>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</si>
  <si>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</si>
  <si>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</si>
  <si>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</si>
  <si>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</si>
  <si>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</si>
  <si>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</si>
  <si>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</si>
  <si>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</si>
  <si>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</si>
  <si>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</si>
  <si>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</si>
  <si>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</si>
  <si>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</si>
  <si>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</si>
  <si>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</si>
  <si>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</si>
  <si>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</si>
  <si>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</si>
  <si>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</si>
  <si>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</si>
  <si>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</si>
  <si>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</si>
  <si>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</si>
  <si>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</si>
  <si>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</si>
  <si>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</si>
  <si>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</si>
  <si>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</si>
  <si>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</si>
  <si>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</si>
  <si>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</si>
  <si>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</si>
  <si>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</si>
  <si>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</si>
  <si>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</si>
  <si>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</si>
  <si>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</si>
  <si>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</si>
  <si>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</si>
  <si>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</si>
  <si>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</si>
  <si>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</si>
  <si>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</si>
  <si>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</si>
  <si>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</si>
  <si>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</si>
  <si>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</si>
  <si>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</si>
  <si>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</si>
  <si>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</si>
  <si>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</si>
  <si>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</si>
  <si>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</si>
  <si>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</si>
  <si>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</si>
  <si>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</si>
  <si>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</si>
  <si>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</si>
  <si>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</si>
  <si>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</si>
  <si>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</si>
  <si>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</si>
  <si>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</si>
  <si>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</si>
  <si>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</si>
  <si>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</si>
  <si>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</si>
  <si>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</si>
  <si>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</si>
  <si>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</si>
  <si>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</si>
  <si>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</si>
  <si>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</si>
  <si>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</si>
  <si>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</si>
  <si>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</si>
  <si>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</si>
  <si>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</si>
  <si>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</si>
  <si>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</si>
  <si>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</si>
  <si>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</si>
  <si>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</si>
  <si>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</si>
  <si>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</si>
  <si>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</si>
  <si>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</si>
  <si>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</si>
  <si>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</si>
  <si>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</si>
  <si>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</si>
  <si>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</si>
  <si>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</si>
  <si>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</si>
  <si>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</si>
  <si>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</si>
  <si>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</si>
  <si>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</si>
  <si>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</si>
  <si>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</si>
  <si>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</si>
  <si>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</si>
  <si>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</si>
  <si>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</si>
  <si>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</si>
  <si>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</si>
  <si>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</si>
  <si>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</si>
  <si>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</si>
  <si>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</si>
  <si>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</si>
  <si>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</si>
  <si>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</si>
  <si>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</si>
  <si>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</si>
  <si>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</si>
  <si>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</si>
  <si>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</si>
  <si>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</si>
  <si>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</si>
  <si>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</si>
  <si>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</si>
  <si>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</si>
  <si>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</si>
  <si>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</si>
  <si>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</si>
  <si>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</si>
  <si>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</si>
  <si>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</si>
  <si>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</si>
  <si>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</si>
  <si>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</si>
  <si>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</si>
  <si>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</si>
  <si>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</si>
  <si>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</si>
  <si>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</si>
  <si>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</si>
  <si>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</si>
  <si>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</si>
  <si>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</si>
  <si>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</si>
  <si>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</si>
  <si>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</si>
  <si>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</si>
  <si>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</si>
  <si>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</si>
  <si>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</si>
  <si>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</si>
  <si>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</si>
  <si>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</si>
  <si>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</si>
  <si>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</si>
  <si>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</si>
  <si>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</si>
  <si>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</si>
  <si>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</si>
  <si>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</si>
  <si>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</si>
  <si>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</si>
  <si>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</si>
  <si>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</si>
  <si>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</si>
  <si>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</si>
  <si>
    <t>ООО ЛП Тс180921-26 27.08.2026 Бычков 6611кг (Гулаков)</t>
  </si>
  <si>
    <t>ООО ЛП Тс180936-26 27.08.2026 Бычков(2) 2549кг (Гулаков)</t>
  </si>
  <si>
    <t>ООО ЛП Тс182029-26 27.08.2026 Пушкарный 14028кг (Павленко)</t>
  </si>
  <si>
    <t>ООО ЛП Тс182036-26 27.08.2026 Пушкарный(2) 781кг (Павленко)</t>
  </si>
  <si>
    <t>ООО КСК ТРЕЙД Тс183343-26 28.08.2026 Крым 17018кг (Монакову)</t>
  </si>
  <si>
    <t>31,08,26</t>
  </si>
  <si>
    <t>ООО ЛП Тс182179-26 28.08.2026 Пенза 16104кг (Абдрахимов)</t>
  </si>
  <si>
    <t>МАШИНУ НЕ ИСКАТЬ!!!</t>
  </si>
  <si>
    <t>01,09,26</t>
  </si>
  <si>
    <t>TSO001092629</t>
  </si>
  <si>
    <t>TSO001092659</t>
  </si>
  <si>
    <t>TSO001092749</t>
  </si>
  <si>
    <t>TSO001092785</t>
  </si>
  <si>
    <t>TSO001092760</t>
  </si>
  <si>
    <t>TSO001092783</t>
  </si>
  <si>
    <t>TSO001092808</t>
  </si>
  <si>
    <t>TSO001092850</t>
  </si>
  <si>
    <t>TSO001092932</t>
  </si>
  <si>
    <t>TSO001093138</t>
  </si>
  <si>
    <t>TSO001093151</t>
  </si>
  <si>
    <t>TSO001093178</t>
  </si>
  <si>
    <t>TSO001093179</t>
  </si>
  <si>
    <t>TSO001092973</t>
  </si>
  <si>
    <t>TSO001093074</t>
  </si>
  <si>
    <t>TSO001093075</t>
  </si>
  <si>
    <t>TSO001093076</t>
  </si>
  <si>
    <t>TSO001093081</t>
  </si>
  <si>
    <t>TSO001093079</t>
  </si>
  <si>
    <t>TSO001093080</t>
  </si>
  <si>
    <t>TSO001093133</t>
  </si>
  <si>
    <t>TSO001093125</t>
  </si>
  <si>
    <t>TSO001093132</t>
  </si>
  <si>
    <t>TSO001093136</t>
  </si>
  <si>
    <t>TSO001093137</t>
  </si>
  <si>
    <t>TSO001093158</t>
  </si>
  <si>
    <t>TSO001102506</t>
  </si>
  <si>
    <t>TSO001102496</t>
  </si>
  <si>
    <t>TSO001102502</t>
  </si>
  <si>
    <t>TSO001094147</t>
  </si>
  <si>
    <t>TSO001103090</t>
  </si>
  <si>
    <t>ООО КСК ТРЕЙД Тс183809-26 29.08.2026 Крым 10521кг (Добыш)</t>
  </si>
  <si>
    <t>ООО КСК ТРЕЙД Тс185839-26 29.08.2026 Крым(2) 6543кг (Добыш)</t>
  </si>
  <si>
    <t>ООО КСК ТРЕЙД Тс183837-26 29.08.2026 Крым 11883кг (Лихачев)</t>
  </si>
  <si>
    <t>ООО КСК ТРЕЙД Тс186199-26 29.08.2026 Крым(2) 4339кг (Лихачев)</t>
  </si>
  <si>
    <t>ООО ЛП Тс183542-26 29.08.2026 Коныгин 1611кг (Митин)</t>
  </si>
  <si>
    <t>ООО ЛП Тс183562-26 29.08.2026 Обрыньба 4208кг (Митин)</t>
  </si>
  <si>
    <t>ООО ЛП Тс183556-26 29.08.2026 Пушкарный(ВВ) 6481кг (Митин)</t>
  </si>
  <si>
    <t>КИ - 29 паллет + СЫРЫ (ПРС) + старый заказ ПРС</t>
  </si>
  <si>
    <t>TSO001105949</t>
  </si>
  <si>
    <t>TSO001105975</t>
  </si>
  <si>
    <t>TSO001108308</t>
  </si>
  <si>
    <t>ООО КСК ТРЕЙД Тс185454-26 30.08.2026 Крым 17015кг (Исаков)</t>
  </si>
  <si>
    <t>ООО КСК ТРЕЙД Тс184777-26 30.08.2026 Крым 13890кг (Ислюков)</t>
  </si>
  <si>
    <t>ООО КСК ТРЕЙД Тс186254-26 30.08.2026 Николаенко 1703кг (Ислюков)</t>
  </si>
  <si>
    <t>ООО КСК ТРЕЙД Тс186392-26 30.08.2026 Крым(3) 1446кг (Ислюков)</t>
  </si>
  <si>
    <t>ООО КСК ТРЕЙД Тс186255-26 30.08.2026 Крым(2) 453кг (Ислюков)</t>
  </si>
  <si>
    <t>ООО КСК ТРЕЙД Тс183829-26 29.08.2026 Крым 8777кг (Некрасов)</t>
  </si>
  <si>
    <t>ООО КСК ТРЕЙД Тс185840-26 29.08.2026 Крым(2) 8489кг (Некрасов)</t>
  </si>
  <si>
    <t>ООО НВ Тс183816-26 29.08.2026 Бердянск 5696кг (Ерохов)</t>
  </si>
  <si>
    <t>ООО НВ Тс183834-26 29.08.2026 Мелитополь 10147кг (Ерохов)</t>
  </si>
  <si>
    <t>ООО НВ Тс186311-26 29.08.2026 Мелитополь(2) 900кг (Ерохов)</t>
  </si>
  <si>
    <t>ООО НВ Тс186313-26 29.08.2026 Бердянск(2) 907кг (Ерохов)</t>
  </si>
  <si>
    <t>ООО НВ Тс183903-26 29.08.2026 Донецк 17311кг (Рева)</t>
  </si>
  <si>
    <t>ООО НВ Тс186312-26 29.08.2026 Донецк(2) 758кг (Рева)</t>
  </si>
  <si>
    <t>ООО НВ Тс185835-26 30.08.2026 Горняк-Горловка 883кг (Решетников)</t>
  </si>
  <si>
    <t>ООО НВ Тс186256-26 30.08.2026 Горняк-Луганск 5286кг (Решетников)</t>
  </si>
  <si>
    <t>02,09,26</t>
  </si>
  <si>
    <t>TSO001114323</t>
  </si>
  <si>
    <t>TSO001114886</t>
  </si>
  <si>
    <t>ООО КСК ТРЕЙД Тс186068-26 31.08.2026 Вердиева 2212кг (Амелин)</t>
  </si>
  <si>
    <t>ООО КСК ТРЕЙД Тс186133-26 31.08.2026 Крым 13533кг (Амелин)</t>
  </si>
  <si>
    <t>ООО КСК ТРЕЙД Тс186550-26 31.08.2026 Вердиева(2) 1602кг (Амелин)</t>
  </si>
  <si>
    <t>ООО КСК ТРЕЙД Тс186021-26 31.08.2026 Крым 12836кг (Боков)</t>
  </si>
  <si>
    <t>ООО КСК ТРЕЙД Тс186102-26 31.08.2026 Вердиева 4564кг (Боков)</t>
  </si>
  <si>
    <t>дефицит 100%</t>
  </si>
  <si>
    <t>ООО НВ Тс186260-26 30.08.2026 Луганск 8432кг (Решетников)</t>
  </si>
  <si>
    <t>ООО НВ Тс186509-26 30.08.2026 Луганск(2) 2812кг (Решетников)</t>
  </si>
  <si>
    <t>03,09,26</t>
  </si>
  <si>
    <t>TSO001115300</t>
  </si>
  <si>
    <t>TSO001115304</t>
  </si>
  <si>
    <t>TSO001115305</t>
  </si>
  <si>
    <t>TSO001115355</t>
  </si>
  <si>
    <t>ООО КСК ТРЕЙД ЮТс-04202-26 01.09.2026 Крым 15789кг (Добыш)</t>
  </si>
  <si>
    <t>TSO001115798</t>
  </si>
  <si>
    <t>04,09,26</t>
  </si>
  <si>
    <t>05,09,26</t>
  </si>
  <si>
    <t>TSO001115961</t>
  </si>
  <si>
    <t>TSO001115955</t>
  </si>
  <si>
    <t>TSO001116014</t>
  </si>
  <si>
    <t>TSO001116019</t>
  </si>
  <si>
    <t>TSO001116066</t>
  </si>
  <si>
    <t>TSO001116065</t>
  </si>
  <si>
    <t>TSO001116130</t>
  </si>
  <si>
    <t>TSO001116145</t>
  </si>
  <si>
    <t>TSO001116172</t>
  </si>
  <si>
    <t>TSO001116129</t>
  </si>
  <si>
    <t>TSO001116180</t>
  </si>
  <si>
    <t>TSO001116186</t>
  </si>
  <si>
    <t>ООО НВ Тс186261-26 01.09.2026 Донецк 15553кг (Гулаков)</t>
  </si>
  <si>
    <t>ООО ЛП Тс186095-26 01.09.2026 ПРС 1330кг (Гулаков)</t>
  </si>
  <si>
    <t>ООО НВ Тс186247-26 01.09.2026 Донецк 2809кг (Монаков)</t>
  </si>
  <si>
    <t>ООО НВ Тс185833-26 01.09.2026 Бутырин 1538кг (Монаков)</t>
  </si>
  <si>
    <t>ООО ЛП Тс184776-26 01.09.2026 Малахутин 9599кг (Монаков)</t>
  </si>
  <si>
    <t>ООО ЛП Тс179800-26 01.09.2026 ПРС 1281кг (Монаков)</t>
  </si>
  <si>
    <t>ООО НВ Тс186114-26 01.09.2026 Бердянск 3585кг (Толстоусов)</t>
  </si>
  <si>
    <t>ООО НВ Тс186129-26 01.09.2026 Мелитополь 4747кг (Толстоусов)</t>
  </si>
  <si>
    <t>ООО НВ Тс186120-26 01.09.2026 Павленко 8111кг (Толстоусов)</t>
  </si>
  <si>
    <t>ООО НВ Тс186259-26 01.09.2026 Луганск 13333кг (Лола)</t>
  </si>
  <si>
    <t>ООО НВ Тс188744-26 02.09.2026 Луганск(2) 3826кг (Лола)</t>
  </si>
  <si>
    <t>ООО НВ Тс186072-26 02.09.2026 Донецк 11665кг (Бакалюк)</t>
  </si>
  <si>
    <t>ООО НВ Тс186059-26 02.09.2026 Луганск 13062кг (Мазур)</t>
  </si>
  <si>
    <t>ООО НВ Тс185898-26 02.09.2026 Донецк 4922кг (Решетов)</t>
  </si>
  <si>
    <t>ООО НВ Тс186086-26 02.09.2026 Горняк-Донецк 8122кг (Решетов)</t>
  </si>
  <si>
    <t>TSO001116476</t>
  </si>
  <si>
    <t>06,09,26</t>
  </si>
  <si>
    <t>TSO001116532</t>
  </si>
  <si>
    <t>TSO001116533</t>
  </si>
  <si>
    <t>TSO001116534</t>
  </si>
  <si>
    <t>TSO001116535</t>
  </si>
  <si>
    <t>TSO001116601</t>
  </si>
  <si>
    <t>TSO001116602</t>
  </si>
  <si>
    <t>TSO001116628</t>
  </si>
  <si>
    <t>TSO001116631</t>
  </si>
  <si>
    <t>TSO001116855</t>
  </si>
  <si>
    <t>TSO001116856</t>
  </si>
  <si>
    <t>ООО НВ Тс185664-26 03.09.2026 Бердянск 6739кг (Исмаилов)</t>
  </si>
  <si>
    <t>ООО НВ Тс186262-26 03.09.2026 Мелитополь 7463кг (Исмаилов)</t>
  </si>
  <si>
    <t>ООО НВ Тс188818-26 03.09.2026 Бердянск(2) 2313кг (Исмаилов)</t>
  </si>
  <si>
    <t>ООО НВ Тс188817-26 03.09.2026 Мелитополь(2) 1033кг (Исмаилов)</t>
  </si>
  <si>
    <t>ООО ЛП Тс186117-26 03.09.2026 Кочевой 8157кг (Новожилов)</t>
  </si>
  <si>
    <t>ООО НВ Тс186134-26 03.09.2026 Донецк 7879кг (Новожилов)</t>
  </si>
  <si>
    <t>ООО НВ Тс188867-26 03.09.2026 Донецк(2) 1619кг (Новожилов)</t>
  </si>
  <si>
    <t>07,09,26</t>
  </si>
  <si>
    <t>перенос с 06,09 на 07,09</t>
  </si>
  <si>
    <t>TSO001117108</t>
  </si>
  <si>
    <t>TSO001117184</t>
  </si>
  <si>
    <t>КИ - 28 паллет + СЫРЫ</t>
  </si>
  <si>
    <t>08,09,26</t>
  </si>
  <si>
    <t>TSO001117235</t>
  </si>
  <si>
    <t>TSO001117236</t>
  </si>
  <si>
    <t>TSO001117281</t>
  </si>
  <si>
    <t>TSO001117282</t>
  </si>
  <si>
    <t>TSO001117334</t>
  </si>
  <si>
    <t>TSO001117346</t>
  </si>
  <si>
    <t>TSO001117349</t>
  </si>
  <si>
    <t>TSO001117374</t>
  </si>
  <si>
    <t>TSO001117510</t>
  </si>
  <si>
    <t>TSO001117517</t>
  </si>
  <si>
    <t>TSO001117520</t>
  </si>
  <si>
    <t>TSO001117512</t>
  </si>
  <si>
    <t>TSO001117521</t>
  </si>
  <si>
    <t>ООО ЛП Тс190186-26 04.09.2026 Пушкарный 12882кг (Агафонов)</t>
  </si>
  <si>
    <t>ООО КСК ТРЕЙД Тс186122-26 04.09.2026 Крым 14971кг (Бедик)</t>
  </si>
  <si>
    <t>ООО КСК ТРЕЙД Тс190227-26 04.09.2026 Крым(3) 2149кг (Бедик)</t>
  </si>
  <si>
    <t>ООО КСК ТРЕЙД Тс187256-26 04.09.2026 Крым(2) 280кг (Бедик)</t>
  </si>
  <si>
    <t>ООО КСК ТРЕЙД Тс190217-26 04.09.2026 Крым 13979кг (Митин)</t>
  </si>
  <si>
    <t>ООО КСК ТРЕЙД Тс190238-26 04.09.2026 Крым(2) 3164кг (Митин)</t>
  </si>
  <si>
    <t>ООО КСК ТРЕЙД Тс190220-26 04.09.2026 Крым 16449кг (Соболев)</t>
  </si>
  <si>
    <t>ООО КСК ТРЕЙД Тс190235-26 04.09.2026 Крым(2) 1360кг (Соболев)</t>
  </si>
  <si>
    <t>забираем с заказом Малахутина 5т</t>
  </si>
  <si>
    <t>ООО ЛП Тс190195-26 04.09.2026 СПБ 9338кг (Ерохов)</t>
  </si>
  <si>
    <t>ООО НВ Тс186508-26 04.09.2026 Донецк(2) 961кг (Галкин)</t>
  </si>
  <si>
    <t>ООО НВ Тс188509-26 04.09.2026 Донецк(3) 2519кг (Галкин)</t>
  </si>
  <si>
    <t>ООО НВ Тс188859-26 04.09.2026 Донецк(4) 1605кг (Галкин)</t>
  </si>
  <si>
    <t>ООО НВ Тс186074-26 04.09.2026 Донецк 7462кг (Галкин)</t>
  </si>
  <si>
    <t>ООО ЛП Тс190181-26 04.09.2026 НПК 4969кг (Галкин)</t>
  </si>
  <si>
    <t>ООО НВ ЮТс-04302-26 04.09.2026 Мелитополь 5671кг (Некрасов)</t>
  </si>
  <si>
    <t>ООО НВ ЮТс-04303-26 04.09.2026 Бердянск 8620кг (Некрасов)</t>
  </si>
  <si>
    <t>TSO001117561</t>
  </si>
  <si>
    <t>TSO001117565</t>
  </si>
  <si>
    <t>TSO001117590</t>
  </si>
  <si>
    <t>TSO001117607</t>
  </si>
  <si>
    <t>TSO001117609</t>
  </si>
  <si>
    <t>TSO001117610</t>
  </si>
  <si>
    <t>ООО КСК ТРЕЙД ЮТс-04297-26 05.09.2026 Крым 16049кг (Амелин)</t>
  </si>
  <si>
    <t>ООО ЛП Тс190177-26 05.09.2026 Малахутин 5001кг (Добыш)</t>
  </si>
  <si>
    <t>ООО ЛП Тс190192-26 05.09.2026 Коныгин 5548кг (Добыш)</t>
  </si>
  <si>
    <t>ООО ЛП Тс190199-26 05.09.2026 Обрыньба 2079кг (Добыш)</t>
  </si>
  <si>
    <t>ООО ЛП Тс190202-26 05.09.2026 Пушкарный(ВВ) 2635кг (Добыш)</t>
  </si>
  <si>
    <t>ООО КСК ТРЕЙД Тс190678-26 07.09.2026 Крым 16669кг (Журавлев)</t>
  </si>
  <si>
    <t>ООО КСК ТРЕЙД Тс190231-26 05.09.2026 Крым 16926кг (Исаков)</t>
  </si>
  <si>
    <t>ООО КСК ТРЕЙД Тс191532-26 05.09.2026 Крым(2) 767кг (Исаков)</t>
  </si>
  <si>
    <t>ООО КСК ТРЕЙД Тс190214-26 06.09.2026 Крым 14921кг (Ислюков)</t>
  </si>
  <si>
    <t>ООО КСК ТРЕЙД Тс190225-26 06.09.2026 Николаенко 2102кг (Ислюков)</t>
  </si>
  <si>
    <t>ООО КСК ТРЕЙД Тс191721-26 06.09.2026 Крым(2) 524кг (Ислюков)</t>
  </si>
  <si>
    <t>ООО ЛП Тс190184-26 04.09.2026 Пушкарный 17501кг (Латий)</t>
  </si>
  <si>
    <t>10,09,26</t>
  </si>
  <si>
    <t>TSO001117832</t>
  </si>
  <si>
    <t>TSO001117838</t>
  </si>
  <si>
    <t>ООО НВ Тс189843-26 06.09.2026 Донецк 15774кг (Астапкин)</t>
  </si>
  <si>
    <t>ООО НВ Тс189853-26 06.09.2026 Бутырин 775кг (Астапкин)</t>
  </si>
  <si>
    <t>ООО НВ Тс191784-26 06.09.2026 Донецк(2) 1218кг (Астапкин)</t>
  </si>
  <si>
    <t>ООО НВ Тс191464-26 05.09.2026 Луганск(2) 1836кг (Решетников)</t>
  </si>
  <si>
    <t>TSO001118037</t>
  </si>
  <si>
    <t>TSO001118038</t>
  </si>
  <si>
    <t>TSO001118478</t>
  </si>
  <si>
    <t>TSO001118566</t>
  </si>
  <si>
    <t>ООО НВ Тс189021-26 05.09.2026 Луганск 6769кг (Решетников)</t>
  </si>
  <si>
    <t>ООО НВ Тс188990-26 05.09.2026 Горняк-Луганск 8526кг (Решетников)</t>
  </si>
  <si>
    <t>ООО ЛП Тс192159-26 07.09.2026 Пенза 16793кг (Абдрахимов)</t>
  </si>
  <si>
    <t>ООО ЛП ЮТс-04330-26 07.09.2026 Вояж 2026кг (Жабкин)</t>
  </si>
  <si>
    <t>ООО НВ Тс191198-26 07.09.2026 Горняк-Луганск 9752кг (Жабкин)</t>
  </si>
  <si>
    <t>ООО НВ Тс191187-26 07.09.2026 Луганск 1257кг (Жабкин)</t>
  </si>
  <si>
    <t>TSO001118701</t>
  </si>
  <si>
    <t>TSO001118703</t>
  </si>
  <si>
    <t>№1 / завод не собрал</t>
  </si>
  <si>
    <t>TSO001118761</t>
  </si>
  <si>
    <t>09,09,26</t>
  </si>
  <si>
    <t>TSO001118926</t>
  </si>
  <si>
    <t>TSO001118927</t>
  </si>
  <si>
    <t>TSO001118908</t>
  </si>
  <si>
    <t>TSO001118941</t>
  </si>
  <si>
    <t>TSO001118942</t>
  </si>
  <si>
    <t>TSO001118943</t>
  </si>
  <si>
    <t>TSO001118946</t>
  </si>
  <si>
    <t>ООО КСК ТРЕЙД Тс191352-26 08.09.2026 Крым 12798кг (Мазур)</t>
  </si>
  <si>
    <t>ООО КСК ТРЕЙД Тс191798-26 08.09.2026 Крым(2) 2554кг (Мазур)</t>
  </si>
  <si>
    <t>ООО КСК ТРЕЙД Тс193728-26 08.09.2026 Крым(3) 2343кг (Мазур)</t>
  </si>
  <si>
    <t>ООО КСК ТРЕЙД Тс191353-26 08.09.2026 Крым 14902кг (Митин)</t>
  </si>
  <si>
    <t>ООО КСК ТРЕЙД Тс193726-26 08.09.2026 Крым(2) 2722кг (Митин)</t>
  </si>
  <si>
    <t>ООО КСК ТРЕЙД Тс191000-26 08.09.2026 Крым 15416кг (Ожех)</t>
  </si>
  <si>
    <t>ООО КСК ТРЕЙД Тс193731-26 08.09.2026 Крым(3) 435кг (Ожех)</t>
  </si>
  <si>
    <t>ООО КСК ТРЕЙД Тс191799-26 08.09.2026 Крым(2) 1721кг (Ожех)</t>
  </si>
  <si>
    <t>ООО КСК ТРЕЙД Тс191354-26 08.09.2026 Крым 14715кг (Чиндин)</t>
  </si>
  <si>
    <t>ООО КСК ТРЕЙД Тс193729-26 08.09.2026 Крым(2) 2347кг (Чиндин)</t>
  </si>
  <si>
    <t>ООО КСК ТРЕЙД Тс193733-26 08.09.2026 Крым(3) 522кг (Чиндин)</t>
  </si>
  <si>
    <t>11,09,26</t>
  </si>
  <si>
    <t>TSO001119509</t>
  </si>
  <si>
    <t>TSO001119559</t>
  </si>
  <si>
    <t>12,09,26</t>
  </si>
  <si>
    <t>TSO001119728</t>
  </si>
  <si>
    <t>TSO001119723</t>
  </si>
  <si>
    <t>TSO001119753</t>
  </si>
  <si>
    <t>TSO001119761</t>
  </si>
  <si>
    <t>TSO001119763</t>
  </si>
  <si>
    <t>ООО НВ Тс191340-26 08.09.2026 Донецк 15475кг (Голубев)</t>
  </si>
  <si>
    <t>ООО НВ Тс193546-26 08.09.2026 Донецк(2) 1718кг (Голубев)</t>
  </si>
  <si>
    <t>ООО НВ Тс190976-26 08.09.2026 Мелитополь 6331кг (Лапшин)</t>
  </si>
  <si>
    <t>ООО НВ Тс191329-26 08.09.2026 Бердянск 7877кг (Лапшин)</t>
  </si>
  <si>
    <t>ООО НВ Тс192373-26 08.09.2026 Бердянск(2) 869кг (Лапшин)</t>
  </si>
  <si>
    <t>ООО НВ Тс192374-26 08.09.2026 Мелитополь(2) 792кг (Лапшин)</t>
  </si>
  <si>
    <t>ООО НВ Тс191351-26 09.09.2026 Луганск 16512кг (Некрасов)</t>
  </si>
  <si>
    <t>ООО НВ Тс193545-26 09.09.2026 Луганск(2) 831кг (Некрасов)</t>
  </si>
  <si>
    <t>ООО НВ Тс191338-26 09.09.2026 Донецк 12076кг (Бакалюк)</t>
  </si>
  <si>
    <t>ООО НВ Тс191337-26 08.09.2026 Горняк-Донецк 8689кг (Чирков)</t>
  </si>
  <si>
    <t>TSO001120055</t>
  </si>
  <si>
    <t>TSO001120193</t>
  </si>
  <si>
    <t>(ВВ) дефицит</t>
  </si>
  <si>
    <t>13,09,26</t>
  </si>
  <si>
    <t>TSO001120227</t>
  </si>
  <si>
    <t>TSO001120252</t>
  </si>
  <si>
    <t>TSO001120255</t>
  </si>
  <si>
    <t>TSO001120256</t>
  </si>
  <si>
    <t>TSO001120258</t>
  </si>
  <si>
    <t>TSO001120259</t>
  </si>
  <si>
    <t>TSO001120261</t>
  </si>
  <si>
    <t>TSO001120260</t>
  </si>
  <si>
    <t>TSO001120280</t>
  </si>
  <si>
    <t>TSO001120281</t>
  </si>
  <si>
    <t>TSO001120282</t>
  </si>
  <si>
    <t>TSO001120283</t>
  </si>
  <si>
    <t>TSO001120284</t>
  </si>
  <si>
    <t>TSO001120285</t>
  </si>
  <si>
    <t>TSO001120273</t>
  </si>
  <si>
    <t>TSO001120274</t>
  </si>
  <si>
    <t>TSO001120275</t>
  </si>
  <si>
    <t>TSO001120276</t>
  </si>
  <si>
    <t>TSO001120277</t>
  </si>
  <si>
    <t>TSO001120278</t>
  </si>
  <si>
    <t>TSO001120279</t>
  </si>
  <si>
    <t>ООО ЛП ЮТс-04329-26 10.09.2026 ПРС 10739кг (Добыш)</t>
  </si>
  <si>
    <t>ООО ЛП Тс193742-26 10.09.2026 Пушкарный 17273кг (Ковальчук)</t>
  </si>
  <si>
    <t>ООО ЛП Тс192701-26 10.09.2026 Бычков 2137кг (Монаков)</t>
  </si>
  <si>
    <t>ООО ЛП Тс192708-26 10.09.2026 Бычков(2) 8223кг (Монаков)</t>
  </si>
  <si>
    <t>забрать СЫРЫ Останкино для Донецка</t>
  </si>
  <si>
    <t>14,09,26</t>
  </si>
  <si>
    <t>отгружен</t>
  </si>
  <si>
    <t>15,09,26</t>
  </si>
  <si>
    <t>TSO001120838</t>
  </si>
  <si>
    <t>TSO001120857</t>
  </si>
  <si>
    <t>TSO001120985</t>
  </si>
  <si>
    <t>TSO001121014</t>
  </si>
  <si>
    <t>ПОКОМ КИ - 10 паллет; Ост. КИиЗПФ - 18 паллет; Ост. СЫРЫ - 4 паллета. +ждем заказ от Химича под ОПТа</t>
  </si>
  <si>
    <t>КИ - 31 паллет + СЫРЫ (в Краснодаре)</t>
  </si>
  <si>
    <t>TSO001120974</t>
  </si>
  <si>
    <t>TSO001120994</t>
  </si>
  <si>
    <t>TSO001120998</t>
  </si>
  <si>
    <t>TSO001121001</t>
  </si>
  <si>
    <t>TSO001121002</t>
  </si>
  <si>
    <t>TSO001121133</t>
  </si>
  <si>
    <t>TSO001121150</t>
  </si>
  <si>
    <t>TSO001121152</t>
  </si>
  <si>
    <t>TSO001121144</t>
  </si>
  <si>
    <t>TSO001121064</t>
  </si>
  <si>
    <t>TSO001121068</t>
  </si>
  <si>
    <t>TSO001121071</t>
  </si>
  <si>
    <t>TSO001121075</t>
  </si>
  <si>
    <t>TSO001121118</t>
  </si>
  <si>
    <t>TSO001121124</t>
  </si>
  <si>
    <t>TSO001121195</t>
  </si>
  <si>
    <t>TSO001121204</t>
  </si>
  <si>
    <t>TSO001121205</t>
  </si>
  <si>
    <t>TSO001121206</t>
  </si>
  <si>
    <t>ООО КСК ТРЕЙД Тс197296-26 12.09.2026 Крым(4) 718кг (Журавлев)</t>
  </si>
  <si>
    <t>ООО КСК ТРЕЙД Тс197211-26 12.09.2026 Крым 16177кг (Журавлев)</t>
  </si>
  <si>
    <t>ООО КСК ТРЕЙД Тс197209-26 12.09.2026 Крым(3) 324кг (Журавлев)</t>
  </si>
  <si>
    <t>ООО КСК ТРЕЙД Тс197208-26 12.09.2026 Крым(2) 245кг (Журавлев)</t>
  </si>
  <si>
    <t>ООО КСК ТРЕЙД Тс197206-26 11.09.2026 Крым 14717кг (Кульпин)</t>
  </si>
  <si>
    <t>ООО КСК ТРЕЙД Тс197210-26 11.09.2026 Крым(2) 1869кг (Кульпин)</t>
  </si>
  <si>
    <t>ООО КСК ТРЕЙД Тс197205-26 11.09.2026 Крым(3) 675кг (Кульпин)</t>
  </si>
  <si>
    <t>ООО ЛП Тс197033-26 11.09.2026 Пенза 17952кг (Латий)</t>
  </si>
  <si>
    <t>ООО ЛП Тс193744-26 11.09.2026 Пушкарный 17438кг (Ступак)</t>
  </si>
  <si>
    <t>+</t>
  </si>
  <si>
    <t>TSO001121233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</si>
</sst>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7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083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49" fontId="21" fillId="16" borderId="13" xfId="0" applyNumberFormat="1" applyFont="1" applyFill="1" applyBorder="1" applyAlignment="1">
      <alignment horizontal="center" vertical="center" wrapText="1"/>
    </xf>
    <xf numFmtId="49" fontId="21" fillId="17" borderId="20" xfId="0" applyNumberFormat="1" applyFont="1" applyFill="1" applyBorder="1" applyAlignment="1">
      <alignment horizontal="center" vertical="center" wrapText="1"/>
    </xf>
    <xf numFmtId="49" fontId="21" fillId="17" borderId="69" xfId="0" applyNumberFormat="1" applyFont="1" applyFill="1" applyBorder="1" applyAlignment="1">
      <alignment horizontal="center" vertical="center" wrapText="1"/>
    </xf>
    <xf numFmtId="0" fontId="46" fillId="16" borderId="83" xfId="0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vertical="center" wrapText="1"/>
    </xf>
    <xf numFmtId="164" fontId="46" fillId="16" borderId="29" xfId="0" applyNumberFormat="1" applyFont="1" applyFill="1" applyBorder="1" applyAlignment="1">
      <alignment horizontal="center" vertical="center" wrapText="1"/>
    </xf>
    <xf numFmtId="0" fontId="46" fillId="16" borderId="29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left" vertical="center" wrapText="1"/>
    </xf>
    <xf numFmtId="20" fontId="46" fillId="16" borderId="78" xfId="0" applyNumberFormat="1" applyFont="1" applyFill="1" applyBorder="1" applyAlignment="1">
      <alignment horizontal="center" vertical="center" wrapText="1"/>
    </xf>
    <xf numFmtId="20" fontId="46" fillId="16" borderId="80" xfId="0" applyNumberFormat="1" applyFont="1" applyFill="1" applyBorder="1" applyAlignment="1">
      <alignment horizontal="center" vertical="center" wrapText="1"/>
    </xf>
    <xf numFmtId="0" fontId="16" fillId="40" borderId="47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left" vertical="center" wrapText="1"/>
    </xf>
    <xf numFmtId="0" fontId="45" fillId="46" borderId="0" xfId="0" applyFont="1" applyFill="1" applyAlignment="1">
      <alignment horizontal="left" vertical="center" wrapText="1"/>
    </xf>
    <xf numFmtId="0" fontId="46" fillId="16" borderId="50" xfId="0" applyFont="1" applyFill="1" applyBorder="1" applyAlignment="1">
      <alignment horizontal="center" vertical="center" wrapText="1"/>
    </xf>
    <xf numFmtId="49" fontId="46" fillId="16" borderId="20" xfId="0" applyNumberFormat="1" applyFont="1" applyFill="1" applyBorder="1" applyAlignment="1">
      <alignment horizontal="left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0" fontId="16" fillId="17" borderId="74" xfId="0" applyFont="1" applyFill="1" applyBorder="1" applyAlignment="1">
      <alignment horizontal="center" vertical="center" wrapText="1"/>
    </xf>
    <xf numFmtId="0" fontId="16" fillId="17" borderId="76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center" vertical="center" wrapText="1"/>
    </xf>
    <xf numFmtId="49" fontId="16" fillId="17" borderId="86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49" fontId="46" fillId="17" borderId="10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7" fillId="16" borderId="24" xfId="0" applyNumberFormat="1" applyFont="1" applyFill="1" applyBorder="1" applyAlignment="1">
      <alignment horizontal="center" vertical="center" wrapText="1"/>
    </xf>
    <xf numFmtId="49" fontId="17" fillId="16" borderId="69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285"/>
  <sheetViews>
    <sheetView tabSelected="1" zoomScale="70" zoomScaleNormal="70" workbookViewId="0">
      <pane ySplit="2" topLeftCell="A7250" activePane="bottomLeft" state="frozen"/>
      <selection pane="bottomLeft" activeCell="P7275" sqref="P7275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20.140625" style="847" customWidth="1"/>
    <col min="18" max="18" width="20.140625" style="833" customWidth="1"/>
    <col min="19" max="19" width="11.42578125" style="2" customWidth="1"/>
    <col min="20" max="20" width="12" style="2" bestFit="1" customWidth="1"/>
    <col min="21" max="21" width="16.28515625" style="2" customWidth="1"/>
    <col min="22" max="1021" width="9.140625" style="2"/>
  </cols>
  <sheetData>
    <row r="1" spans="1:18" ht="19.5" customHeight="1" thickBot="1" x14ac:dyDescent="0.3">
      <c r="A1" s="1062" t="s">
        <v>0</v>
      </c>
      <c r="B1" s="1062"/>
      <c r="C1" s="1062"/>
      <c r="D1" s="1062"/>
      <c r="E1" s="1062"/>
      <c r="F1" s="1062"/>
      <c r="G1" s="1062"/>
      <c r="H1" s="1062"/>
      <c r="I1" s="1062"/>
      <c r="J1" s="1062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63">
        <v>1</v>
      </c>
      <c r="B3" s="1063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63"/>
      <c r="B4" s="1063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64">
        <v>3</v>
      </c>
      <c r="B6" s="1064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64"/>
      <c r="B7" s="1064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64"/>
      <c r="B8" s="1064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64">
        <v>5</v>
      </c>
      <c r="B10" s="1064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64"/>
      <c r="B11" s="1064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65">
        <v>8</v>
      </c>
      <c r="B14" s="1065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65"/>
      <c r="B15" s="1065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64">
        <v>11</v>
      </c>
      <c r="B18" s="1064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64"/>
      <c r="B19" s="1064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64"/>
      <c r="B20" s="1064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64"/>
      <c r="B21" s="1064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64">
        <v>13</v>
      </c>
      <c r="B23" s="1064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64"/>
      <c r="B24" s="1064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65">
        <v>14</v>
      </c>
      <c r="B25" s="1065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65"/>
      <c r="B26" s="1065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64">
        <v>15</v>
      </c>
      <c r="B27" s="1064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64"/>
      <c r="B28" s="1064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64"/>
      <c r="B29" s="1064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64"/>
      <c r="B30" s="1064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65">
        <v>16</v>
      </c>
      <c r="B31" s="1065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65"/>
      <c r="B32" s="1065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65"/>
      <c r="B33" s="1065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65"/>
      <c r="B34" s="1065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64">
        <v>17</v>
      </c>
      <c r="B35" s="1064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64"/>
      <c r="B36" s="1064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64">
        <v>21</v>
      </c>
      <c r="B40" s="1064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64"/>
      <c r="B41" s="1064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64">
        <v>23</v>
      </c>
      <c r="B43" s="1064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64"/>
      <c r="B44" s="1064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64"/>
      <c r="B45" s="1064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65">
        <v>24</v>
      </c>
      <c r="B46" s="1065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65"/>
      <c r="B47" s="1065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64">
        <v>25</v>
      </c>
      <c r="B48" s="1064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64"/>
      <c r="B49" s="1064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64"/>
      <c r="B50" s="1064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65">
        <v>26</v>
      </c>
      <c r="B51" s="1065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65"/>
      <c r="B52" s="1065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64">
        <v>29</v>
      </c>
      <c r="B55" s="1064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64"/>
      <c r="B56" s="1064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65">
        <v>32</v>
      </c>
      <c r="B59" s="1065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65"/>
      <c r="B60" s="1065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65">
        <v>34</v>
      </c>
      <c r="B62" s="1065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65"/>
      <c r="B63" s="1065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65"/>
      <c r="B64" s="1065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65"/>
      <c r="B65" s="1065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65"/>
      <c r="B66" s="1065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64">
        <v>35</v>
      </c>
      <c r="B67" s="1064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64"/>
      <c r="B68" s="1064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038">
        <v>40</v>
      </c>
      <c r="B73" s="1065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038"/>
      <c r="B74" s="1065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039">
        <v>41</v>
      </c>
      <c r="B75" s="1064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039"/>
      <c r="B76" s="1064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039"/>
      <c r="B77" s="1064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038">
        <v>42</v>
      </c>
      <c r="B78" s="1065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038"/>
      <c r="B79" s="1065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039">
        <v>49</v>
      </c>
      <c r="B86" s="1064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039"/>
      <c r="B87" s="1064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039"/>
      <c r="B88" s="1064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038">
        <v>50</v>
      </c>
      <c r="B89" s="1065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038"/>
      <c r="B90" s="1065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039">
        <v>51</v>
      </c>
      <c r="B91" s="1064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039"/>
      <c r="B92" s="1064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039">
        <v>53</v>
      </c>
      <c r="B94" s="1064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039"/>
      <c r="B95" s="1064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038">
        <v>54</v>
      </c>
      <c r="B96" s="1065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038"/>
      <c r="B97" s="1065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038"/>
      <c r="B98" s="1065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038">
        <v>58</v>
      </c>
      <c r="B102" s="1065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038"/>
      <c r="B103" s="1065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038">
        <v>60</v>
      </c>
      <c r="B105" s="1065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038"/>
      <c r="B106" s="1065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038"/>
      <c r="B107" s="1065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039">
        <v>61</v>
      </c>
      <c r="B108" s="1064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039"/>
      <c r="B109" s="1064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039"/>
      <c r="B110" s="1064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038">
        <v>64</v>
      </c>
      <c r="B113" s="1065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038"/>
      <c r="B114" s="1065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038">
        <v>66</v>
      </c>
      <c r="B116" s="1065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038"/>
      <c r="B117" s="1065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039">
        <v>67</v>
      </c>
      <c r="B118" s="1064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039"/>
      <c r="B119" s="1064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039"/>
      <c r="B120" s="1064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038">
        <v>68</v>
      </c>
      <c r="B121" s="1065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038"/>
      <c r="B122" s="1065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039">
        <v>69</v>
      </c>
      <c r="B123" s="1064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039"/>
      <c r="B124" s="1064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038">
        <v>72</v>
      </c>
      <c r="B127" s="1065" t="s">
        <v>65</v>
      </c>
      <c r="C127" s="119" t="s">
        <v>26</v>
      </c>
      <c r="D127" s="120">
        <v>3.3</v>
      </c>
      <c r="E127" s="121"/>
      <c r="F127" s="122" t="s">
        <v>30</v>
      </c>
      <c r="G127" s="1059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038"/>
      <c r="B128" s="1065"/>
      <c r="C128" s="103" t="s">
        <v>26</v>
      </c>
      <c r="D128" s="88">
        <v>12.9</v>
      </c>
      <c r="E128" s="106"/>
      <c r="F128" s="107" t="s">
        <v>16</v>
      </c>
      <c r="G128" s="1059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038">
        <v>76</v>
      </c>
      <c r="B132" s="1066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038"/>
      <c r="B133" s="1066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038"/>
      <c r="B134" s="1066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038"/>
      <c r="B135" s="1066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038">
        <v>78</v>
      </c>
      <c r="B137" s="1060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038"/>
      <c r="B138" s="1060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67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67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038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038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038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039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039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038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038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039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039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039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039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039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039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039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039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038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038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038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038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038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038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039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61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039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61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038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038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038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038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038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038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038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038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038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039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039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038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038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039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039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038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038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039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039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039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039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039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038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038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039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039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039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038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038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039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039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038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038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039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039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038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038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038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039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039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038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59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038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59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038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038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039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039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039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039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038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038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038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038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038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038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039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039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038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038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038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038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039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039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038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038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038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038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038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039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039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038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038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039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039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038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050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038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050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039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039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038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59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038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59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038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038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038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038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038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038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038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038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039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039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038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038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039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039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038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038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038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038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039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039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039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039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039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039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039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039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038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038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039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61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039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61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039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039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039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039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039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039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039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039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039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039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039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039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039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039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038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038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039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039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038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038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038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038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039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039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039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039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039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039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038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038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039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039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039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039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044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039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044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038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038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038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038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038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038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038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038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038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038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038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038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039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039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038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038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039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039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039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039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039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039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039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039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038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038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039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039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039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038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038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039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039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039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044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039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044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038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038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038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038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038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038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58" t="s">
        <v>133</v>
      </c>
      <c r="J420" s="1058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039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039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038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038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039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039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038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038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038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038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039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039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039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039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039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038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038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038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039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039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038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038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039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039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038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041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038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041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039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039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038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038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038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038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038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038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042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042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042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038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038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039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039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038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038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038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038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038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038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038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038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039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039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039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039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038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038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038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039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039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039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044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039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044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038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038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039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54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039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54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038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54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038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54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038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54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038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038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038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038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038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038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039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039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039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038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038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038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039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039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039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039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039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038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038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038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039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039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039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039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039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039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038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038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038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039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039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039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039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038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038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038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039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039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039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038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041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038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041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038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038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038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038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038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039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039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039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039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038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038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038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039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039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039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038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038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038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038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038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038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039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039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039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039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039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039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039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039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038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038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038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039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044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039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044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039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039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038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038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038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038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038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038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038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038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038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038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038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038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039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039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039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038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038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038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039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039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039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039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039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038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038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039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039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039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038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038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038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038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039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039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039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039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039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039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038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038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038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039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044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039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044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039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039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56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039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56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039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038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038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038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039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039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039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038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038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039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039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039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039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039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039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038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038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039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039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038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038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038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038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038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038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038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038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038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039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044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039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044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057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057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57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039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039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039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057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57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039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039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039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057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57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038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038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038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039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039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039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038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038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038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038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038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038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038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038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039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039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039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039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039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039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039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038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55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038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55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038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038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038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038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038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039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039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039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039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039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039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039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038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038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038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038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68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68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68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68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68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68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039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044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039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044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038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038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038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039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039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039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040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040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040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040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040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039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039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039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039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039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69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69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039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039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039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038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038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039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039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038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038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038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038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039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039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039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039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039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039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039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038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038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038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038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039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039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038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041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038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041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039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039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039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039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039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039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039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039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039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039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039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039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039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038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038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038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039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039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039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038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038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039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039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039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039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038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038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038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039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039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039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039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039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039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039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039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039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038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038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038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038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038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038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038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038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038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038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039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039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039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038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038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038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038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038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039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039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038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038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038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039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039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039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038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038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038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038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038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038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038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039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039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038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038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038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039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039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039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038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038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039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039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038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038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039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039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038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038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039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039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039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039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038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041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038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041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039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039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039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039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039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038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038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039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039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039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039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039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039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039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039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038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038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038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038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038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038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70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70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038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038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039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039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038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038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038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038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038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039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039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039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039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039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038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038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038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039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039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039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038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038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038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039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044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039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044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038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038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038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039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039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038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038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038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039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039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039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039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039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038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038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042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042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038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038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039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039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038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038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038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038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038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038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038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039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039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038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038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039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039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038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038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038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039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039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038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038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039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044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039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044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038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038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038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039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039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038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038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039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039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039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038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038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039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039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039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039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039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039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039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039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038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038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038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038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038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039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039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038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038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039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039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039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038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038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038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039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039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038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041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038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041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039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039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039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039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039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039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039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039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038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038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039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039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039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039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038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038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039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039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039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038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038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039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039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039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039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038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041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038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041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039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039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038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038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038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038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039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039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038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038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039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039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038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038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039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039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039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039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038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038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038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038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038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038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038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038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039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039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039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039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038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041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038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041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038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038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039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039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038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038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038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038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039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039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038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038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039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039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039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039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039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039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039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038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038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038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038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038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038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038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041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038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041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038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038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039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039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038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038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039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039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039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039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038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038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038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038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039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039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039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039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039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039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039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039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039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039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039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039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039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038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038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039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039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038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038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039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039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038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041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038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041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039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039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039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039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038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038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038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038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039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039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039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039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038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038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038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038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038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038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038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038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038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038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039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039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038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038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038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038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039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044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039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044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039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039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038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038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038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039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039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038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038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039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039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039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039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039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039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039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039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039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039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039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039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039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038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038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039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039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039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71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039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71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038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038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038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039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039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039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038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038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038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038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039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039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039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039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038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038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039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039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038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038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038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038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038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038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039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039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039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044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039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044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039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039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038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038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039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039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038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038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039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039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039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039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038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038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039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044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039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044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039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044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039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044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038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038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039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039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039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039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039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039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039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044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039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044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039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039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039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039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038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038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039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039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039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039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039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038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038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038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038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038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038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038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038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039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039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038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038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038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039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044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039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044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039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039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039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039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038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038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039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039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039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039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039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039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039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039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039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038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038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039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039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038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041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038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041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039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039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038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038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038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039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039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039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039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039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039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039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039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038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038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039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039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038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038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038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039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044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039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044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039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039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039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038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038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038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038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038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039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039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038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038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038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038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038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039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039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038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038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038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039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039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038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038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039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039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038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038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038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038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038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038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039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039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039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039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039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039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039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039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038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038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039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039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038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038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038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041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038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041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038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038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038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039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039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039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039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039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039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039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039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039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039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039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038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038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038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038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039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039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039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039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039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038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038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039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044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039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044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038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038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038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038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038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038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038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038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039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039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039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038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041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038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041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038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038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038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038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038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039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039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039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039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039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039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039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038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038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038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038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038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039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039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038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038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038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039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044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039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044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039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039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038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038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038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038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038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038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038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039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039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038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038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038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038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039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039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038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038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039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039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038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038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039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044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039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044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039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044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038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038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039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039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039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038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038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039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039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039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039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038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041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038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041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039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039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039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039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039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039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039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039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038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038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038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038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038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038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038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038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038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038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039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039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039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039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039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039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038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038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039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039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039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039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044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039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044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038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038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038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039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039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039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039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039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039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039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039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039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039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039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039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039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039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038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038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039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044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039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044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038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038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039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039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038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038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038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039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039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039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039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039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039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039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039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039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039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039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039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038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038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039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044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039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044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039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039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038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038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038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038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039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039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039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039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038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038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038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039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039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039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039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039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039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038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041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038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041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039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039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039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039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038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038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038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038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039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039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038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038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038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038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038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038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038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039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039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039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038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038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038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038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038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038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038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038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038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039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039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038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038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038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038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039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039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038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038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038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042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042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042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038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038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038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038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039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044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039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044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039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039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038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038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039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039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038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038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038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039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044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039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044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039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039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039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039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039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038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038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039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039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038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038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038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039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039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039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039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038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041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038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041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039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039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038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038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038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038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038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038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039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039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038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038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038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039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039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038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038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038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038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039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039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039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038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038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039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039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038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038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039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039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038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038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038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038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038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038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038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038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039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039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039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039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038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038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039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039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038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038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038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038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039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039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038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038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038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038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038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038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038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039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039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51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52" t="s">
        <v>467</v>
      </c>
      <c r="H2160" s="414" t="s">
        <v>515</v>
      </c>
      <c r="I2160" s="415" t="s">
        <v>516</v>
      </c>
      <c r="J2160" s="1053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51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52"/>
      <c r="H2161" s="421" t="s">
        <v>515</v>
      </c>
      <c r="I2161" s="422" t="s">
        <v>516</v>
      </c>
      <c r="J2161" s="1053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51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52"/>
      <c r="H2162" s="429" t="s">
        <v>515</v>
      </c>
      <c r="I2162" s="430" t="s">
        <v>516</v>
      </c>
      <c r="J2162" s="1053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51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52" t="s">
        <v>467</v>
      </c>
      <c r="H2165" s="414" t="s">
        <v>516</v>
      </c>
      <c r="I2165" s="415" t="s">
        <v>516</v>
      </c>
      <c r="J2165" s="1053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51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52"/>
      <c r="H2166" s="429" t="s">
        <v>516</v>
      </c>
      <c r="I2166" s="430" t="s">
        <v>516</v>
      </c>
      <c r="J2166" s="1053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039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039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039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038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038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039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039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038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038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038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038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039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044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039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044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039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039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039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038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041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038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041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039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049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039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049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038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050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038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050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039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039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039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039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038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038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039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039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038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038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038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038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038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039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039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039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038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038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038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039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039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038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038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038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038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038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038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039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039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039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039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038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038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039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039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039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038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038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038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038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038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038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039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039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039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039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039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039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039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038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038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038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038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038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038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038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039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039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039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039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039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038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038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038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038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038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042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042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038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038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038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039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039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038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038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038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038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038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038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038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039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039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039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039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039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039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039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039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040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040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040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039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039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039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039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039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038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038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039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039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039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038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038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038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038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038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039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039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039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039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039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040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040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040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039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039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040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040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039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039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039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038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038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038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038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039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039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039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039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039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038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038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038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038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038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038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039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039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038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038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042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042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038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038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038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038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038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038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038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039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039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039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039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039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038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038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039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039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038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038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042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042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038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038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038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038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038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038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038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039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039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039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038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038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039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039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039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039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039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042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042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042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038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038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038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039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039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038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038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038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038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038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038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041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038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041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038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041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042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042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042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042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039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039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038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038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042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042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038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041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038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041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038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038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039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039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038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038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039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039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039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039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039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039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047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048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047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048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038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038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039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044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039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044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039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039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040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040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038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038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038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039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039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038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038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042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042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038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038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038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038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042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043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042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043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038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038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038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041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038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041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039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039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039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039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040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040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038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038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039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039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038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038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038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039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039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039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039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039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039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039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038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038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038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041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038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041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038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038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038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038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042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042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042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038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038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039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039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039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039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039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038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038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040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040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040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040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040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040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039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039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046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046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038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038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038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038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039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039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038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038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038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038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038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038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039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039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042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042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042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042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042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042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038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038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039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039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039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039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040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040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038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038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038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039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039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038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038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038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038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039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039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039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039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038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041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038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041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038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041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042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042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042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042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038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038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039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039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038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038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039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039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039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039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039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038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038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038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039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039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038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038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042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042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042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042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042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038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038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039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039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039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039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038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038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042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042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038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038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038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038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040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040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039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039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039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039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039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040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045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040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045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039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039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039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044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039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044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038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038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039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039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039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042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042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039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039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038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038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038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039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039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039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038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038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038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038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040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040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040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040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040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039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039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038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041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038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041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039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039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039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039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038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038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042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042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038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038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038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039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039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039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039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042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042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042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039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044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039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044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040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040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040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040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039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039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039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044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039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044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039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039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038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038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038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042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042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038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038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038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038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042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042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038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038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040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040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040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040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040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039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039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039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039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038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038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038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042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044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042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044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039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039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038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038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039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039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039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042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042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042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040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040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040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040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040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040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039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039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038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038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038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038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038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039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039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039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040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041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040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041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040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041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039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039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038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038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039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039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039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038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038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039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039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040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040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039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039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038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038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039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039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038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041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038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041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038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041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038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041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042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042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042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042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042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038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038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038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041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038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041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038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041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039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039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040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040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040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039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039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038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038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039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039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038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038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038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039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039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039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039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039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038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041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038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041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042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042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038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038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039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039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038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038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039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039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040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040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040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040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040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040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040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040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039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039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039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039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038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038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038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038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038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039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039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039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040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040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039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039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038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038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039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039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039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039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038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038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038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038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039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039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039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039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038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038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038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038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040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040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040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039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039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038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038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039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044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039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044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039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044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039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044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038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038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039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039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038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038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038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039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039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039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038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038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039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039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038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038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038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038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040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040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040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038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038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038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038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038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039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039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039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039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039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038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038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042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042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038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038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039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039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038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038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042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043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042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043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042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043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042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043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042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043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042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043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038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038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038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038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039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039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038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038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042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042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042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042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038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038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038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039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039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039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038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038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039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039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038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038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042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042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042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039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039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038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038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040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040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040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040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040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040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040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040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039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039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038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038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038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038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042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042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042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038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038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038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038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038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039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039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038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038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039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039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039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039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042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042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038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038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039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039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040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040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040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040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040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040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040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040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040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039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039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042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042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042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039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039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039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040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040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039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039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040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040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039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039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040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040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042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042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042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038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038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039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039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038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038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042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042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042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042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042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042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042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042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038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038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039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039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038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038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042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044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042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044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038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038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038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039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039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038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038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038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038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039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044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039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044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042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042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042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042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042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042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039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039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038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038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038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038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039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044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039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044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040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040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040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040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038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038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038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038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038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038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038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038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042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042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039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039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039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039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039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039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039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039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039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038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038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042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043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042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043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042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043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038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038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038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038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039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039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038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038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038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039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039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039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039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040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040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040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040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040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039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039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038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041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038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041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039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039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042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042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039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039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038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038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038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038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038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039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039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039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040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040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040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040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040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040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040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039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039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038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041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038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041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039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039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038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038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038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038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040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040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038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038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038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038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038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039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039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038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041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038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041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88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1008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93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09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88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1008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993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09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993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09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93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09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90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034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88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033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88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1008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033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032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88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993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993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93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90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92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92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92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034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88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033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90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034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88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993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993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993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993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93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90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10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034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035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88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033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90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10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034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035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88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993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993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033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88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93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90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92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92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034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90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92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92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88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993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993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993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993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93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90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034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88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1008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033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032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88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1008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033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032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88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033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90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034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88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93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88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033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90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034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88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993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033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90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92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034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90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92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92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92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92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92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88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033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90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10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034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035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88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033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90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034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88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993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993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033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88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1008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033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032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90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92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034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88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033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90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10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034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035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88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993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993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993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993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93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90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034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90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034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90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10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034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035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88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993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033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90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92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034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88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993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033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90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92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92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92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90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034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88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993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033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88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993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993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93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90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92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90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92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92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92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92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92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88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033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88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1008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993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09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033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032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88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993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033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90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92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034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88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993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93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88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1008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033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032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90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92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92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034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88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033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88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033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90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034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90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92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92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92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92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88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033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88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993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033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90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034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88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033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90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034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88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1008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033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032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90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92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88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993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033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90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034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88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033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90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034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88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033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88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93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92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92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92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92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92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92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88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033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88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033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90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92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92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034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88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993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993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993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993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033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88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033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90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92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92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034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90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92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92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92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92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92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88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033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88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1008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033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032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90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92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034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88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93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93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033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90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92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034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88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1008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93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09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033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032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90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10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034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035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88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033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90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034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88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93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93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93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93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93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90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034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88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033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90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92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034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88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93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93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033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90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034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88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1008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033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032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88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033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90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92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034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90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034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88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93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90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92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90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92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92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92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92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88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033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88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93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90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10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034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035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88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993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993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993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993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993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033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90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92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92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92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88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993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033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88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033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90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034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88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993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033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88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033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021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036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037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88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993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993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993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993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033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90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034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88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993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033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90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034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88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033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88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033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90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92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91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88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993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89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90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91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88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1008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89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1017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88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93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90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10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91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11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88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993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993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993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93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90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91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88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89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88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993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89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90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91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88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993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93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90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10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92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18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91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11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90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91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90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92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91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88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993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89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90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92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92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92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92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88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89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90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92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91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88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993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993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89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90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91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88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993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993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89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88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89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90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92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92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88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89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90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92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92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92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92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88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89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90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92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91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88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89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90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91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88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89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88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993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89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88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89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90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91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90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92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91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88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993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993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993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89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88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93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90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91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90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91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90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91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88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993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89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90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92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92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91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88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993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89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88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1008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89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1017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90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92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91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90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92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91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88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993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993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89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88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89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90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10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92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18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92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18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91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11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88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993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89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88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89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90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92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91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88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89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90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92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92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90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10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91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11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88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89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90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92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91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90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91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88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89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90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92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88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89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90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92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92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92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92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88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993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89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88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1008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993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09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993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09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89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1017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90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91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88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89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88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89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90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92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91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88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89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90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10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91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11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90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92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90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92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92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92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92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91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88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93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90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92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91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88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89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88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993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89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90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92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91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88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993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89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90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92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91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90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91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88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89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90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92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91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88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993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993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89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90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10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92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11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88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993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89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90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91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88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993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993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93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90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91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88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89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90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92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92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991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88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89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90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91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90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91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88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89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90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92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88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993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993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89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88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89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88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993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993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89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90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91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90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91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88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993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89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90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92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91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90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92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91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90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92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91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88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89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88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993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993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89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90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10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92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18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88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89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90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91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88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89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90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91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88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89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88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993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89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90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91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88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89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90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92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91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88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993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89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90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91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88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89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88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93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90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92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91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88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993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89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88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89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88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89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90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91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88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89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90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91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88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993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89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90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92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91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90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92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91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88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89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90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92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91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88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1008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993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09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89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1017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90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92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91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90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91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90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91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88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993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89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88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89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90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92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88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993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993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89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88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89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88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1008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89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1017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90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91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90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92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90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91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88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993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993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89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90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92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88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89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88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89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88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993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89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90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92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91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88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89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90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92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91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88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89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90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91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88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89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90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92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91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93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93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90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92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88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89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90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92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92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91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88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89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90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91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88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89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88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1008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89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1017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88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993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89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90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92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91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88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993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89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90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92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90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91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88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93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90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91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88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89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90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10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92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18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92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18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91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11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90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92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91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90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10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91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11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88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93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88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93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89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90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92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91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88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1008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89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1017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88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89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90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92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90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92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92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91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88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1008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93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09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90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91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90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91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88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89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90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91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88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1008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89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1017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88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993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89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90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92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91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90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10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91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11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88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89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88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93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88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89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90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92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92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92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88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89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90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91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88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89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90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10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92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18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91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11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88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89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88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1008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89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1017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90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91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88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993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993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89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90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10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91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11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88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89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90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91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88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89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90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92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88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1008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89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1017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90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92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92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88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89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88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1008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89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1017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90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92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92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91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88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89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90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92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91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88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993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993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89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90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91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88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89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90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91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88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1008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89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1017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90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92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90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92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91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88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1008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93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09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90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91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90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92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91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88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993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89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88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89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88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89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90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92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92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91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88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1008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89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1017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88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89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90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10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91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11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88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993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93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90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91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88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89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90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91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88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1008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89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1017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90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91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88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89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90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10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91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11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88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89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90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92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91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88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89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90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92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91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90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10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91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11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88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93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90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92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92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88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89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88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993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89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90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92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91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90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10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91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11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90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10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91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11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88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93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88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993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89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90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92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91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88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89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90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91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90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10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91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11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90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92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92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88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89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90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10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91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11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88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89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90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92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91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88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1008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993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09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93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09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90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10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91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11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993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993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993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93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993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93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88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93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90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91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88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1008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993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031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993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993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93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90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91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88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993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89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90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91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88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89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88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89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90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10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92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18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91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11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88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93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90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10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91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11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90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92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92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91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90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92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91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88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993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89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88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1008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993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09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993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09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93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09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90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91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88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1008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89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1017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88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89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90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92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91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88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1008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89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1017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90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92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88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993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993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89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90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91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88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1008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89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1017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90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92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91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90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92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88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993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93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90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91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90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92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92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91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90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91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90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92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88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993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993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89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90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92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91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88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89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90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91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88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89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88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1008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93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09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90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92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92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91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88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1008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89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1017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88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89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88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1008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89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1017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88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993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89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90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91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88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89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90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10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91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11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90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92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91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88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993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993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89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90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92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91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88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93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88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1008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89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1017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90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92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88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993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93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90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91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88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993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89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90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91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88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89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90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91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88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89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88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89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90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92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91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88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89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90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91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90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10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92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18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88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993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93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90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91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88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993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993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89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90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92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91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90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92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88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89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90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92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91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88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993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993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89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90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91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88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89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88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93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88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1008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993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09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993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09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993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09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93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09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90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91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90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92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92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91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90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92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92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91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88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89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90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92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91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88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993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89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88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993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89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90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91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90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10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91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11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90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10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92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18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92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18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92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18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88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89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90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91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88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89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88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89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90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91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90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92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92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91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993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93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90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91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993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09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93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09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90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92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88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1008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89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1017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90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92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88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1008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93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09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90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91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88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89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90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91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88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89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90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91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88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1008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89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1017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88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89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90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91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88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89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90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91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88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993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89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90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91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90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91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90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92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92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88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89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88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89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90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92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91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90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92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91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88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993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89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90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92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91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88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93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90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10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91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11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88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993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89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88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89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90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91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88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89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88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1008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89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1017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88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89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90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91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88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89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90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10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91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11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90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92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92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92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91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88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993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89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88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93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90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10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91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11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90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10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92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18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92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18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92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18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91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11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88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993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89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90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92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92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92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91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88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1008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89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1017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90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91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88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993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89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88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89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88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89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90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92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91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88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89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90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91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88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93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88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993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993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89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90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91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88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993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89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90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91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88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89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90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10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91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11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90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92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88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89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88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89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88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993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993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89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88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89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90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91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88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89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90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10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91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11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88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89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76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77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024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025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26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90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91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024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025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29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26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30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024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26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90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92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021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92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22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027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03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28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72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73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021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22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90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91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90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92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92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92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92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90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91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90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1019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91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1020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88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89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88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89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88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993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89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90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91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90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91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90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92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91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88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993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89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90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92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92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88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89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90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92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91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90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92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92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91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90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992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91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88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89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90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10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91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11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90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92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021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22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03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03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04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94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95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88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89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88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93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94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95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02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04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94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1005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1005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95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02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03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04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94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95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02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04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94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1005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95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02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04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94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1005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95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88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993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993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93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90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92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92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91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02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04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02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14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03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15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04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16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90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18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91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18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02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1008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04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09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94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95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88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89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90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91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88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93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021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23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02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04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02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04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02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03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04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90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92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91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88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993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89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90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92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91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90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91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02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03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04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94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1005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1005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95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02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03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03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90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92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90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91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02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03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03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04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94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1005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1005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02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04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94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1005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1005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002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1008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04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1017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90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10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92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11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88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89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90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92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92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94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1005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1005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1005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88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93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88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993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993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89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90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92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92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91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90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992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992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992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91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88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993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993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993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993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993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89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94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1005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1005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95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88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993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89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94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1005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95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94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1005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1005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1005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88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993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89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1005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1005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1005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1005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95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02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04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94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95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02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03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03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04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02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14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03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15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04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16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90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91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988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989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994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1005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995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02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03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04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994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18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995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18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988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1008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989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1017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988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989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994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995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988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989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990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91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988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993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989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994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1005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995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02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03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04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990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992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992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992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988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993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993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989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74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75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990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992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992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992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91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988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993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989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988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989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994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995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988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993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993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989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994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10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1005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18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1005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18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995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11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988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989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988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989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994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995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02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14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03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15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03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78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03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78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04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16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994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18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1005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18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995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11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988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989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988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993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989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994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995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988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993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993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993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989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994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995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988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993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993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993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989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990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992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992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992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988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993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993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989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994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995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988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989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990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992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991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988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993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993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989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994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1005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995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002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1008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03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09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003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09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003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09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04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1017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994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995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988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989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988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993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989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994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10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995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11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994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1005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995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988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989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990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992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991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990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992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991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988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989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994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995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988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989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988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993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993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993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989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994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1005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995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988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993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993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989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994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995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:K7118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ht="19.5" hidden="1" thickBot="1" x14ac:dyDescent="0.3">
      <c r="A7056" s="988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83" t="str">
        <f t="shared" si="213"/>
        <v>08,26</v>
      </c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18" ht="19.5" hidden="1" thickBot="1" x14ac:dyDescent="0.3">
      <c r="A7057" s="989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08" t="str">
        <f t="shared" si="213"/>
        <v>08,26</v>
      </c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18" ht="19.5" hidden="1" thickBot="1" x14ac:dyDescent="0.3">
      <c r="A7058" s="990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5" t="str">
        <f t="shared" si="213"/>
        <v>08,26</v>
      </c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18" ht="19.5" hidden="1" thickBot="1" x14ac:dyDescent="0.3">
      <c r="A7059" s="992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7" t="str">
        <f t="shared" si="213"/>
        <v>08,26</v>
      </c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18" ht="19.5" hidden="1" thickBot="1" x14ac:dyDescent="0.3">
      <c r="A7060" s="992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7" t="str">
        <f t="shared" si="213"/>
        <v>08,26</v>
      </c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18" ht="38.25" hidden="1" thickBot="1" x14ac:dyDescent="0.3">
      <c r="A7061" s="991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29" t="str">
        <f t="shared" si="213"/>
        <v>08,26</v>
      </c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18" ht="19.5" hidden="1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7" t="str">
        <f t="shared" si="213"/>
        <v>08,26</v>
      </c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18" ht="19.5" hidden="1" thickBot="1" x14ac:dyDescent="0.3">
      <c r="A7063" s="994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1019" t="s">
        <v>1724</v>
      </c>
      <c r="H7063" s="535" t="s">
        <v>2199</v>
      </c>
      <c r="I7063" s="537" t="s">
        <v>2261</v>
      </c>
      <c r="J7063" s="538"/>
      <c r="K7063" s="535" t="str">
        <f t="shared" si="213"/>
        <v>08,26</v>
      </c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18" ht="19.5" hidden="1" thickBot="1" x14ac:dyDescent="0.3">
      <c r="A7064" s="1005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1079"/>
      <c r="H7064" s="819" t="s">
        <v>2199</v>
      </c>
      <c r="I7064" s="782" t="s">
        <v>2261</v>
      </c>
      <c r="J7064" s="825"/>
      <c r="K7064" s="819" t="str">
        <f t="shared" si="213"/>
        <v>08,26</v>
      </c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18" ht="19.5" hidden="1" thickBot="1" x14ac:dyDescent="0.3">
      <c r="A7065" s="1005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1079"/>
      <c r="H7065" s="816" t="s">
        <v>2199</v>
      </c>
      <c r="I7065" s="816" t="s">
        <v>2261</v>
      </c>
      <c r="J7065" s="818"/>
      <c r="K7065" s="816" t="str">
        <f t="shared" si="213"/>
        <v>08,26</v>
      </c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18" ht="19.5" hidden="1" thickBot="1" x14ac:dyDescent="0.3">
      <c r="A7066" s="995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1020"/>
      <c r="H7066" s="788" t="s">
        <v>2199</v>
      </c>
      <c r="I7066" s="788" t="s">
        <v>2261</v>
      </c>
      <c r="J7066" s="790"/>
      <c r="K7066" s="788" t="str">
        <f t="shared" si="213"/>
        <v>08,26</v>
      </c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18" ht="19.5" hidden="1" thickBot="1" x14ac:dyDescent="0.3">
      <c r="A7067" s="988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1008" t="s">
        <v>1634</v>
      </c>
      <c r="H7067" s="483" t="s">
        <v>2199</v>
      </c>
      <c r="I7067" s="484" t="s">
        <v>2208</v>
      </c>
      <c r="J7067" s="485"/>
      <c r="K7067" s="483" t="str">
        <f t="shared" si="213"/>
        <v>08,26</v>
      </c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18" ht="19.5" hidden="1" thickBot="1" x14ac:dyDescent="0.3">
      <c r="A7068" s="989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1017"/>
      <c r="H7068" s="808" t="s">
        <v>2199</v>
      </c>
      <c r="I7068" s="808" t="s">
        <v>2208</v>
      </c>
      <c r="J7068" s="810"/>
      <c r="K7068" s="808" t="str">
        <f t="shared" si="213"/>
        <v>08,26</v>
      </c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18" ht="19.5" hidden="1" thickBot="1" x14ac:dyDescent="0.3">
      <c r="A7069" s="990">
        <f>MAX(A6941:A7067)+1</f>
        <v>4371</v>
      </c>
      <c r="B7069" s="531" t="s">
        <v>2162</v>
      </c>
      <c r="C7069" s="970" t="s">
        <v>913</v>
      </c>
      <c r="D7069" s="533">
        <v>1.667</v>
      </c>
      <c r="E7069" s="534">
        <v>1.282</v>
      </c>
      <c r="F7069" s="535" t="s">
        <v>16</v>
      </c>
      <c r="G7069" s="536"/>
      <c r="H7069" s="535" t="s">
        <v>2199</v>
      </c>
      <c r="I7069" s="537" t="s">
        <v>2347</v>
      </c>
      <c r="J7069" s="538" t="s">
        <v>2267</v>
      </c>
      <c r="K7069" s="535" t="str">
        <f t="shared" si="213"/>
        <v>09,26</v>
      </c>
      <c r="L7069" s="535" t="s">
        <v>266</v>
      </c>
      <c r="M7069" s="969">
        <v>1678.8</v>
      </c>
      <c r="N7069" s="539">
        <v>0.54166666666666663</v>
      </c>
      <c r="O7069" s="897" t="s">
        <v>2221</v>
      </c>
      <c r="P7069" s="867" t="s">
        <v>2442</v>
      </c>
      <c r="R7069" s="943"/>
    </row>
    <row r="7070" spans="1:18" ht="19.5" hidden="1" thickBot="1" x14ac:dyDescent="0.3">
      <c r="A7070" s="992"/>
      <c r="B7070" s="563" t="s">
        <v>2162</v>
      </c>
      <c r="C7070" s="963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7" t="str">
        <f t="shared" si="213"/>
        <v>08,26</v>
      </c>
      <c r="L7070" s="567" t="s">
        <v>266</v>
      </c>
      <c r="M7070" s="964">
        <v>6306</v>
      </c>
      <c r="N7070" s="571">
        <v>0.54166666666666663</v>
      </c>
      <c r="O7070" s="897" t="s">
        <v>2220</v>
      </c>
      <c r="P7070" s="867" t="s">
        <v>2290</v>
      </c>
    </row>
    <row r="7071" spans="1:18" ht="19.5" hidden="1" thickBot="1" x14ac:dyDescent="0.3">
      <c r="A7071" s="992"/>
      <c r="B7071" s="563" t="s">
        <v>2162</v>
      </c>
      <c r="C7071" s="971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7" t="str">
        <f t="shared" si="213"/>
        <v>08,26</v>
      </c>
      <c r="L7071" s="567" t="s">
        <v>28</v>
      </c>
      <c r="M7071" s="972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18" ht="19.5" hidden="1" thickBot="1" x14ac:dyDescent="0.3">
      <c r="A7072" s="991"/>
      <c r="B7072" s="636" t="s">
        <v>2162</v>
      </c>
      <c r="C7072" s="965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40" t="str">
        <f t="shared" si="213"/>
        <v>08,26</v>
      </c>
      <c r="L7072" s="640" t="s">
        <v>28</v>
      </c>
      <c r="M7072" s="966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9" ht="38.25" hidden="1" thickBot="1" x14ac:dyDescent="0.3">
      <c r="A7073" s="513">
        <f>MAX(A6945:A7072)+1</f>
        <v>4372</v>
      </c>
      <c r="B7073" s="514" t="s">
        <v>2162</v>
      </c>
      <c r="C7073" s="967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8" t="str">
        <f t="shared" si="213"/>
        <v>08,26</v>
      </c>
      <c r="L7073" s="518" t="s">
        <v>266</v>
      </c>
      <c r="M7073" s="968">
        <v>5004</v>
      </c>
      <c r="N7073" s="522">
        <v>0.58333333333333337</v>
      </c>
      <c r="O7073" s="897" t="s">
        <v>2224</v>
      </c>
      <c r="P7073" s="867" t="s">
        <v>2289</v>
      </c>
      <c r="S7073" s="962"/>
    </row>
    <row r="7074" spans="1:19" ht="19.5" hidden="1" thickBot="1" x14ac:dyDescent="0.3">
      <c r="A7074" s="990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5" t="str">
        <f t="shared" si="213"/>
        <v>08,26</v>
      </c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9" ht="19.5" hidden="1" thickBot="1" x14ac:dyDescent="0.3">
      <c r="A7075" s="991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40" t="str">
        <f t="shared" si="213"/>
        <v>08,26</v>
      </c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9" ht="19.5" hidden="1" thickBot="1" x14ac:dyDescent="0.3">
      <c r="A7076" s="988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83" t="str">
        <f t="shared" si="213"/>
        <v>08,26</v>
      </c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9" ht="19.5" hidden="1" thickBot="1" x14ac:dyDescent="0.3">
      <c r="A7077" s="989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08" t="str">
        <f t="shared" si="213"/>
        <v>08,26</v>
      </c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9" ht="19.5" hidden="1" thickBot="1" x14ac:dyDescent="0.3">
      <c r="A7078" s="994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35" t="str">
        <f t="shared" si="213"/>
        <v>08,26</v>
      </c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9" ht="19.5" hidden="1" thickBot="1" x14ac:dyDescent="0.3">
      <c r="A7079" s="995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01" t="str">
        <f t="shared" si="213"/>
        <v>08,26</v>
      </c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9" ht="19.5" hidden="1" thickBot="1" x14ac:dyDescent="0.3">
      <c r="A7080" s="988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12" t="s">
        <v>1634</v>
      </c>
      <c r="H7080" s="483" t="s">
        <v>2208</v>
      </c>
      <c r="I7080" s="484" t="s">
        <v>2261</v>
      </c>
      <c r="J7080" s="485"/>
      <c r="K7080" s="483" t="str">
        <f t="shared" si="213"/>
        <v>08,26</v>
      </c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9" ht="19.5" hidden="1" thickBot="1" x14ac:dyDescent="0.3">
      <c r="A7081" s="989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82"/>
      <c r="H7081" s="808" t="s">
        <v>2208</v>
      </c>
      <c r="I7081" s="808" t="s">
        <v>2261</v>
      </c>
      <c r="J7081" s="810"/>
      <c r="K7081" s="808" t="str">
        <f t="shared" si="213"/>
        <v>08,26</v>
      </c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9" ht="19.5" hidden="1" thickBot="1" x14ac:dyDescent="0.3">
      <c r="A7082" s="990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5" t="str">
        <f t="shared" si="213"/>
        <v>08,26</v>
      </c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9" ht="19.5" hidden="1" thickBot="1" x14ac:dyDescent="0.3">
      <c r="A7083" s="991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40" t="str">
        <f t="shared" si="213"/>
        <v>08,26</v>
      </c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9" ht="19.5" hidden="1" thickBot="1" x14ac:dyDescent="0.3">
      <c r="A7084" s="988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83" t="str">
        <f t="shared" si="213"/>
        <v>08,26</v>
      </c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9" ht="19.5" hidden="1" thickBot="1" x14ac:dyDescent="0.3">
      <c r="A7085" s="989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9" t="str">
        <f t="shared" si="213"/>
        <v>08,26</v>
      </c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9" ht="19.5" hidden="1" thickBot="1" x14ac:dyDescent="0.3">
      <c r="A7086" s="990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>
        <v>6.6109999999999998</v>
      </c>
      <c r="F7086" s="535" t="s">
        <v>16</v>
      </c>
      <c r="G7086" s="536" t="s">
        <v>844</v>
      </c>
      <c r="H7086" s="535" t="s">
        <v>2261</v>
      </c>
      <c r="I7086" s="537" t="s">
        <v>2279</v>
      </c>
      <c r="J7086" s="538"/>
      <c r="K7086" s="535" t="str">
        <f t="shared" si="213"/>
        <v>08,26</v>
      </c>
      <c r="L7086" s="535" t="s">
        <v>266</v>
      </c>
      <c r="M7086" s="535">
        <v>14211.409999999998</v>
      </c>
      <c r="N7086" s="539">
        <v>0.5</v>
      </c>
      <c r="O7086" s="897" t="s">
        <v>2262</v>
      </c>
      <c r="P7086" s="867" t="s">
        <v>2339</v>
      </c>
    </row>
    <row r="7087" spans="1:19" ht="19.5" hidden="1" thickBot="1" x14ac:dyDescent="0.3">
      <c r="A7087" s="991"/>
      <c r="B7087" s="636" t="s">
        <v>2199</v>
      </c>
      <c r="C7087" s="637" t="s">
        <v>55</v>
      </c>
      <c r="D7087" s="638">
        <v>3.3940000000000001</v>
      </c>
      <c r="E7087" s="639">
        <v>2.5489999999999999</v>
      </c>
      <c r="F7087" s="640" t="s">
        <v>16</v>
      </c>
      <c r="G7087" s="641" t="s">
        <v>845</v>
      </c>
      <c r="H7087" s="640" t="s">
        <v>2261</v>
      </c>
      <c r="I7087" s="642" t="s">
        <v>2279</v>
      </c>
      <c r="J7087" s="643"/>
      <c r="K7087" s="640" t="str">
        <f t="shared" si="213"/>
        <v>08,26</v>
      </c>
      <c r="L7087" s="640" t="s">
        <v>266</v>
      </c>
      <c r="M7087" s="640">
        <v>3487.7999999999997</v>
      </c>
      <c r="N7087" s="644">
        <v>0.5</v>
      </c>
      <c r="O7087" s="897" t="s">
        <v>2315</v>
      </c>
      <c r="P7087" s="867" t="s">
        <v>2340</v>
      </c>
    </row>
    <row r="7088" spans="1:19" ht="38.25" hidden="1" thickBot="1" x14ac:dyDescent="0.3">
      <c r="A7088" s="572">
        <f t="shared" ref="A7088:A7093" si="214">MAX(A6957:A7087)+1</f>
        <v>4380</v>
      </c>
      <c r="B7088" s="923" t="s">
        <v>2199</v>
      </c>
      <c r="C7088" s="924" t="s">
        <v>32</v>
      </c>
      <c r="D7088" s="925">
        <v>17.5</v>
      </c>
      <c r="E7088" s="926" t="s">
        <v>1496</v>
      </c>
      <c r="F7088" s="927" t="s">
        <v>16</v>
      </c>
      <c r="G7088" s="757" t="s">
        <v>1900</v>
      </c>
      <c r="H7088" s="927" t="s">
        <v>2261</v>
      </c>
      <c r="I7088" s="928" t="s">
        <v>1496</v>
      </c>
      <c r="J7088" s="929"/>
      <c r="K7088" s="927" t="str">
        <f t="shared" si="213"/>
        <v>тмена</v>
      </c>
      <c r="L7088" s="927" t="s">
        <v>266</v>
      </c>
      <c r="M7088" s="927">
        <v>17503.2</v>
      </c>
      <c r="N7088" s="930">
        <v>0.54166666666666663</v>
      </c>
      <c r="O7088" s="920" t="s">
        <v>2263</v>
      </c>
      <c r="P7088" s="921" t="s">
        <v>1024</v>
      </c>
    </row>
    <row r="7089" spans="1:18" ht="19.5" hidden="1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8" t="str">
        <f t="shared" si="213"/>
        <v>08,26</v>
      </c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hidden="1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>
        <v>14.028</v>
      </c>
      <c r="F7090" s="518" t="s">
        <v>16</v>
      </c>
      <c r="G7090" s="519"/>
      <c r="H7090" s="518" t="s">
        <v>2279</v>
      </c>
      <c r="I7090" s="520" t="s">
        <v>2279</v>
      </c>
      <c r="J7090" s="521"/>
      <c r="K7090" s="518" t="str">
        <f t="shared" si="213"/>
        <v>08,26</v>
      </c>
      <c r="L7090" s="518" t="s">
        <v>266</v>
      </c>
      <c r="M7090" s="518">
        <v>18163.59</v>
      </c>
      <c r="N7090" s="522">
        <v>0.45833333333333331</v>
      </c>
      <c r="O7090" s="897" t="s">
        <v>2281</v>
      </c>
      <c r="P7090" s="867" t="s">
        <v>2341</v>
      </c>
    </row>
    <row r="7091" spans="1:18" ht="19.5" hidden="1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>
        <v>0.78100000000000003</v>
      </c>
      <c r="F7091" s="508" t="s">
        <v>16</v>
      </c>
      <c r="G7091" s="509"/>
      <c r="H7091" s="508" t="s">
        <v>2279</v>
      </c>
      <c r="I7091" s="510" t="s">
        <v>2279</v>
      </c>
      <c r="J7091" s="511"/>
      <c r="K7091" s="508" t="str">
        <f t="shared" si="213"/>
        <v>08,26</v>
      </c>
      <c r="L7091" s="508" t="s">
        <v>266</v>
      </c>
      <c r="M7091" s="508">
        <v>17810.400000000001</v>
      </c>
      <c r="N7091" s="512">
        <v>0.5</v>
      </c>
      <c r="O7091" s="897" t="s">
        <v>2282</v>
      </c>
      <c r="P7091" s="867" t="s">
        <v>2342</v>
      </c>
    </row>
    <row r="7092" spans="1:18" ht="19.5" hidden="1" thickBot="1" x14ac:dyDescent="0.3">
      <c r="A7092" s="572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>
        <v>16.103999999999999</v>
      </c>
      <c r="F7092" s="577" t="s">
        <v>16</v>
      </c>
      <c r="G7092" s="578"/>
      <c r="H7092" s="577" t="s">
        <v>2279</v>
      </c>
      <c r="I7092" s="579" t="s">
        <v>2294</v>
      </c>
      <c r="J7092" s="580"/>
      <c r="K7092" s="577" t="str">
        <f t="shared" si="213"/>
        <v>08,26</v>
      </c>
      <c r="L7092" s="518" t="s">
        <v>266</v>
      </c>
      <c r="M7092" s="518">
        <v>18212.04</v>
      </c>
      <c r="N7092" s="522">
        <v>0.54166666666666663</v>
      </c>
      <c r="O7092" s="897" t="s">
        <v>2291</v>
      </c>
      <c r="P7092" s="867" t="s">
        <v>2345</v>
      </c>
    </row>
    <row r="7093" spans="1:18" ht="19.5" hidden="1" thickBot="1" x14ac:dyDescent="0.3">
      <c r="A7093" s="994">
        <f t="shared" si="214"/>
        <v>4385</v>
      </c>
      <c r="B7093" s="759" t="s">
        <v>2261</v>
      </c>
      <c r="C7093" s="532" t="s">
        <v>26</v>
      </c>
      <c r="D7093" s="533">
        <v>17.367999999999999</v>
      </c>
      <c r="E7093" s="534">
        <v>8.7769999999999992</v>
      </c>
      <c r="F7093" s="535" t="s">
        <v>16</v>
      </c>
      <c r="G7093" s="898"/>
      <c r="H7093" s="535" t="s">
        <v>2294</v>
      </c>
      <c r="I7093" s="537" t="s">
        <v>2301</v>
      </c>
      <c r="J7093" s="538"/>
      <c r="K7093" s="535" t="str">
        <f t="shared" si="213"/>
        <v>08,26</v>
      </c>
      <c r="L7093" s="567" t="s">
        <v>265</v>
      </c>
      <c r="M7093" s="567">
        <v>17539.759999999998</v>
      </c>
      <c r="N7093" s="571">
        <v>0.375</v>
      </c>
      <c r="O7093" s="897" t="s">
        <v>2304</v>
      </c>
      <c r="P7093" s="867" t="s">
        <v>2395</v>
      </c>
    </row>
    <row r="7094" spans="1:18" ht="19.5" hidden="1" thickBot="1" x14ac:dyDescent="0.3">
      <c r="A7094" s="995"/>
      <c r="B7094" s="798" t="s">
        <v>2294</v>
      </c>
      <c r="C7094" s="799" t="s">
        <v>26</v>
      </c>
      <c r="D7094" s="800">
        <v>8.4649999999999999</v>
      </c>
      <c r="E7094" s="800">
        <v>8.4890000000000008</v>
      </c>
      <c r="F7094" s="801" t="s">
        <v>16</v>
      </c>
      <c r="G7094" s="942" t="s">
        <v>76</v>
      </c>
      <c r="H7094" s="801" t="s">
        <v>2294</v>
      </c>
      <c r="I7094" s="801" t="s">
        <v>2301</v>
      </c>
      <c r="J7094" s="803"/>
      <c r="K7094" s="801" t="str">
        <f t="shared" si="213"/>
        <v>08,26</v>
      </c>
      <c r="L7094" s="801" t="s">
        <v>265</v>
      </c>
      <c r="M7094" s="801">
        <v>8487.7800000000007</v>
      </c>
      <c r="N7094" s="804">
        <v>0.375</v>
      </c>
      <c r="O7094" s="897" t="s">
        <v>2354</v>
      </c>
      <c r="P7094" s="867" t="s">
        <v>2396</v>
      </c>
    </row>
    <row r="7095" spans="1:18" ht="19.5" hidden="1" thickBot="1" x14ac:dyDescent="0.3">
      <c r="A7095" s="988">
        <f>MAX(A6963:A7093)+1</f>
        <v>4386</v>
      </c>
      <c r="B7095" s="610" t="s">
        <v>2261</v>
      </c>
      <c r="C7095" s="480" t="s">
        <v>26</v>
      </c>
      <c r="D7095" s="481">
        <v>17.5</v>
      </c>
      <c r="E7095" s="482">
        <v>10.521000000000001</v>
      </c>
      <c r="F7095" s="483" t="s">
        <v>16</v>
      </c>
      <c r="G7095" s="899"/>
      <c r="H7095" s="483" t="s">
        <v>2294</v>
      </c>
      <c r="I7095" s="484" t="s">
        <v>2301</v>
      </c>
      <c r="J7095" s="485"/>
      <c r="K7095" s="483" t="str">
        <f t="shared" si="213"/>
        <v>08,26</v>
      </c>
      <c r="L7095" s="483" t="s">
        <v>265</v>
      </c>
      <c r="M7095" s="483">
        <v>17506.2</v>
      </c>
      <c r="N7095" s="486">
        <v>0.41666666666666669</v>
      </c>
      <c r="O7095" s="897" t="s">
        <v>2305</v>
      </c>
      <c r="P7095" s="867" t="s">
        <v>2379</v>
      </c>
    </row>
    <row r="7096" spans="1:18" ht="19.5" hidden="1" thickBot="1" x14ac:dyDescent="0.3">
      <c r="A7096" s="989"/>
      <c r="B7096" s="805" t="s">
        <v>2294</v>
      </c>
      <c r="C7096" s="806" t="s">
        <v>26</v>
      </c>
      <c r="D7096" s="807">
        <v>6.5</v>
      </c>
      <c r="E7096" s="807">
        <v>6.5430000000000001</v>
      </c>
      <c r="F7096" s="808" t="s">
        <v>16</v>
      </c>
      <c r="G7096" s="902" t="s">
        <v>76</v>
      </c>
      <c r="H7096" s="808" t="s">
        <v>2294</v>
      </c>
      <c r="I7096" s="808" t="s">
        <v>2301</v>
      </c>
      <c r="J7096" s="810"/>
      <c r="K7096" s="808" t="str">
        <f t="shared" si="213"/>
        <v>08,26</v>
      </c>
      <c r="L7096" s="808" t="s">
        <v>265</v>
      </c>
      <c r="M7096" s="808">
        <v>6525</v>
      </c>
      <c r="N7096" s="778">
        <v>0.41666666666666669</v>
      </c>
      <c r="O7096" s="897" t="s">
        <v>2355</v>
      </c>
      <c r="P7096" s="867" t="s">
        <v>2380</v>
      </c>
    </row>
    <row r="7097" spans="1:18" ht="18.75" hidden="1" customHeight="1" x14ac:dyDescent="0.25">
      <c r="A7097" s="990">
        <f>MAX(A6964:A7095)+1</f>
        <v>4387</v>
      </c>
      <c r="B7097" s="531" t="s">
        <v>2261</v>
      </c>
      <c r="C7097" s="532" t="s">
        <v>41</v>
      </c>
      <c r="D7097" s="533">
        <v>1.675</v>
      </c>
      <c r="E7097" s="534">
        <v>1.611</v>
      </c>
      <c r="F7097" s="535" t="s">
        <v>16</v>
      </c>
      <c r="G7097" s="536"/>
      <c r="H7097" s="535" t="s">
        <v>2294</v>
      </c>
      <c r="I7097" s="537" t="s">
        <v>2301</v>
      </c>
      <c r="J7097" s="538"/>
      <c r="K7097" s="535" t="str">
        <f t="shared" si="213"/>
        <v>08,26</v>
      </c>
      <c r="L7097" s="535" t="s">
        <v>266</v>
      </c>
      <c r="M7097" s="535">
        <v>1707.42</v>
      </c>
      <c r="N7097" s="539">
        <v>0.45833333333333331</v>
      </c>
      <c r="O7097" s="897" t="s">
        <v>2314</v>
      </c>
      <c r="P7097" s="867" t="s">
        <v>2383</v>
      </c>
      <c r="R7097" s="943"/>
    </row>
    <row r="7098" spans="1:18" ht="19.5" hidden="1" thickBot="1" x14ac:dyDescent="0.3">
      <c r="A7098" s="992"/>
      <c r="B7098" s="911" t="s">
        <v>2261</v>
      </c>
      <c r="C7098" s="912" t="s">
        <v>41</v>
      </c>
      <c r="D7098" s="913">
        <v>2.5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5" t="str">
        <f t="shared" si="213"/>
        <v>тмена</v>
      </c>
      <c r="L7098" s="915" t="s">
        <v>266</v>
      </c>
      <c r="M7098" s="915">
        <v>2503.7999999999997</v>
      </c>
      <c r="N7098" s="919">
        <v>0.45833333333333331</v>
      </c>
      <c r="O7098" s="920" t="s">
        <v>2311</v>
      </c>
      <c r="P7098" s="921" t="s">
        <v>1024</v>
      </c>
    </row>
    <row r="7099" spans="1:18" ht="19.5" hidden="1" thickBot="1" x14ac:dyDescent="0.3">
      <c r="A7099" s="992"/>
      <c r="B7099" s="563" t="s">
        <v>2261</v>
      </c>
      <c r="C7099" s="564" t="s">
        <v>981</v>
      </c>
      <c r="D7099" s="565">
        <v>4.726</v>
      </c>
      <c r="E7099" s="566">
        <v>4.2080000000000002</v>
      </c>
      <c r="F7099" s="567" t="s">
        <v>16</v>
      </c>
      <c r="G7099" s="568"/>
      <c r="H7099" s="567" t="s">
        <v>2294</v>
      </c>
      <c r="I7099" s="569" t="s">
        <v>2301</v>
      </c>
      <c r="J7099" s="570"/>
      <c r="K7099" s="567" t="str">
        <f t="shared" si="213"/>
        <v>08,26</v>
      </c>
      <c r="L7099" s="567" t="s">
        <v>266</v>
      </c>
      <c r="M7099" s="567">
        <v>4727.74</v>
      </c>
      <c r="N7099" s="571">
        <v>0.45833333333333331</v>
      </c>
      <c r="O7099" s="897" t="s">
        <v>2313</v>
      </c>
      <c r="P7099" s="867" t="s">
        <v>2384</v>
      </c>
      <c r="R7099" s="943"/>
    </row>
    <row r="7100" spans="1:18" ht="19.5" hidden="1" thickBot="1" x14ac:dyDescent="0.3">
      <c r="A7100" s="992"/>
      <c r="B7100" s="911" t="s">
        <v>2261</v>
      </c>
      <c r="C7100" s="912" t="s">
        <v>981</v>
      </c>
      <c r="D7100" s="913">
        <v>1.4970000000000001</v>
      </c>
      <c r="E7100" s="914" t="s">
        <v>1496</v>
      </c>
      <c r="F7100" s="915" t="s">
        <v>16</v>
      </c>
      <c r="G7100" s="916" t="s">
        <v>2299</v>
      </c>
      <c r="H7100" s="915" t="s">
        <v>2294</v>
      </c>
      <c r="I7100" s="917" t="s">
        <v>1496</v>
      </c>
      <c r="J7100" s="918"/>
      <c r="K7100" s="915" t="str">
        <f t="shared" si="213"/>
        <v>тмена</v>
      </c>
      <c r="L7100" s="915" t="s">
        <v>266</v>
      </c>
      <c r="M7100" s="915">
        <v>1497.6</v>
      </c>
      <c r="N7100" s="919">
        <v>0.45833333333333331</v>
      </c>
      <c r="O7100" s="920" t="s">
        <v>2309</v>
      </c>
      <c r="P7100" s="921" t="s">
        <v>1024</v>
      </c>
    </row>
    <row r="7101" spans="1:18" ht="19.5" hidden="1" thickBot="1" x14ac:dyDescent="0.3">
      <c r="A7101" s="992"/>
      <c r="B7101" s="563" t="s">
        <v>2261</v>
      </c>
      <c r="C7101" s="564" t="s">
        <v>32</v>
      </c>
      <c r="D7101" s="565">
        <v>6.7249999999999996</v>
      </c>
      <c r="E7101" s="566">
        <v>6.4809999999999999</v>
      </c>
      <c r="F7101" s="567" t="s">
        <v>16</v>
      </c>
      <c r="G7101" s="568" t="s">
        <v>1702</v>
      </c>
      <c r="H7101" s="567" t="s">
        <v>2294</v>
      </c>
      <c r="I7101" s="569" t="s">
        <v>2301</v>
      </c>
      <c r="J7101" s="570"/>
      <c r="K7101" s="567" t="str">
        <f t="shared" si="213"/>
        <v>08,26</v>
      </c>
      <c r="L7101" s="567" t="s">
        <v>266</v>
      </c>
      <c r="M7101" s="567">
        <v>6734.3000000000011</v>
      </c>
      <c r="N7101" s="571">
        <v>0.45833333333333331</v>
      </c>
      <c r="O7101" s="897" t="s">
        <v>2312</v>
      </c>
      <c r="P7101" s="867" t="s">
        <v>2385</v>
      </c>
      <c r="R7101" s="943"/>
    </row>
    <row r="7102" spans="1:18" ht="19.5" hidden="1" thickBot="1" x14ac:dyDescent="0.3">
      <c r="A7102" s="991"/>
      <c r="B7102" s="911" t="s">
        <v>2261</v>
      </c>
      <c r="C7102" s="912" t="s">
        <v>32</v>
      </c>
      <c r="D7102" s="913">
        <v>2.496</v>
      </c>
      <c r="E7102" s="914" t="s">
        <v>1496</v>
      </c>
      <c r="F7102" s="915" t="s">
        <v>16</v>
      </c>
      <c r="G7102" s="916" t="s">
        <v>2300</v>
      </c>
      <c r="H7102" s="915" t="s">
        <v>2294</v>
      </c>
      <c r="I7102" s="917" t="s">
        <v>1496</v>
      </c>
      <c r="J7102" s="918"/>
      <c r="K7102" s="915" t="str">
        <f t="shared" si="213"/>
        <v>тмена</v>
      </c>
      <c r="L7102" s="915" t="s">
        <v>266</v>
      </c>
      <c r="M7102" s="915">
        <v>2496</v>
      </c>
      <c r="N7102" s="919">
        <v>0.45833333333333331</v>
      </c>
      <c r="O7102" s="920" t="s">
        <v>2310</v>
      </c>
      <c r="P7102" s="921" t="s">
        <v>1024</v>
      </c>
    </row>
    <row r="7103" spans="1:18" ht="19.5" hidden="1" thickBot="1" x14ac:dyDescent="0.3">
      <c r="A7103" s="513">
        <f>MAX(A6970:A7102)+1</f>
        <v>4388</v>
      </c>
      <c r="B7103" s="514" t="s">
        <v>2261</v>
      </c>
      <c r="C7103" s="515" t="s">
        <v>26</v>
      </c>
      <c r="D7103" s="516">
        <v>17.018000000000001</v>
      </c>
      <c r="E7103" s="517">
        <v>17.018999999999998</v>
      </c>
      <c r="F7103" s="518" t="s">
        <v>30</v>
      </c>
      <c r="G7103" s="519"/>
      <c r="H7103" s="518" t="s">
        <v>2294</v>
      </c>
      <c r="I7103" s="520" t="s">
        <v>2294</v>
      </c>
      <c r="J7103" s="521"/>
      <c r="K7103" s="518" t="str">
        <f t="shared" si="213"/>
        <v>08,26</v>
      </c>
      <c r="L7103" s="518" t="s">
        <v>265</v>
      </c>
      <c r="M7103" s="518">
        <v>17018.919999999998</v>
      </c>
      <c r="N7103" s="522">
        <v>0.375</v>
      </c>
      <c r="O7103" s="897" t="s">
        <v>2303</v>
      </c>
      <c r="P7103" s="867" t="s">
        <v>2343</v>
      </c>
    </row>
    <row r="7104" spans="1:18" ht="19.5" hidden="1" thickBot="1" x14ac:dyDescent="0.3">
      <c r="A7104" s="994">
        <f>MAX(A6971:A7103)+1</f>
        <v>4389</v>
      </c>
      <c r="B7104" s="759" t="s">
        <v>2261</v>
      </c>
      <c r="C7104" s="532" t="s">
        <v>26</v>
      </c>
      <c r="D7104" s="533">
        <v>17.768999999999998</v>
      </c>
      <c r="E7104" s="534">
        <v>11.882999999999999</v>
      </c>
      <c r="F7104" s="535" t="s">
        <v>16</v>
      </c>
      <c r="G7104" s="898"/>
      <c r="H7104" s="535" t="s">
        <v>2301</v>
      </c>
      <c r="I7104" s="537" t="s">
        <v>2301</v>
      </c>
      <c r="J7104" s="538"/>
      <c r="K7104" s="535" t="str">
        <f t="shared" si="213"/>
        <v>08,26</v>
      </c>
      <c r="L7104" s="567" t="s">
        <v>265</v>
      </c>
      <c r="M7104" s="567">
        <v>17937.810000000001</v>
      </c>
      <c r="N7104" s="571">
        <v>0.375</v>
      </c>
      <c r="O7104" s="897" t="s">
        <v>2302</v>
      </c>
      <c r="P7104" s="867" t="s">
        <v>2381</v>
      </c>
    </row>
    <row r="7105" spans="1:18" ht="19.5" hidden="1" thickBot="1" x14ac:dyDescent="0.3">
      <c r="A7105" s="995"/>
      <c r="B7105" s="798" t="s">
        <v>2294</v>
      </c>
      <c r="C7105" s="799" t="s">
        <v>26</v>
      </c>
      <c r="D7105" s="800">
        <v>4.3</v>
      </c>
      <c r="E7105" s="800">
        <v>4.3390000000000004</v>
      </c>
      <c r="F7105" s="801" t="s">
        <v>16</v>
      </c>
      <c r="G7105" s="942" t="s">
        <v>76</v>
      </c>
      <c r="H7105" s="801" t="s">
        <v>2301</v>
      </c>
      <c r="I7105" s="801" t="s">
        <v>2301</v>
      </c>
      <c r="J7105" s="803"/>
      <c r="K7105" s="801" t="str">
        <f t="shared" si="213"/>
        <v>08,26</v>
      </c>
      <c r="L7105" s="801" t="s">
        <v>265</v>
      </c>
      <c r="M7105" s="801">
        <v>4320</v>
      </c>
      <c r="N7105" s="804">
        <v>0.375</v>
      </c>
      <c r="O7105" s="897" t="s">
        <v>2377</v>
      </c>
      <c r="P7105" s="867" t="s">
        <v>2382</v>
      </c>
    </row>
    <row r="7106" spans="1:18" ht="19.5" hidden="1" thickBot="1" x14ac:dyDescent="0.3">
      <c r="A7106" s="1002">
        <f>MAX(A6972:A7104)+1</f>
        <v>4390</v>
      </c>
      <c r="B7106" s="610" t="s">
        <v>2261</v>
      </c>
      <c r="C7106" s="480" t="s">
        <v>24</v>
      </c>
      <c r="D7106" s="481">
        <v>11.032</v>
      </c>
      <c r="E7106" s="482">
        <v>10.147</v>
      </c>
      <c r="F7106" s="483" t="s">
        <v>16</v>
      </c>
      <c r="G7106" s="549"/>
      <c r="H7106" s="483" t="s">
        <v>2301</v>
      </c>
      <c r="I7106" s="484" t="s">
        <v>2301</v>
      </c>
      <c r="J7106" s="485"/>
      <c r="K7106" s="483" t="str">
        <f t="shared" si="213"/>
        <v>08,26</v>
      </c>
      <c r="L7106" s="483" t="s">
        <v>28</v>
      </c>
      <c r="M7106" s="483">
        <v>11245.769999999999</v>
      </c>
      <c r="N7106" s="486">
        <v>0.41666666666666669</v>
      </c>
      <c r="O7106" s="897" t="s">
        <v>2306</v>
      </c>
      <c r="P7106" s="867" t="s">
        <v>2398</v>
      </c>
    </row>
    <row r="7107" spans="1:18" ht="19.5" hidden="1" thickBot="1" x14ac:dyDescent="0.3">
      <c r="A7107" s="1003"/>
      <c r="B7107" s="769" t="s">
        <v>2261</v>
      </c>
      <c r="C7107" s="764" t="s">
        <v>15</v>
      </c>
      <c r="D7107" s="765">
        <v>6.5730000000000004</v>
      </c>
      <c r="E7107" s="766">
        <v>5.6959999999999997</v>
      </c>
      <c r="F7107" s="763" t="s">
        <v>16</v>
      </c>
      <c r="G7107" s="767"/>
      <c r="H7107" s="763" t="s">
        <v>2301</v>
      </c>
      <c r="I7107" s="768" t="s">
        <v>2301</v>
      </c>
      <c r="J7107" s="779"/>
      <c r="K7107" s="763" t="str">
        <f t="shared" si="213"/>
        <v>08,26</v>
      </c>
      <c r="L7107" s="763" t="s">
        <v>28</v>
      </c>
      <c r="M7107" s="763">
        <v>6731.05</v>
      </c>
      <c r="N7107" s="770">
        <v>0.41666666666666669</v>
      </c>
      <c r="O7107" s="897" t="s">
        <v>2307</v>
      </c>
      <c r="P7107" s="867" t="s">
        <v>2397</v>
      </c>
    </row>
    <row r="7108" spans="1:18" ht="19.5" hidden="1" thickBot="1" x14ac:dyDescent="0.3">
      <c r="A7108" s="1003"/>
      <c r="B7108" s="864" t="s">
        <v>2301</v>
      </c>
      <c r="C7108" s="861" t="s">
        <v>24</v>
      </c>
      <c r="D7108" s="862">
        <v>0.9</v>
      </c>
      <c r="E7108" s="862">
        <v>0.9</v>
      </c>
      <c r="F7108" s="860" t="s">
        <v>16</v>
      </c>
      <c r="G7108" s="863" t="s">
        <v>76</v>
      </c>
      <c r="H7108" s="860" t="s">
        <v>2301</v>
      </c>
      <c r="I7108" s="860" t="s">
        <v>2301</v>
      </c>
      <c r="J7108" s="865"/>
      <c r="K7108" s="860" t="str">
        <f t="shared" si="213"/>
        <v>08,26</v>
      </c>
      <c r="L7108" s="860" t="s">
        <v>28</v>
      </c>
      <c r="M7108" s="860">
        <v>900</v>
      </c>
      <c r="N7108" s="770">
        <v>0.41666666666666669</v>
      </c>
      <c r="O7108" s="897" t="s">
        <v>2375</v>
      </c>
      <c r="P7108" s="867" t="s">
        <v>2399</v>
      </c>
    </row>
    <row r="7109" spans="1:18" ht="19.5" hidden="1" thickBot="1" x14ac:dyDescent="0.3">
      <c r="A7109" s="1004"/>
      <c r="B7109" s="805" t="s">
        <v>2301</v>
      </c>
      <c r="C7109" s="806" t="s">
        <v>15</v>
      </c>
      <c r="D7109" s="807">
        <v>0.9</v>
      </c>
      <c r="E7109" s="807">
        <v>0.90700000000000003</v>
      </c>
      <c r="F7109" s="808" t="s">
        <v>16</v>
      </c>
      <c r="G7109" s="809" t="s">
        <v>76</v>
      </c>
      <c r="H7109" s="808" t="s">
        <v>2301</v>
      </c>
      <c r="I7109" s="808" t="s">
        <v>2301</v>
      </c>
      <c r="J7109" s="810"/>
      <c r="K7109" s="808" t="str">
        <f t="shared" si="213"/>
        <v>08,26</v>
      </c>
      <c r="L7109" s="808" t="s">
        <v>28</v>
      </c>
      <c r="M7109" s="808">
        <v>900</v>
      </c>
      <c r="N7109" s="778">
        <v>0.41666666666666669</v>
      </c>
      <c r="O7109" s="897" t="s">
        <v>2374</v>
      </c>
      <c r="P7109" s="867" t="s">
        <v>2400</v>
      </c>
    </row>
    <row r="7110" spans="1:18" ht="19.5" hidden="1" thickBot="1" x14ac:dyDescent="0.3">
      <c r="A7110" s="994">
        <f>MAX(A6974:A7109)+1</f>
        <v>4391</v>
      </c>
      <c r="B7110" s="759" t="s">
        <v>2261</v>
      </c>
      <c r="C7110" s="532" t="s">
        <v>23</v>
      </c>
      <c r="D7110" s="533">
        <v>17.905000000000001</v>
      </c>
      <c r="E7110" s="534">
        <v>17.311</v>
      </c>
      <c r="F7110" s="535" t="s">
        <v>16</v>
      </c>
      <c r="G7110" s="898"/>
      <c r="H7110" s="535" t="s">
        <v>2301</v>
      </c>
      <c r="I7110" s="537" t="s">
        <v>2301</v>
      </c>
      <c r="J7110" s="538"/>
      <c r="K7110" s="535" t="str">
        <f t="shared" si="213"/>
        <v>08,26</v>
      </c>
      <c r="L7110" s="567" t="s">
        <v>28</v>
      </c>
      <c r="M7110" s="567">
        <v>18046.53</v>
      </c>
      <c r="N7110" s="571">
        <v>0.45833333333333331</v>
      </c>
      <c r="O7110" s="897" t="s">
        <v>2308</v>
      </c>
      <c r="P7110" s="867" t="s">
        <v>2401</v>
      </c>
    </row>
    <row r="7111" spans="1:18" ht="19.5" hidden="1" thickBot="1" x14ac:dyDescent="0.3">
      <c r="A7111" s="995"/>
      <c r="B7111" s="798" t="s">
        <v>2301</v>
      </c>
      <c r="C7111" s="799" t="s">
        <v>23</v>
      </c>
      <c r="D7111" s="800">
        <v>0.75</v>
      </c>
      <c r="E7111" s="800">
        <v>0.75800000000000001</v>
      </c>
      <c r="F7111" s="801" t="s">
        <v>16</v>
      </c>
      <c r="G7111" s="942" t="s">
        <v>76</v>
      </c>
      <c r="H7111" s="801" t="s">
        <v>2301</v>
      </c>
      <c r="I7111" s="801" t="s">
        <v>2301</v>
      </c>
      <c r="J7111" s="803"/>
      <c r="K7111" s="801" t="str">
        <f t="shared" si="213"/>
        <v>08,26</v>
      </c>
      <c r="L7111" s="801" t="s">
        <v>28</v>
      </c>
      <c r="M7111" s="801">
        <v>756</v>
      </c>
      <c r="N7111" s="804">
        <v>0.45833333333333331</v>
      </c>
      <c r="O7111" s="897" t="s">
        <v>2376</v>
      </c>
      <c r="P7111" s="867" t="s">
        <v>2402</v>
      </c>
    </row>
    <row r="7112" spans="1:18" ht="19.5" hidden="1" thickBot="1" x14ac:dyDescent="0.3">
      <c r="A7112" s="988">
        <f>MAX(A6975:A7110)+1</f>
        <v>4392</v>
      </c>
      <c r="B7112" s="479" t="s">
        <v>2279</v>
      </c>
      <c r="C7112" s="480" t="s">
        <v>26</v>
      </c>
      <c r="D7112" s="481">
        <v>17.033999999999999</v>
      </c>
      <c r="E7112" s="482">
        <v>13.89</v>
      </c>
      <c r="F7112" s="483" t="s">
        <v>16</v>
      </c>
      <c r="G7112" s="549"/>
      <c r="H7112" s="483" t="s">
        <v>2329</v>
      </c>
      <c r="I7112" s="484" t="s">
        <v>2329</v>
      </c>
      <c r="J7112" s="485"/>
      <c r="K7112" s="483" t="str">
        <f t="shared" si="213"/>
        <v>08,26</v>
      </c>
      <c r="L7112" s="483" t="s">
        <v>265</v>
      </c>
      <c r="M7112" s="483">
        <v>17216.78</v>
      </c>
      <c r="N7112" s="486">
        <v>0.375</v>
      </c>
      <c r="O7112" s="897" t="s">
        <v>2330</v>
      </c>
      <c r="P7112" s="867" t="s">
        <v>2391</v>
      </c>
    </row>
    <row r="7113" spans="1:18" ht="19.5" hidden="1" thickBot="1" x14ac:dyDescent="0.3">
      <c r="A7113" s="993"/>
      <c r="B7113" s="769" t="s">
        <v>2279</v>
      </c>
      <c r="C7113" s="764" t="s">
        <v>952</v>
      </c>
      <c r="D7113" s="765">
        <v>1.8169999999999999</v>
      </c>
      <c r="E7113" s="766">
        <v>1.7030000000000001</v>
      </c>
      <c r="F7113" s="763" t="s">
        <v>16</v>
      </c>
      <c r="G7113" s="767"/>
      <c r="H7113" s="763" t="s">
        <v>2329</v>
      </c>
      <c r="I7113" s="768" t="s">
        <v>2329</v>
      </c>
      <c r="J7113" s="779"/>
      <c r="K7113" s="763" t="str">
        <f t="shared" si="213"/>
        <v>08,26</v>
      </c>
      <c r="L7113" s="763" t="s">
        <v>265</v>
      </c>
      <c r="M7113" s="763">
        <v>1880.24</v>
      </c>
      <c r="N7113" s="770">
        <v>0.375</v>
      </c>
      <c r="O7113" s="897" t="s">
        <v>2331</v>
      </c>
      <c r="P7113" s="867" t="s">
        <v>2392</v>
      </c>
    </row>
    <row r="7114" spans="1:18" ht="19.5" hidden="1" thickBot="1" x14ac:dyDescent="0.3">
      <c r="A7114" s="989"/>
      <c r="B7114" s="859" t="s">
        <v>2301</v>
      </c>
      <c r="C7114" s="854" t="s">
        <v>26</v>
      </c>
      <c r="D7114" s="855">
        <v>4.3</v>
      </c>
      <c r="E7114" s="855">
        <f>1.446+0.453</f>
        <v>1.899</v>
      </c>
      <c r="F7114" s="856" t="s">
        <v>16</v>
      </c>
      <c r="G7114" s="857" t="s">
        <v>76</v>
      </c>
      <c r="H7114" s="856" t="s">
        <v>2329</v>
      </c>
      <c r="I7114" s="856" t="s">
        <v>2329</v>
      </c>
      <c r="J7114" s="858"/>
      <c r="K7114" s="856" t="str">
        <f t="shared" si="213"/>
        <v>08,26</v>
      </c>
      <c r="L7114" s="856" t="s">
        <v>265</v>
      </c>
      <c r="M7114" s="856">
        <v>4305</v>
      </c>
      <c r="N7114" s="653">
        <v>0.375</v>
      </c>
      <c r="O7114" s="897" t="s">
        <v>2378</v>
      </c>
      <c r="P7114" s="867" t="s">
        <v>2393</v>
      </c>
      <c r="Q7114" s="847" t="s">
        <v>2394</v>
      </c>
    </row>
    <row r="7115" spans="1:18" ht="19.5" hidden="1" thickBot="1" x14ac:dyDescent="0.3">
      <c r="A7115" s="990">
        <f>MAX(A6977:A7114)+1</f>
        <v>4393</v>
      </c>
      <c r="B7115" s="531" t="s">
        <v>2279</v>
      </c>
      <c r="C7115" s="532" t="s">
        <v>23</v>
      </c>
      <c r="D7115" s="533">
        <v>3.2</v>
      </c>
      <c r="E7115" s="534">
        <v>2.8090000000000002</v>
      </c>
      <c r="F7115" s="535" t="s">
        <v>16</v>
      </c>
      <c r="G7115" s="1010" t="s">
        <v>2386</v>
      </c>
      <c r="H7115" s="535" t="s">
        <v>2329</v>
      </c>
      <c r="I7115" s="537" t="s">
        <v>2347</v>
      </c>
      <c r="J7115" s="538"/>
      <c r="K7115" s="535" t="str">
        <f t="shared" si="213"/>
        <v>09,26</v>
      </c>
      <c r="L7115" s="535" t="s">
        <v>28</v>
      </c>
      <c r="M7115" s="535">
        <v>3253.0800000000004</v>
      </c>
      <c r="N7115" s="539">
        <v>0.41666666666666669</v>
      </c>
      <c r="O7115" s="897" t="s">
        <v>2332</v>
      </c>
      <c r="P7115" s="867" t="s">
        <v>2439</v>
      </c>
      <c r="R7115" s="943"/>
    </row>
    <row r="7116" spans="1:18" ht="19.5" hidden="1" thickBot="1" x14ac:dyDescent="0.3">
      <c r="A7116" s="992"/>
      <c r="B7116" s="563" t="s">
        <v>2279</v>
      </c>
      <c r="C7116" s="564" t="s">
        <v>839</v>
      </c>
      <c r="D7116" s="565">
        <v>1.52</v>
      </c>
      <c r="E7116" s="566">
        <v>1.538</v>
      </c>
      <c r="F7116" s="567" t="s">
        <v>16</v>
      </c>
      <c r="G7116" s="1018"/>
      <c r="H7116" s="567" t="s">
        <v>2329</v>
      </c>
      <c r="I7116" s="569" t="s">
        <v>2347</v>
      </c>
      <c r="J7116" s="570"/>
      <c r="K7116" s="567" t="str">
        <f t="shared" si="213"/>
        <v>09,26</v>
      </c>
      <c r="L7116" s="567" t="s">
        <v>28</v>
      </c>
      <c r="M7116" s="567">
        <v>1537.5</v>
      </c>
      <c r="N7116" s="571">
        <v>0.41666666666666669</v>
      </c>
      <c r="O7116" s="897" t="s">
        <v>2333</v>
      </c>
      <c r="P7116" s="867" t="s">
        <v>2440</v>
      </c>
      <c r="R7116" s="943"/>
    </row>
    <row r="7117" spans="1:18" ht="19.5" hidden="1" thickBot="1" x14ac:dyDescent="0.3">
      <c r="A7117" s="992"/>
      <c r="B7117" s="563" t="s">
        <v>2279</v>
      </c>
      <c r="C7117" s="564" t="s">
        <v>840</v>
      </c>
      <c r="D7117" s="565">
        <v>10.016999999999999</v>
      </c>
      <c r="E7117" s="566">
        <v>9.5990000000000002</v>
      </c>
      <c r="F7117" s="567" t="s">
        <v>16</v>
      </c>
      <c r="G7117" s="1018"/>
      <c r="H7117" s="567" t="s">
        <v>2329</v>
      </c>
      <c r="I7117" s="569" t="s">
        <v>2347</v>
      </c>
      <c r="J7117" s="570"/>
      <c r="K7117" s="567" t="str">
        <f t="shared" si="213"/>
        <v>09,26</v>
      </c>
      <c r="L7117" s="567" t="s">
        <v>266</v>
      </c>
      <c r="M7117" s="567">
        <v>10081.98</v>
      </c>
      <c r="N7117" s="571">
        <v>0.41666666666666669</v>
      </c>
      <c r="O7117" s="897" t="s">
        <v>2334</v>
      </c>
      <c r="P7117" s="867" t="s">
        <v>2441</v>
      </c>
      <c r="R7117" s="943"/>
    </row>
    <row r="7118" spans="1:18" ht="19.5" hidden="1" thickBot="1" x14ac:dyDescent="0.3">
      <c r="A7118" s="991"/>
      <c r="B7118" s="832" t="s">
        <v>2329</v>
      </c>
      <c r="C7118" s="827" t="s">
        <v>23</v>
      </c>
      <c r="D7118" s="828">
        <v>0.95399999999999996</v>
      </c>
      <c r="E7118" s="828">
        <v>0.96099999999999997</v>
      </c>
      <c r="F7118" s="829" t="s">
        <v>16</v>
      </c>
      <c r="G7118" s="1011"/>
      <c r="H7118" s="829" t="s">
        <v>2329</v>
      </c>
      <c r="I7118" s="829" t="s">
        <v>2423</v>
      </c>
      <c r="J7118" s="831"/>
      <c r="K7118" s="829" t="str">
        <f t="shared" si="213"/>
        <v>09,26</v>
      </c>
      <c r="L7118" s="829" t="s">
        <v>28</v>
      </c>
      <c r="M7118" s="829">
        <v>954</v>
      </c>
      <c r="N7118" s="644">
        <v>0.41666666666666669</v>
      </c>
      <c r="O7118" s="897" t="s">
        <v>2387</v>
      </c>
      <c r="P7118" s="867" t="s">
        <v>2500</v>
      </c>
      <c r="R7118" s="2"/>
    </row>
    <row r="7119" spans="1:18" ht="19.5" hidden="1" thickBot="1" x14ac:dyDescent="0.3">
      <c r="A7119" s="513">
        <f>MAX(A6980:A7118)+1</f>
        <v>4394</v>
      </c>
      <c r="B7119" s="514" t="s">
        <v>2279</v>
      </c>
      <c r="C7119" s="515" t="s">
        <v>840</v>
      </c>
      <c r="D7119" s="516">
        <v>5</v>
      </c>
      <c r="E7119" s="517">
        <v>5.0010000000000003</v>
      </c>
      <c r="F7119" s="518" t="s">
        <v>16</v>
      </c>
      <c r="G7119" s="519" t="s">
        <v>2299</v>
      </c>
      <c r="H7119" s="518" t="s">
        <v>2329</v>
      </c>
      <c r="I7119" s="520" t="s">
        <v>2424</v>
      </c>
      <c r="J7119" s="521"/>
      <c r="K7119" s="518" t="str">
        <f t="shared" ref="K7119:K7179" si="215">RIGHT(I7119,5)</f>
        <v>09,26</v>
      </c>
      <c r="L7119" s="518" t="s">
        <v>266</v>
      </c>
      <c r="M7119" s="518">
        <v>5004</v>
      </c>
      <c r="N7119" s="522">
        <v>0.41666666666666669</v>
      </c>
      <c r="O7119" s="897" t="s">
        <v>2335</v>
      </c>
      <c r="P7119" s="867" t="s">
        <v>2514</v>
      </c>
      <c r="Q7119" s="2"/>
      <c r="R7119" s="2"/>
    </row>
    <row r="7120" spans="1:18" ht="57" hidden="1" thickBot="1" x14ac:dyDescent="0.3">
      <c r="A7120" s="990">
        <f>MAX(A6981:A7119)+1</f>
        <v>4395</v>
      </c>
      <c r="B7120" s="531" t="s">
        <v>2279</v>
      </c>
      <c r="C7120" s="532" t="s">
        <v>587</v>
      </c>
      <c r="D7120" s="533">
        <v>0.93600000000000005</v>
      </c>
      <c r="E7120" s="534">
        <v>0.88300000000000001</v>
      </c>
      <c r="F7120" s="535" t="s">
        <v>16</v>
      </c>
      <c r="G7120" s="536" t="s">
        <v>794</v>
      </c>
      <c r="H7120" s="535" t="s">
        <v>2329</v>
      </c>
      <c r="I7120" s="537" t="s">
        <v>2329</v>
      </c>
      <c r="J7120" s="538"/>
      <c r="K7120" s="535" t="str">
        <f t="shared" si="215"/>
        <v>08,26</v>
      </c>
      <c r="L7120" s="535" t="s">
        <v>28</v>
      </c>
      <c r="M7120" s="535">
        <v>936.96</v>
      </c>
      <c r="N7120" s="539">
        <v>0.45833333333333331</v>
      </c>
      <c r="O7120" s="897" t="s">
        <v>2337</v>
      </c>
      <c r="P7120" s="867" t="s">
        <v>2403</v>
      </c>
    </row>
    <row r="7121" spans="1:18" ht="19.5" hidden="1" thickBot="1" x14ac:dyDescent="0.3">
      <c r="A7121" s="992"/>
      <c r="B7121" s="563" t="s">
        <v>2279</v>
      </c>
      <c r="C7121" s="564" t="s">
        <v>587</v>
      </c>
      <c r="D7121" s="565">
        <v>6.3150000000000004</v>
      </c>
      <c r="E7121" s="566">
        <v>5.2859999999999996</v>
      </c>
      <c r="F7121" s="567" t="s">
        <v>16</v>
      </c>
      <c r="G7121" s="568" t="s">
        <v>47</v>
      </c>
      <c r="H7121" s="567" t="s">
        <v>2329</v>
      </c>
      <c r="I7121" s="569" t="s">
        <v>2329</v>
      </c>
      <c r="J7121" s="570"/>
      <c r="K7121" s="567" t="str">
        <f t="shared" si="215"/>
        <v>08,26</v>
      </c>
      <c r="L7121" s="567" t="s">
        <v>28</v>
      </c>
      <c r="M7121" s="567">
        <v>6315.9200000000019</v>
      </c>
      <c r="N7121" s="571">
        <v>0.45833333333333331</v>
      </c>
      <c r="O7121" s="897" t="s">
        <v>2338</v>
      </c>
      <c r="P7121" s="867" t="s">
        <v>2404</v>
      </c>
    </row>
    <row r="7122" spans="1:18" ht="19.5" hidden="1" thickBot="1" x14ac:dyDescent="0.3">
      <c r="A7122" s="992"/>
      <c r="B7122" s="563" t="s">
        <v>2279</v>
      </c>
      <c r="C7122" s="564" t="s">
        <v>47</v>
      </c>
      <c r="D7122" s="565">
        <v>10.348000000000001</v>
      </c>
      <c r="E7122" s="566">
        <v>8.4320000000000004</v>
      </c>
      <c r="F7122" s="567" t="s">
        <v>16</v>
      </c>
      <c r="G7122" s="568"/>
      <c r="H7122" s="567" t="s">
        <v>2329</v>
      </c>
      <c r="I7122" s="569" t="s">
        <v>2329</v>
      </c>
      <c r="J7122" s="570"/>
      <c r="K7122" s="567" t="str">
        <f t="shared" si="215"/>
        <v>08,26</v>
      </c>
      <c r="L7122" s="567" t="s">
        <v>28</v>
      </c>
      <c r="M7122" s="567">
        <v>10510.679999999997</v>
      </c>
      <c r="N7122" s="571">
        <v>0.45833333333333331</v>
      </c>
      <c r="O7122" s="897" t="s">
        <v>2336</v>
      </c>
      <c r="P7122" s="867" t="s">
        <v>2414</v>
      </c>
    </row>
    <row r="7123" spans="1:18" ht="19.5" hidden="1" thickBot="1" x14ac:dyDescent="0.3">
      <c r="A7123" s="992"/>
      <c r="B7123" s="836" t="s">
        <v>2329</v>
      </c>
      <c r="C7123" s="837" t="s">
        <v>47</v>
      </c>
      <c r="D7123" s="838">
        <v>2.8</v>
      </c>
      <c r="E7123" s="838">
        <v>2.8119999999999998</v>
      </c>
      <c r="F7123" s="839" t="s">
        <v>16</v>
      </c>
      <c r="G7123" s="850" t="s">
        <v>76</v>
      </c>
      <c r="H7123" s="839" t="s">
        <v>2329</v>
      </c>
      <c r="I7123" s="839" t="s">
        <v>2329</v>
      </c>
      <c r="J7123" s="840"/>
      <c r="K7123" s="839" t="str">
        <f t="shared" si="215"/>
        <v>08,26</v>
      </c>
      <c r="L7123" s="839" t="s">
        <v>28</v>
      </c>
      <c r="M7123" s="839">
        <v>2811</v>
      </c>
      <c r="N7123" s="598">
        <v>0.45833333333333331</v>
      </c>
      <c r="O7123" s="897" t="s">
        <v>2388</v>
      </c>
      <c r="P7123" s="867" t="s">
        <v>2415</v>
      </c>
    </row>
    <row r="7124" spans="1:18" ht="19.5" hidden="1" thickBot="1" x14ac:dyDescent="0.3">
      <c r="A7124" s="513">
        <f>MAX(A6984:A7123)+1</f>
        <v>4396</v>
      </c>
      <c r="B7124" s="514" t="s">
        <v>2294</v>
      </c>
      <c r="C7124" s="515" t="s">
        <v>26</v>
      </c>
      <c r="D7124" s="516">
        <v>17.015000000000001</v>
      </c>
      <c r="E7124" s="517">
        <v>17.015000000000001</v>
      </c>
      <c r="F7124" s="518" t="s">
        <v>30</v>
      </c>
      <c r="G7124" s="519"/>
      <c r="H7124" s="518" t="s">
        <v>2329</v>
      </c>
      <c r="I7124" s="520" t="s">
        <v>2329</v>
      </c>
      <c r="J7124" s="521"/>
      <c r="K7124" s="518" t="str">
        <f t="shared" si="215"/>
        <v>08,26</v>
      </c>
      <c r="L7124" s="518" t="s">
        <v>265</v>
      </c>
      <c r="M7124" s="518">
        <v>17015.000000000004</v>
      </c>
      <c r="N7124" s="522">
        <v>0.375</v>
      </c>
      <c r="O7124" s="897" t="s">
        <v>2348</v>
      </c>
      <c r="P7124" s="867" t="s">
        <v>2390</v>
      </c>
    </row>
    <row r="7125" spans="1:18" ht="19.5" hidden="1" thickBot="1" x14ac:dyDescent="0.3">
      <c r="A7125" s="503">
        <f>MAX(A6985:A7124)+1</f>
        <v>4397</v>
      </c>
      <c r="B7125" s="504" t="s">
        <v>2294</v>
      </c>
      <c r="C7125" s="505" t="s">
        <v>26</v>
      </c>
      <c r="D7125" s="506">
        <v>17.413</v>
      </c>
      <c r="E7125" s="507">
        <v>13.532999999999999</v>
      </c>
      <c r="F7125" s="508" t="s">
        <v>16</v>
      </c>
      <c r="G7125" s="509"/>
      <c r="H7125" s="508" t="s">
        <v>2344</v>
      </c>
      <c r="I7125" s="510" t="s">
        <v>2344</v>
      </c>
      <c r="J7125" s="511"/>
      <c r="K7125" s="508" t="str">
        <f t="shared" si="215"/>
        <v>08,26</v>
      </c>
      <c r="L7125" s="508" t="s">
        <v>265</v>
      </c>
      <c r="M7125" s="508">
        <v>17578.12</v>
      </c>
      <c r="N7125" s="512">
        <v>0.375</v>
      </c>
      <c r="O7125" s="897" t="s">
        <v>2356</v>
      </c>
      <c r="P7125" s="867" t="s">
        <v>2409</v>
      </c>
    </row>
    <row r="7126" spans="1:18" ht="19.5" hidden="1" thickBot="1" x14ac:dyDescent="0.3">
      <c r="A7126" s="572">
        <f>MAX(A6986:A7125)+1</f>
        <v>4398</v>
      </c>
      <c r="B7126" s="573" t="s">
        <v>2294</v>
      </c>
      <c r="C7126" s="574" t="s">
        <v>26</v>
      </c>
      <c r="D7126" s="575">
        <v>17.45</v>
      </c>
      <c r="E7126" s="576">
        <v>12.836</v>
      </c>
      <c r="F7126" s="577" t="s">
        <v>16</v>
      </c>
      <c r="G7126" s="578"/>
      <c r="H7126" s="577" t="s">
        <v>2344</v>
      </c>
      <c r="I7126" s="579" t="s">
        <v>2344</v>
      </c>
      <c r="J7126" s="580"/>
      <c r="K7126" s="577" t="str">
        <f t="shared" si="215"/>
        <v>08,26</v>
      </c>
      <c r="L7126" s="577" t="s">
        <v>265</v>
      </c>
      <c r="M7126" s="577">
        <v>17583.800000000003</v>
      </c>
      <c r="N7126" s="581">
        <v>0.41666666666666669</v>
      </c>
      <c r="O7126" s="897" t="s">
        <v>2361</v>
      </c>
      <c r="P7126" s="867" t="s">
        <v>2411</v>
      </c>
    </row>
    <row r="7127" spans="1:18" ht="19.5" hidden="1" thickBot="1" x14ac:dyDescent="0.3">
      <c r="A7127" s="990">
        <f>MAX(A6987:A7126)+1</f>
        <v>4399</v>
      </c>
      <c r="B7127" s="531" t="s">
        <v>2294</v>
      </c>
      <c r="C7127" s="532" t="s">
        <v>23</v>
      </c>
      <c r="D7127" s="533">
        <v>17.201000000000001</v>
      </c>
      <c r="E7127" s="534">
        <v>15.553000000000001</v>
      </c>
      <c r="F7127" s="535" t="s">
        <v>16</v>
      </c>
      <c r="G7127" s="1010" t="s">
        <v>1634</v>
      </c>
      <c r="H7127" s="535" t="s">
        <v>2344</v>
      </c>
      <c r="I7127" s="537" t="s">
        <v>2347</v>
      </c>
      <c r="J7127" s="538"/>
      <c r="K7127" s="535" t="str">
        <f t="shared" si="215"/>
        <v>09,26</v>
      </c>
      <c r="L7127" s="535" t="s">
        <v>28</v>
      </c>
      <c r="M7127" s="535">
        <v>17377.23</v>
      </c>
      <c r="N7127" s="539">
        <v>0.45833333333333331</v>
      </c>
      <c r="O7127" s="897" t="s">
        <v>2350</v>
      </c>
      <c r="P7127" s="867" t="s">
        <v>2437</v>
      </c>
    </row>
    <row r="7128" spans="1:18" ht="19.5" hidden="1" thickBot="1" x14ac:dyDescent="0.3">
      <c r="A7128" s="991"/>
      <c r="B7128" s="877" t="s">
        <v>2347</v>
      </c>
      <c r="C7128" s="786" t="s">
        <v>23</v>
      </c>
      <c r="D7128" s="787">
        <v>2.5</v>
      </c>
      <c r="E7128" s="787">
        <v>2.5190000000000001</v>
      </c>
      <c r="F7128" s="788" t="s">
        <v>16</v>
      </c>
      <c r="G7128" s="1011"/>
      <c r="H7128" s="873" t="s">
        <v>2347</v>
      </c>
      <c r="I7128" s="788" t="s">
        <v>2423</v>
      </c>
      <c r="J7128" s="790"/>
      <c r="K7128" s="873" t="str">
        <f t="shared" si="215"/>
        <v>09,26</v>
      </c>
      <c r="L7128" s="788" t="s">
        <v>28</v>
      </c>
      <c r="M7128" s="788">
        <v>2505</v>
      </c>
      <c r="N7128" s="784">
        <v>0.45833333333333331</v>
      </c>
      <c r="O7128" s="897" t="s">
        <v>2422</v>
      </c>
      <c r="P7128" s="867" t="s">
        <v>2501</v>
      </c>
    </row>
    <row r="7129" spans="1:18" ht="19.5" hidden="1" thickBot="1" x14ac:dyDescent="0.3">
      <c r="A7129" s="988">
        <f>MAX(A6988:A7128)+1</f>
        <v>4400</v>
      </c>
      <c r="B7129" s="610" t="s">
        <v>2294</v>
      </c>
      <c r="C7129" s="480" t="s">
        <v>47</v>
      </c>
      <c r="D7129" s="481">
        <v>17.001999999999999</v>
      </c>
      <c r="E7129" s="482">
        <v>13.333</v>
      </c>
      <c r="F7129" s="483" t="s">
        <v>16</v>
      </c>
      <c r="G7129" s="1008" t="s">
        <v>1634</v>
      </c>
      <c r="H7129" s="483" t="s">
        <v>2344</v>
      </c>
      <c r="I7129" s="484" t="s">
        <v>2347</v>
      </c>
      <c r="J7129" s="485"/>
      <c r="K7129" s="483" t="str">
        <f t="shared" si="215"/>
        <v>09,26</v>
      </c>
      <c r="L7129" s="483" t="s">
        <v>28</v>
      </c>
      <c r="M7129" s="483">
        <v>17213.829999999998</v>
      </c>
      <c r="N7129" s="486">
        <v>0.5</v>
      </c>
      <c r="O7129" s="897" t="s">
        <v>2352</v>
      </c>
      <c r="P7129" s="867" t="s">
        <v>2446</v>
      </c>
    </row>
    <row r="7130" spans="1:18" ht="19.5" hidden="1" thickBot="1" x14ac:dyDescent="0.3">
      <c r="A7130" s="989"/>
      <c r="B7130" s="841" t="s">
        <v>2405</v>
      </c>
      <c r="C7130" s="977" t="s">
        <v>47</v>
      </c>
      <c r="D7130" s="978">
        <v>3.8</v>
      </c>
      <c r="E7130" s="978">
        <v>3.8260000000000001</v>
      </c>
      <c r="F7130" s="979" t="s">
        <v>16</v>
      </c>
      <c r="G7130" s="1009"/>
      <c r="H7130" s="979" t="s">
        <v>2405</v>
      </c>
      <c r="I7130" s="979" t="s">
        <v>2405</v>
      </c>
      <c r="J7130" s="845"/>
      <c r="K7130" s="979" t="str">
        <f t="shared" si="215"/>
        <v>09,26</v>
      </c>
      <c r="L7130" s="979" t="s">
        <v>28</v>
      </c>
      <c r="M7130" s="979">
        <v>3810</v>
      </c>
      <c r="N7130" s="846">
        <v>0.5</v>
      </c>
      <c r="O7130" s="897" t="s">
        <v>2425</v>
      </c>
      <c r="P7130" s="867" t="s">
        <v>2447</v>
      </c>
    </row>
    <row r="7131" spans="1:18" ht="19.5" hidden="1" thickBot="1" x14ac:dyDescent="0.3">
      <c r="A7131" s="990">
        <f>MAX(A6987:A7129)+1</f>
        <v>4401</v>
      </c>
      <c r="B7131" s="759" t="s">
        <v>2294</v>
      </c>
      <c r="C7131" s="532" t="s">
        <v>15</v>
      </c>
      <c r="D7131" s="533">
        <v>8.5050000000000008</v>
      </c>
      <c r="E7131" s="534">
        <v>6.7389999999999999</v>
      </c>
      <c r="F7131" s="535" t="s">
        <v>16</v>
      </c>
      <c r="G7131" s="536"/>
      <c r="H7131" s="535" t="s">
        <v>2344</v>
      </c>
      <c r="I7131" s="537" t="s">
        <v>2416</v>
      </c>
      <c r="J7131" s="538"/>
      <c r="K7131" s="535" t="str">
        <f t="shared" si="215"/>
        <v>09,26</v>
      </c>
      <c r="L7131" s="535" t="s">
        <v>28</v>
      </c>
      <c r="M7131" s="535">
        <v>8707.6400000000012</v>
      </c>
      <c r="N7131" s="539">
        <v>0.54166666666666663</v>
      </c>
      <c r="O7131" s="897" t="s">
        <v>2351</v>
      </c>
      <c r="P7131" s="867" t="s">
        <v>2464</v>
      </c>
      <c r="R7131" s="943"/>
    </row>
    <row r="7132" spans="1:18" ht="19.5" hidden="1" thickBot="1" x14ac:dyDescent="0.3">
      <c r="A7132" s="992"/>
      <c r="B7132" s="824" t="s">
        <v>2294</v>
      </c>
      <c r="C7132" s="820" t="s">
        <v>24</v>
      </c>
      <c r="D7132" s="821">
        <v>9.032</v>
      </c>
      <c r="E7132" s="822">
        <v>7.4630000000000001</v>
      </c>
      <c r="F7132" s="819" t="s">
        <v>16</v>
      </c>
      <c r="G7132" s="823"/>
      <c r="H7132" s="819" t="s">
        <v>2344</v>
      </c>
      <c r="I7132" s="782" t="s">
        <v>2416</v>
      </c>
      <c r="J7132" s="825"/>
      <c r="K7132" s="819" t="str">
        <f t="shared" si="215"/>
        <v>09,26</v>
      </c>
      <c r="L7132" s="819" t="s">
        <v>28</v>
      </c>
      <c r="M7132" s="819">
        <v>9237.6900000000023</v>
      </c>
      <c r="N7132" s="811">
        <v>0.54166666666666663</v>
      </c>
      <c r="O7132" s="897" t="s">
        <v>2353</v>
      </c>
      <c r="P7132" s="867" t="s">
        <v>2465</v>
      </c>
      <c r="R7132" s="943"/>
    </row>
    <row r="7133" spans="1:18" ht="19.5" hidden="1" thickBot="1" x14ac:dyDescent="0.3">
      <c r="A7133" s="992"/>
      <c r="B7133" s="813" t="s">
        <v>2405</v>
      </c>
      <c r="C7133" s="814" t="s">
        <v>15</v>
      </c>
      <c r="D7133" s="815">
        <v>2.2999999999999998</v>
      </c>
      <c r="E7133" s="815">
        <v>2.3130000000000002</v>
      </c>
      <c r="F7133" s="816" t="s">
        <v>16</v>
      </c>
      <c r="G7133" s="817" t="s">
        <v>76</v>
      </c>
      <c r="H7133" s="816" t="s">
        <v>2344</v>
      </c>
      <c r="I7133" s="816" t="s">
        <v>2416</v>
      </c>
      <c r="J7133" s="818"/>
      <c r="K7133" s="816" t="str">
        <f t="shared" si="215"/>
        <v>09,26</v>
      </c>
      <c r="L7133" s="816" t="s">
        <v>28</v>
      </c>
      <c r="M7133" s="816">
        <v>2310</v>
      </c>
      <c r="N7133" s="811">
        <v>0.54166666666666663</v>
      </c>
      <c r="O7133" s="897" t="s">
        <v>2431</v>
      </c>
      <c r="P7133" s="867" t="s">
        <v>2466</v>
      </c>
      <c r="R7133" s="943"/>
    </row>
    <row r="7134" spans="1:18" ht="19.5" hidden="1" thickBot="1" x14ac:dyDescent="0.3">
      <c r="A7134" s="991"/>
      <c r="B7134" s="785" t="s">
        <v>2405</v>
      </c>
      <c r="C7134" s="786" t="s">
        <v>24</v>
      </c>
      <c r="D7134" s="787">
        <v>1</v>
      </c>
      <c r="E7134" s="787">
        <v>1.0329999999999999</v>
      </c>
      <c r="F7134" s="788" t="s">
        <v>16</v>
      </c>
      <c r="G7134" s="789" t="s">
        <v>76</v>
      </c>
      <c r="H7134" s="788" t="s">
        <v>2344</v>
      </c>
      <c r="I7134" s="788" t="s">
        <v>2416</v>
      </c>
      <c r="J7134" s="790"/>
      <c r="K7134" s="788" t="str">
        <f t="shared" si="215"/>
        <v>09,26</v>
      </c>
      <c r="L7134" s="788" t="s">
        <v>28</v>
      </c>
      <c r="M7134" s="788">
        <v>1020</v>
      </c>
      <c r="N7134" s="784">
        <v>0.54166666666666663</v>
      </c>
      <c r="O7134" s="897" t="s">
        <v>2434</v>
      </c>
      <c r="P7134" s="867" t="s">
        <v>2467</v>
      </c>
    </row>
    <row r="7135" spans="1:18" ht="19.5" hidden="1" thickBot="1" x14ac:dyDescent="0.3">
      <c r="A7135" s="988">
        <f t="shared" ref="A7135" si="216">MAX(A6989:A7134)+1</f>
        <v>4402</v>
      </c>
      <c r="B7135" s="523" t="s">
        <v>2294</v>
      </c>
      <c r="C7135" s="524" t="s">
        <v>1358</v>
      </c>
      <c r="D7135" s="525">
        <v>2.5390000000000001</v>
      </c>
      <c r="E7135" s="526">
        <v>2.2120000000000002</v>
      </c>
      <c r="F7135" s="527" t="s">
        <v>16</v>
      </c>
      <c r="G7135" s="1080" t="s">
        <v>2346</v>
      </c>
      <c r="H7135" s="527" t="s">
        <v>2344</v>
      </c>
      <c r="I7135" s="528" t="s">
        <v>2344</v>
      </c>
      <c r="J7135" s="529"/>
      <c r="K7135" s="527" t="str">
        <f t="shared" si="215"/>
        <v>08,26</v>
      </c>
      <c r="L7135" s="527" t="s">
        <v>265</v>
      </c>
      <c r="M7135" s="527">
        <v>2653.8800000000006</v>
      </c>
      <c r="N7135" s="530">
        <v>0.58333333333333337</v>
      </c>
      <c r="O7135" s="897" t="s">
        <v>2362</v>
      </c>
      <c r="P7135" s="867" t="s">
        <v>2408</v>
      </c>
    </row>
    <row r="7136" spans="1:18" ht="19.5" hidden="1" thickBot="1" x14ac:dyDescent="0.3">
      <c r="A7136" s="993"/>
      <c r="B7136" s="769" t="s">
        <v>2294</v>
      </c>
      <c r="C7136" s="764" t="s">
        <v>1358</v>
      </c>
      <c r="D7136" s="765">
        <v>8.4090000000000007</v>
      </c>
      <c r="E7136" s="766">
        <v>4.5640000000000001</v>
      </c>
      <c r="F7136" s="763" t="s">
        <v>16</v>
      </c>
      <c r="G7136" s="1080"/>
      <c r="H7136" s="763" t="s">
        <v>2344</v>
      </c>
      <c r="I7136" s="768" t="s">
        <v>2344</v>
      </c>
      <c r="J7136" s="779"/>
      <c r="K7136" s="763" t="str">
        <f t="shared" si="215"/>
        <v>08,26</v>
      </c>
      <c r="L7136" s="763" t="s">
        <v>265</v>
      </c>
      <c r="M7136" s="763">
        <v>8545.6</v>
      </c>
      <c r="N7136" s="770">
        <v>0.58333333333333337</v>
      </c>
      <c r="O7136" s="897" t="s">
        <v>2363</v>
      </c>
      <c r="P7136" s="867" t="s">
        <v>2412</v>
      </c>
    </row>
    <row r="7137" spans="1:20" ht="19.5" hidden="1" thickBot="1" x14ac:dyDescent="0.3">
      <c r="A7137" s="989"/>
      <c r="B7137" s="859" t="s">
        <v>2329</v>
      </c>
      <c r="C7137" s="854" t="s">
        <v>1358</v>
      </c>
      <c r="D7137" s="855">
        <v>1.6</v>
      </c>
      <c r="E7137" s="855">
        <v>1.6020000000000001</v>
      </c>
      <c r="F7137" s="856" t="s">
        <v>16</v>
      </c>
      <c r="G7137" s="1081"/>
      <c r="H7137" s="856" t="s">
        <v>2344</v>
      </c>
      <c r="I7137" s="856" t="s">
        <v>2344</v>
      </c>
      <c r="J7137" s="858"/>
      <c r="K7137" s="856" t="str">
        <f t="shared" si="215"/>
        <v>08,26</v>
      </c>
      <c r="L7137" s="856" t="s">
        <v>265</v>
      </c>
      <c r="M7137" s="856">
        <v>1605</v>
      </c>
      <c r="N7137" s="653">
        <v>0.58333333333333337</v>
      </c>
      <c r="O7137" s="897" t="s">
        <v>2389</v>
      </c>
      <c r="P7137" s="867" t="s">
        <v>2410</v>
      </c>
    </row>
    <row r="7138" spans="1:20" ht="19.5" hidden="1" thickBot="1" x14ac:dyDescent="0.3">
      <c r="A7138" s="990">
        <f>MAX(A6988:A7137)+1</f>
        <v>4403</v>
      </c>
      <c r="B7138" s="531" t="s">
        <v>2294</v>
      </c>
      <c r="C7138" s="532" t="s">
        <v>587</v>
      </c>
      <c r="D7138" s="533">
        <v>8.1219999999999999</v>
      </c>
      <c r="E7138" s="534">
        <v>8.1219999999999999</v>
      </c>
      <c r="F7138" s="535" t="s">
        <v>30</v>
      </c>
      <c r="G7138" s="974" t="s">
        <v>23</v>
      </c>
      <c r="H7138" s="535" t="s">
        <v>2344</v>
      </c>
      <c r="I7138" s="537" t="s">
        <v>2405</v>
      </c>
      <c r="J7138" s="538"/>
      <c r="K7138" s="535" t="str">
        <f t="shared" si="215"/>
        <v>09,26</v>
      </c>
      <c r="L7138" s="535" t="s">
        <v>28</v>
      </c>
      <c r="M7138" s="535">
        <v>8122.92</v>
      </c>
      <c r="N7138" s="539">
        <v>0.41666666666666669</v>
      </c>
      <c r="O7138" s="897" t="s">
        <v>2358</v>
      </c>
      <c r="P7138" s="867" t="s">
        <v>2451</v>
      </c>
    </row>
    <row r="7139" spans="1:20" ht="19.5" hidden="1" thickBot="1" x14ac:dyDescent="0.3">
      <c r="A7139" s="991"/>
      <c r="B7139" s="636" t="s">
        <v>2294</v>
      </c>
      <c r="C7139" s="637" t="s">
        <v>23</v>
      </c>
      <c r="D7139" s="638">
        <v>4.9219999999999997</v>
      </c>
      <c r="E7139" s="639">
        <v>4.9219999999999997</v>
      </c>
      <c r="F7139" s="640" t="s">
        <v>30</v>
      </c>
      <c r="G7139" s="975"/>
      <c r="H7139" s="640" t="s">
        <v>2344</v>
      </c>
      <c r="I7139" s="642" t="s">
        <v>2405</v>
      </c>
      <c r="J7139" s="643"/>
      <c r="K7139" s="640" t="str">
        <f t="shared" si="215"/>
        <v>09,26</v>
      </c>
      <c r="L7139" s="640" t="s">
        <v>28</v>
      </c>
      <c r="M7139" s="640">
        <v>4922.3999999999996</v>
      </c>
      <c r="N7139" s="644">
        <v>0.41666666666666669</v>
      </c>
      <c r="O7139" s="897" t="s">
        <v>2357</v>
      </c>
      <c r="P7139" s="867" t="s">
        <v>2450</v>
      </c>
    </row>
    <row r="7140" spans="1:20" ht="19.5" hidden="1" thickBot="1" x14ac:dyDescent="0.3">
      <c r="A7140" s="513">
        <f>MAX(A6990:A7139)+1</f>
        <v>4404</v>
      </c>
      <c r="B7140" s="514" t="s">
        <v>2294</v>
      </c>
      <c r="C7140" s="515" t="s">
        <v>47</v>
      </c>
      <c r="D7140" s="516">
        <v>13.061999999999999</v>
      </c>
      <c r="E7140" s="517">
        <v>13.061999999999999</v>
      </c>
      <c r="F7140" s="518" t="s">
        <v>30</v>
      </c>
      <c r="G7140" s="973"/>
      <c r="H7140" s="518" t="s">
        <v>2344</v>
      </c>
      <c r="I7140" s="520" t="s">
        <v>2405</v>
      </c>
      <c r="J7140" s="521"/>
      <c r="K7140" s="518" t="str">
        <f t="shared" si="215"/>
        <v>09,26</v>
      </c>
      <c r="L7140" s="518" t="s">
        <v>28</v>
      </c>
      <c r="M7140" s="518">
        <v>13062.08</v>
      </c>
      <c r="N7140" s="522">
        <v>0.45833333333333331</v>
      </c>
      <c r="O7140" s="897" t="s">
        <v>2359</v>
      </c>
      <c r="P7140" s="867" t="s">
        <v>2449</v>
      </c>
    </row>
    <row r="7141" spans="1:20" ht="19.5" hidden="1" thickBot="1" x14ac:dyDescent="0.3">
      <c r="A7141" s="503">
        <f>MAX(A6991:A7140)+1</f>
        <v>4405</v>
      </c>
      <c r="B7141" s="504" t="s">
        <v>2294</v>
      </c>
      <c r="C7141" s="505" t="s">
        <v>26</v>
      </c>
      <c r="D7141" s="506">
        <v>15.789</v>
      </c>
      <c r="E7141" s="507">
        <v>15.789</v>
      </c>
      <c r="F7141" s="508" t="s">
        <v>30</v>
      </c>
      <c r="G7141" s="509"/>
      <c r="H7141" s="508" t="s">
        <v>2347</v>
      </c>
      <c r="I7141" s="510" t="s">
        <v>2347</v>
      </c>
      <c r="J7141" s="511"/>
      <c r="K7141" s="508" t="str">
        <f t="shared" si="215"/>
        <v>09,26</v>
      </c>
      <c r="L7141" s="508" t="s">
        <v>265</v>
      </c>
      <c r="M7141" s="508">
        <v>15789.479999999998</v>
      </c>
      <c r="N7141" s="512">
        <v>0.375</v>
      </c>
      <c r="O7141" s="897" t="s">
        <v>2349</v>
      </c>
      <c r="P7141" s="867" t="s">
        <v>2421</v>
      </c>
    </row>
    <row r="7142" spans="1:20" ht="19.5" hidden="1" thickBot="1" x14ac:dyDescent="0.3">
      <c r="A7142" s="988">
        <f>MAX(A6992:A7141)+1</f>
        <v>4406</v>
      </c>
      <c r="B7142" s="610" t="s">
        <v>2294</v>
      </c>
      <c r="C7142" s="480" t="s">
        <v>26</v>
      </c>
      <c r="D7142" s="481">
        <v>19.164000000000001</v>
      </c>
      <c r="E7142" s="482">
        <f>14.971+0.28</f>
        <v>15.250999999999999</v>
      </c>
      <c r="F7142" s="483" t="s">
        <v>16</v>
      </c>
      <c r="G7142" s="899"/>
      <c r="H7142" s="483" t="s">
        <v>2347</v>
      </c>
      <c r="I7142" s="484" t="s">
        <v>2423</v>
      </c>
      <c r="J7142" s="485"/>
      <c r="K7142" s="483" t="str">
        <f t="shared" si="215"/>
        <v>09,26</v>
      </c>
      <c r="L7142" s="483" t="s">
        <v>265</v>
      </c>
      <c r="M7142" s="483">
        <v>19337.64</v>
      </c>
      <c r="N7142" s="486">
        <v>0.375</v>
      </c>
      <c r="O7142" s="897" t="s">
        <v>2364</v>
      </c>
      <c r="P7142" s="867" t="s">
        <v>2491</v>
      </c>
      <c r="Q7142" s="847" t="s">
        <v>2493</v>
      </c>
      <c r="T7142" s="833"/>
    </row>
    <row r="7143" spans="1:20" ht="19.5" hidden="1" thickBot="1" x14ac:dyDescent="0.3">
      <c r="A7143" s="989"/>
      <c r="B7143" s="805" t="s">
        <v>2344</v>
      </c>
      <c r="C7143" s="806" t="s">
        <v>26</v>
      </c>
      <c r="D7143" s="807">
        <v>2.1</v>
      </c>
      <c r="E7143" s="807">
        <v>2.149</v>
      </c>
      <c r="F7143" s="808" t="s">
        <v>16</v>
      </c>
      <c r="G7143" s="902" t="s">
        <v>76</v>
      </c>
      <c r="H7143" s="808" t="s">
        <v>2347</v>
      </c>
      <c r="I7143" s="808" t="s">
        <v>2423</v>
      </c>
      <c r="J7143" s="810"/>
      <c r="K7143" s="808" t="str">
        <f t="shared" si="215"/>
        <v>09,26</v>
      </c>
      <c r="L7143" s="808" t="s">
        <v>265</v>
      </c>
      <c r="M7143" s="808">
        <v>2115</v>
      </c>
      <c r="N7143" s="778">
        <v>0.375</v>
      </c>
      <c r="O7143" s="897" t="s">
        <v>2407</v>
      </c>
      <c r="P7143" s="867" t="s">
        <v>2492</v>
      </c>
    </row>
    <row r="7144" spans="1:20" ht="19.5" hidden="1" thickBot="1" x14ac:dyDescent="0.3">
      <c r="A7144" s="990">
        <f>MAX(A6993:A7142)+1</f>
        <v>4407</v>
      </c>
      <c r="B7144" s="531" t="s">
        <v>2294</v>
      </c>
      <c r="C7144" s="532" t="s">
        <v>480</v>
      </c>
      <c r="D7144" s="533">
        <v>8.08</v>
      </c>
      <c r="E7144" s="534">
        <v>4.9690000000000003</v>
      </c>
      <c r="F7144" s="535" t="s">
        <v>16</v>
      </c>
      <c r="G7144" s="536"/>
      <c r="H7144" s="535" t="s">
        <v>2347</v>
      </c>
      <c r="I7144" s="537" t="s">
        <v>2423</v>
      </c>
      <c r="J7144" s="538"/>
      <c r="K7144" s="535" t="str">
        <f t="shared" si="215"/>
        <v>09,26</v>
      </c>
      <c r="L7144" s="535" t="s">
        <v>266</v>
      </c>
      <c r="M7144" s="535">
        <v>8170.920000000001</v>
      </c>
      <c r="N7144" s="539">
        <v>0.41666666666666669</v>
      </c>
      <c r="O7144" s="897" t="s">
        <v>2367</v>
      </c>
      <c r="P7144" s="867" t="s">
        <v>2504</v>
      </c>
    </row>
    <row r="7145" spans="1:20" ht="19.5" hidden="1" thickBot="1" x14ac:dyDescent="0.3">
      <c r="A7145" s="992"/>
      <c r="B7145" s="563" t="s">
        <v>2294</v>
      </c>
      <c r="C7145" s="564" t="s">
        <v>913</v>
      </c>
      <c r="D7145" s="565">
        <v>1.552</v>
      </c>
      <c r="E7145" s="566">
        <v>1.33</v>
      </c>
      <c r="F7145" s="567" t="s">
        <v>16</v>
      </c>
      <c r="G7145" s="568"/>
      <c r="H7145" s="567" t="s">
        <v>2347</v>
      </c>
      <c r="I7145" s="569" t="s">
        <v>2347</v>
      </c>
      <c r="J7145" s="570"/>
      <c r="K7145" s="567" t="str">
        <f t="shared" si="215"/>
        <v>09,26</v>
      </c>
      <c r="L7145" s="567" t="s">
        <v>266</v>
      </c>
      <c r="M7145" s="567">
        <v>1564.1</v>
      </c>
      <c r="N7145" s="571">
        <v>0.41666666666666669</v>
      </c>
      <c r="O7145" s="897" t="s">
        <v>2365</v>
      </c>
      <c r="P7145" s="867" t="s">
        <v>2438</v>
      </c>
    </row>
    <row r="7146" spans="1:20" ht="19.5" hidden="1" thickBot="1" x14ac:dyDescent="0.3">
      <c r="A7146" s="992"/>
      <c r="B7146" s="563" t="s">
        <v>2294</v>
      </c>
      <c r="C7146" s="564" t="s">
        <v>23</v>
      </c>
      <c r="D7146" s="565">
        <v>7.7270000000000003</v>
      </c>
      <c r="E7146" s="566">
        <v>7.4619999999999997</v>
      </c>
      <c r="F7146" s="567" t="s">
        <v>16</v>
      </c>
      <c r="G7146" s="568"/>
      <c r="H7146" s="567" t="s">
        <v>2347</v>
      </c>
      <c r="I7146" s="569" t="s">
        <v>2423</v>
      </c>
      <c r="J7146" s="570"/>
      <c r="K7146" s="567" t="str">
        <f t="shared" si="215"/>
        <v>09,26</v>
      </c>
      <c r="L7146" s="567" t="s">
        <v>28</v>
      </c>
      <c r="M7146" s="567">
        <v>7791.96</v>
      </c>
      <c r="N7146" s="571">
        <v>0.41666666666666669</v>
      </c>
      <c r="O7146" s="897" t="s">
        <v>2366</v>
      </c>
      <c r="P7146" s="867" t="s">
        <v>2503</v>
      </c>
    </row>
    <row r="7147" spans="1:20" ht="19.5" hidden="1" thickBot="1" x14ac:dyDescent="0.3">
      <c r="A7147" s="991"/>
      <c r="B7147" s="832" t="s">
        <v>2405</v>
      </c>
      <c r="C7147" s="906" t="s">
        <v>23</v>
      </c>
      <c r="D7147" s="828">
        <v>1.6</v>
      </c>
      <c r="E7147" s="828">
        <v>1.605</v>
      </c>
      <c r="F7147" s="829" t="s">
        <v>16</v>
      </c>
      <c r="G7147" s="830" t="s">
        <v>76</v>
      </c>
      <c r="H7147" s="829" t="s">
        <v>2347</v>
      </c>
      <c r="I7147" s="829" t="s">
        <v>2423</v>
      </c>
      <c r="J7147" s="831"/>
      <c r="K7147" s="829" t="str">
        <f t="shared" si="215"/>
        <v>09,26</v>
      </c>
      <c r="L7147" s="829" t="s">
        <v>28</v>
      </c>
      <c r="M7147" s="829">
        <v>1605.1200000000001</v>
      </c>
      <c r="N7147" s="644">
        <v>0.41666666666666669</v>
      </c>
      <c r="O7147" s="897" t="s">
        <v>2432</v>
      </c>
      <c r="P7147" s="867" t="s">
        <v>2502</v>
      </c>
    </row>
    <row r="7148" spans="1:20" ht="19.5" hidden="1" thickBot="1" x14ac:dyDescent="0.3">
      <c r="A7148" s="988">
        <f>MAX(A6996:A7147)+1</f>
        <v>4408</v>
      </c>
      <c r="B7148" s="479" t="s">
        <v>2294</v>
      </c>
      <c r="C7148" s="480" t="s">
        <v>15</v>
      </c>
      <c r="D7148" s="481">
        <v>3.5640000000000001</v>
      </c>
      <c r="E7148" s="482">
        <v>3.585</v>
      </c>
      <c r="F7148" s="483" t="s">
        <v>16</v>
      </c>
      <c r="G7148" s="1012" t="s">
        <v>1633</v>
      </c>
      <c r="H7148" s="483" t="s">
        <v>2347</v>
      </c>
      <c r="I7148" s="484" t="s">
        <v>2347</v>
      </c>
      <c r="J7148" s="485"/>
      <c r="K7148" s="483" t="str">
        <f t="shared" si="215"/>
        <v>09,26</v>
      </c>
      <c r="L7148" s="483" t="s">
        <v>28</v>
      </c>
      <c r="M7148" s="483">
        <v>3623.4400000000005</v>
      </c>
      <c r="N7148" s="486">
        <v>0.45833333333333331</v>
      </c>
      <c r="O7148" s="897" t="s">
        <v>2368</v>
      </c>
      <c r="P7148" s="867" t="s">
        <v>2443</v>
      </c>
    </row>
    <row r="7149" spans="1:20" ht="19.5" hidden="1" thickBot="1" x14ac:dyDescent="0.3">
      <c r="A7149" s="993"/>
      <c r="B7149" s="523" t="s">
        <v>2294</v>
      </c>
      <c r="C7149" s="524" t="s">
        <v>24</v>
      </c>
      <c r="D7149" s="525">
        <v>4.7569999999999997</v>
      </c>
      <c r="E7149" s="526">
        <v>4.7469999999999999</v>
      </c>
      <c r="F7149" s="527" t="s">
        <v>16</v>
      </c>
      <c r="G7149" s="1013"/>
      <c r="H7149" s="527" t="s">
        <v>2347</v>
      </c>
      <c r="I7149" s="528" t="s">
        <v>2347</v>
      </c>
      <c r="J7149" s="529"/>
      <c r="K7149" s="527" t="str">
        <f t="shared" si="215"/>
        <v>09,26</v>
      </c>
      <c r="L7149" s="527" t="s">
        <v>28</v>
      </c>
      <c r="M7149" s="527">
        <v>4839.5399999999981</v>
      </c>
      <c r="N7149" s="530">
        <v>0.45833333333333331</v>
      </c>
      <c r="O7149" s="897" t="s">
        <v>2369</v>
      </c>
      <c r="P7149" s="867" t="s">
        <v>2444</v>
      </c>
    </row>
    <row r="7150" spans="1:20" ht="19.5" hidden="1" thickBot="1" x14ac:dyDescent="0.3">
      <c r="A7150" s="989"/>
      <c r="B7150" s="495" t="s">
        <v>2294</v>
      </c>
      <c r="C7150" s="496" t="s">
        <v>764</v>
      </c>
      <c r="D7150" s="497">
        <v>8.1</v>
      </c>
      <c r="E7150" s="498">
        <v>8.1110000000000007</v>
      </c>
      <c r="F7150" s="499" t="s">
        <v>16</v>
      </c>
      <c r="G7150" s="1013"/>
      <c r="H7150" s="499" t="s">
        <v>2347</v>
      </c>
      <c r="I7150" s="500" t="s">
        <v>2347</v>
      </c>
      <c r="J7150" s="501"/>
      <c r="K7150" s="499" t="str">
        <f t="shared" si="215"/>
        <v>09,26</v>
      </c>
      <c r="L7150" s="499" t="s">
        <v>28</v>
      </c>
      <c r="M7150" s="499">
        <v>8110.2</v>
      </c>
      <c r="N7150" s="502">
        <v>0.45833333333333331</v>
      </c>
      <c r="O7150" s="897" t="s">
        <v>2370</v>
      </c>
      <c r="P7150" s="867" t="s">
        <v>2445</v>
      </c>
    </row>
    <row r="7151" spans="1:20" ht="19.5" hidden="1" thickBot="1" x14ac:dyDescent="0.3">
      <c r="A7151" s="994">
        <f>MAX(A6999:A7150)+1</f>
        <v>4409</v>
      </c>
      <c r="B7151" s="759" t="s">
        <v>2294</v>
      </c>
      <c r="C7151" s="532" t="s">
        <v>1382</v>
      </c>
      <c r="D7151" s="533">
        <v>8.7739999999999991</v>
      </c>
      <c r="E7151" s="534">
        <v>8.157</v>
      </c>
      <c r="F7151" s="535" t="s">
        <v>16</v>
      </c>
      <c r="G7151" s="536"/>
      <c r="H7151" s="535" t="s">
        <v>2347</v>
      </c>
      <c r="I7151" s="537" t="s">
        <v>2416</v>
      </c>
      <c r="J7151" s="538"/>
      <c r="K7151" s="535" t="str">
        <f t="shared" si="215"/>
        <v>09,26</v>
      </c>
      <c r="L7151" s="535" t="s">
        <v>266</v>
      </c>
      <c r="M7151" s="535">
        <v>8835.18</v>
      </c>
      <c r="N7151" s="539">
        <v>0.5</v>
      </c>
      <c r="O7151" s="897" t="s">
        <v>2372</v>
      </c>
      <c r="P7151" s="867" t="s">
        <v>2468</v>
      </c>
      <c r="R7151" s="943"/>
    </row>
    <row r="7152" spans="1:20" ht="19.5" hidden="1" thickBot="1" x14ac:dyDescent="0.3">
      <c r="A7152" s="1005"/>
      <c r="B7152" s="824" t="s">
        <v>2294</v>
      </c>
      <c r="C7152" s="820" t="s">
        <v>23</v>
      </c>
      <c r="D7152" s="821">
        <v>8.6920000000000002</v>
      </c>
      <c r="E7152" s="822">
        <v>7.8789999999999996</v>
      </c>
      <c r="F7152" s="819" t="s">
        <v>16</v>
      </c>
      <c r="G7152" s="823"/>
      <c r="H7152" s="819" t="s">
        <v>2347</v>
      </c>
      <c r="I7152" s="782" t="s">
        <v>2416</v>
      </c>
      <c r="J7152" s="825"/>
      <c r="K7152" s="819" t="str">
        <f t="shared" si="215"/>
        <v>09,26</v>
      </c>
      <c r="L7152" s="819" t="s">
        <v>28</v>
      </c>
      <c r="M7152" s="819">
        <v>8805.5400000000009</v>
      </c>
      <c r="N7152" s="811">
        <v>0.5</v>
      </c>
      <c r="O7152" s="897" t="s">
        <v>2371</v>
      </c>
      <c r="P7152" s="867" t="s">
        <v>2469</v>
      </c>
      <c r="R7152" s="943"/>
    </row>
    <row r="7153" spans="1:18" ht="19.5" hidden="1" thickBot="1" x14ac:dyDescent="0.3">
      <c r="A7153" s="995"/>
      <c r="B7153" s="785" t="s">
        <v>2405</v>
      </c>
      <c r="C7153" s="786" t="s">
        <v>23</v>
      </c>
      <c r="D7153" s="787">
        <v>1.6</v>
      </c>
      <c r="E7153" s="787">
        <v>1.619</v>
      </c>
      <c r="F7153" s="788" t="s">
        <v>16</v>
      </c>
      <c r="G7153" s="789" t="s">
        <v>76</v>
      </c>
      <c r="H7153" s="788" t="s">
        <v>2347</v>
      </c>
      <c r="I7153" s="788" t="s">
        <v>2416</v>
      </c>
      <c r="J7153" s="790"/>
      <c r="K7153" s="788" t="str">
        <f t="shared" si="215"/>
        <v>09,26</v>
      </c>
      <c r="L7153" s="788" t="s">
        <v>28</v>
      </c>
      <c r="M7153" s="788">
        <v>1605</v>
      </c>
      <c r="N7153" s="784">
        <v>0.5</v>
      </c>
      <c r="O7153" s="897" t="s">
        <v>2433</v>
      </c>
      <c r="P7153" s="867" t="s">
        <v>2470</v>
      </c>
      <c r="R7153" s="943"/>
    </row>
    <row r="7154" spans="1:18" ht="19.5" thickBot="1" x14ac:dyDescent="0.3">
      <c r="A7154" s="513">
        <f t="shared" ref="A7154:A7161" si="217">MAX(A7001:A7153)+1</f>
        <v>4410</v>
      </c>
      <c r="B7154" s="645" t="s">
        <v>2294</v>
      </c>
      <c r="C7154" s="646" t="s">
        <v>1382</v>
      </c>
      <c r="D7154" s="647">
        <v>8</v>
      </c>
      <c r="E7154" s="648"/>
      <c r="F7154" s="649" t="s">
        <v>16</v>
      </c>
      <c r="G7154" s="650" t="s">
        <v>2299</v>
      </c>
      <c r="H7154" s="649" t="s">
        <v>2347</v>
      </c>
      <c r="I7154" s="651"/>
      <c r="J7154" s="652"/>
      <c r="K7154" s="649" t="str">
        <f t="shared" si="215"/>
        <v/>
      </c>
      <c r="L7154" s="649" t="s">
        <v>266</v>
      </c>
      <c r="M7154" s="649">
        <v>8001</v>
      </c>
      <c r="N7154" s="653">
        <v>0.54166666666666663</v>
      </c>
      <c r="O7154" s="897" t="s">
        <v>2373</v>
      </c>
      <c r="P7154" s="867" t="s">
        <v>2413</v>
      </c>
    </row>
    <row r="7155" spans="1:18" ht="19.5" hidden="1" thickBot="1" x14ac:dyDescent="0.3">
      <c r="A7155" s="503">
        <f t="shared" si="217"/>
        <v>4411</v>
      </c>
      <c r="B7155" s="504" t="s">
        <v>2294</v>
      </c>
      <c r="C7155" s="505" t="s">
        <v>23</v>
      </c>
      <c r="D7155" s="506">
        <v>11.664999999999999</v>
      </c>
      <c r="E7155" s="507">
        <v>11.664999999999999</v>
      </c>
      <c r="F7155" s="508" t="s">
        <v>30</v>
      </c>
      <c r="G7155" s="509"/>
      <c r="H7155" s="508" t="s">
        <v>2347</v>
      </c>
      <c r="I7155" s="510" t="s">
        <v>2405</v>
      </c>
      <c r="J7155" s="511"/>
      <c r="K7155" s="508" t="str">
        <f t="shared" si="215"/>
        <v>09,26</v>
      </c>
      <c r="L7155" s="508" t="s">
        <v>28</v>
      </c>
      <c r="M7155" s="508">
        <v>11665.92</v>
      </c>
      <c r="N7155" s="512">
        <v>0.41666666666666669</v>
      </c>
      <c r="O7155" s="897" t="s">
        <v>2360</v>
      </c>
      <c r="P7155" s="867" t="s">
        <v>2448</v>
      </c>
    </row>
    <row r="7156" spans="1:18" ht="19.5" hidden="1" thickBot="1" x14ac:dyDescent="0.3">
      <c r="A7156" s="572">
        <f t="shared" si="217"/>
        <v>4412</v>
      </c>
      <c r="B7156" s="573" t="s">
        <v>2344</v>
      </c>
      <c r="C7156" s="574" t="s">
        <v>1341</v>
      </c>
      <c r="D7156" s="575">
        <v>9.8030000000000008</v>
      </c>
      <c r="E7156" s="576">
        <v>9.3379999999999992</v>
      </c>
      <c r="F7156" s="577" t="s">
        <v>16</v>
      </c>
      <c r="G7156" s="578"/>
      <c r="H7156" s="577" t="s">
        <v>2405</v>
      </c>
      <c r="I7156" s="579" t="s">
        <v>2423</v>
      </c>
      <c r="J7156" s="580"/>
      <c r="K7156" s="577" t="str">
        <f t="shared" si="215"/>
        <v>09,26</v>
      </c>
      <c r="L7156" s="577" t="s">
        <v>266</v>
      </c>
      <c r="M7156" s="577">
        <v>9803.18</v>
      </c>
      <c r="N7156" s="581">
        <v>0.41666666666666669</v>
      </c>
      <c r="O7156" s="897" t="s">
        <v>2406</v>
      </c>
      <c r="P7156" s="867" t="s">
        <v>2499</v>
      </c>
    </row>
    <row r="7157" spans="1:18" ht="19.5" hidden="1" thickBot="1" x14ac:dyDescent="0.3">
      <c r="A7157" s="503">
        <f t="shared" si="217"/>
        <v>4413</v>
      </c>
      <c r="B7157" s="504" t="s">
        <v>2347</v>
      </c>
      <c r="C7157" s="505" t="s">
        <v>32</v>
      </c>
      <c r="D7157" s="506">
        <v>17.948</v>
      </c>
      <c r="E7157" s="507">
        <v>17.501000000000001</v>
      </c>
      <c r="F7157" s="508" t="s">
        <v>16</v>
      </c>
      <c r="G7157" s="509"/>
      <c r="H7157" s="508" t="s">
        <v>2416</v>
      </c>
      <c r="I7157" s="510" t="s">
        <v>2423</v>
      </c>
      <c r="J7157" s="511"/>
      <c r="K7157" s="508" t="str">
        <f t="shared" si="215"/>
        <v>09,26</v>
      </c>
      <c r="L7157" s="508" t="s">
        <v>266</v>
      </c>
      <c r="M7157" s="508">
        <v>18112.099999999995</v>
      </c>
      <c r="N7157" s="512">
        <v>0.41666666666666669</v>
      </c>
      <c r="O7157" s="897" t="s">
        <v>2417</v>
      </c>
      <c r="P7157" s="867" t="s">
        <v>2524</v>
      </c>
    </row>
    <row r="7158" spans="1:18" ht="19.5" hidden="1" thickBot="1" x14ac:dyDescent="0.3">
      <c r="A7158" s="513">
        <f t="shared" si="217"/>
        <v>4414</v>
      </c>
      <c r="B7158" s="514" t="s">
        <v>2347</v>
      </c>
      <c r="C7158" s="515" t="s">
        <v>32</v>
      </c>
      <c r="D7158" s="516">
        <v>17.960999999999999</v>
      </c>
      <c r="E7158" s="517">
        <v>12.882</v>
      </c>
      <c r="F7158" s="518" t="s">
        <v>16</v>
      </c>
      <c r="G7158" s="519"/>
      <c r="H7158" s="518" t="s">
        <v>2416</v>
      </c>
      <c r="I7158" s="520" t="s">
        <v>2423</v>
      </c>
      <c r="J7158" s="521"/>
      <c r="K7158" s="518" t="str">
        <f t="shared" si="215"/>
        <v>09,26</v>
      </c>
      <c r="L7158" s="518" t="s">
        <v>266</v>
      </c>
      <c r="M7158" s="518">
        <v>18033.18</v>
      </c>
      <c r="N7158" s="522">
        <v>0.45833333333333331</v>
      </c>
      <c r="O7158" s="897" t="s">
        <v>2418</v>
      </c>
      <c r="P7158" s="867" t="s">
        <v>2490</v>
      </c>
    </row>
    <row r="7159" spans="1:18" ht="19.5" hidden="1" thickBot="1" x14ac:dyDescent="0.3">
      <c r="A7159" s="662">
        <f t="shared" si="217"/>
        <v>4415</v>
      </c>
      <c r="B7159" s="663" t="s">
        <v>2347</v>
      </c>
      <c r="C7159" s="664" t="s">
        <v>32</v>
      </c>
      <c r="D7159" s="665">
        <v>17.600000000000001</v>
      </c>
      <c r="E7159" s="666" t="s">
        <v>1496</v>
      </c>
      <c r="F7159" s="667" t="s">
        <v>16</v>
      </c>
      <c r="G7159" s="668" t="s">
        <v>2299</v>
      </c>
      <c r="H7159" s="667" t="s">
        <v>2416</v>
      </c>
      <c r="I7159" s="669" t="s">
        <v>1496</v>
      </c>
      <c r="J7159" s="670"/>
      <c r="K7159" s="667" t="str">
        <f t="shared" si="215"/>
        <v>тмена</v>
      </c>
      <c r="L7159" s="667" t="s">
        <v>266</v>
      </c>
      <c r="M7159" s="667">
        <v>17604.599999999999</v>
      </c>
      <c r="N7159" s="671">
        <v>0.5</v>
      </c>
      <c r="O7159" s="920" t="s">
        <v>2419</v>
      </c>
      <c r="P7159" s="921" t="s">
        <v>1024</v>
      </c>
    </row>
    <row r="7160" spans="1:18" ht="19.5" hidden="1" thickBot="1" x14ac:dyDescent="0.3">
      <c r="A7160" s="572">
        <f t="shared" si="217"/>
        <v>4416</v>
      </c>
      <c r="B7160" s="573" t="s">
        <v>2347</v>
      </c>
      <c r="C7160" s="574" t="s">
        <v>848</v>
      </c>
      <c r="D7160" s="575">
        <v>18.010999999999999</v>
      </c>
      <c r="E7160" s="576">
        <v>16.792999999999999</v>
      </c>
      <c r="F7160" s="577" t="s">
        <v>16</v>
      </c>
      <c r="G7160" s="578"/>
      <c r="H7160" s="577" t="s">
        <v>2416</v>
      </c>
      <c r="I7160" s="579" t="s">
        <v>2471</v>
      </c>
      <c r="J7160" s="580"/>
      <c r="K7160" s="577" t="str">
        <f t="shared" si="215"/>
        <v>09,26</v>
      </c>
      <c r="L7160" s="577" t="s">
        <v>266</v>
      </c>
      <c r="M7160" s="577">
        <v>18121.16</v>
      </c>
      <c r="N7160" s="581">
        <v>0.54166666666666663</v>
      </c>
      <c r="O7160" s="897" t="s">
        <v>2420</v>
      </c>
      <c r="P7160" s="867" t="s">
        <v>2538</v>
      </c>
    </row>
    <row r="7161" spans="1:18" ht="19.5" hidden="1" thickBot="1" x14ac:dyDescent="0.3">
      <c r="A7161" s="994">
        <f t="shared" si="217"/>
        <v>4417</v>
      </c>
      <c r="B7161" s="759" t="s">
        <v>2405</v>
      </c>
      <c r="C7161" s="532" t="s">
        <v>26</v>
      </c>
      <c r="D7161" s="533">
        <v>17.614999999999998</v>
      </c>
      <c r="E7161" s="534">
        <v>16.449000000000002</v>
      </c>
      <c r="F7161" s="535" t="s">
        <v>16</v>
      </c>
      <c r="G7161" s="536"/>
      <c r="H7161" s="535" t="s">
        <v>2423</v>
      </c>
      <c r="I7161" s="537" t="s">
        <v>2423</v>
      </c>
      <c r="J7161" s="538"/>
      <c r="K7161" s="535" t="str">
        <f t="shared" si="215"/>
        <v>09,26</v>
      </c>
      <c r="L7161" s="535" t="s">
        <v>265</v>
      </c>
      <c r="M7161" s="535">
        <v>17770.98</v>
      </c>
      <c r="N7161" s="539">
        <v>0.375</v>
      </c>
      <c r="O7161" s="897" t="s">
        <v>2426</v>
      </c>
      <c r="P7161" s="867" t="s">
        <v>2496</v>
      </c>
    </row>
    <row r="7162" spans="1:18" ht="19.5" hidden="1" thickBot="1" x14ac:dyDescent="0.3">
      <c r="A7162" s="995"/>
      <c r="B7162" s="798" t="s">
        <v>2416</v>
      </c>
      <c r="C7162" s="799" t="s">
        <v>26</v>
      </c>
      <c r="D7162" s="800">
        <v>1.35</v>
      </c>
      <c r="E7162" s="800">
        <v>1.36</v>
      </c>
      <c r="F7162" s="801" t="s">
        <v>16</v>
      </c>
      <c r="G7162" s="802" t="s">
        <v>76</v>
      </c>
      <c r="H7162" s="801" t="s">
        <v>2423</v>
      </c>
      <c r="I7162" s="801" t="s">
        <v>2423</v>
      </c>
      <c r="J7162" s="803"/>
      <c r="K7162" s="801" t="str">
        <f t="shared" si="215"/>
        <v>09,26</v>
      </c>
      <c r="L7162" s="801" t="s">
        <v>265</v>
      </c>
      <c r="M7162" s="801">
        <v>1250</v>
      </c>
      <c r="N7162" s="804">
        <v>0.375</v>
      </c>
      <c r="O7162" s="897" t="s">
        <v>2462</v>
      </c>
      <c r="P7162" s="867" t="s">
        <v>2497</v>
      </c>
    </row>
    <row r="7163" spans="1:18" ht="19.5" hidden="1" thickBot="1" x14ac:dyDescent="0.3">
      <c r="A7163" s="1002">
        <f>MAX(A7009:A7161)+1</f>
        <v>4418</v>
      </c>
      <c r="B7163" s="610" t="s">
        <v>2405</v>
      </c>
      <c r="C7163" s="480" t="s">
        <v>26</v>
      </c>
      <c r="D7163" s="481">
        <v>17.378</v>
      </c>
      <c r="E7163" s="482">
        <v>13.978999999999999</v>
      </c>
      <c r="F7163" s="483" t="s">
        <v>16</v>
      </c>
      <c r="G7163" s="549"/>
      <c r="H7163" s="483" t="s">
        <v>2423</v>
      </c>
      <c r="I7163" s="484" t="s">
        <v>2423</v>
      </c>
      <c r="J7163" s="485"/>
      <c r="K7163" s="483" t="str">
        <f t="shared" si="215"/>
        <v>09,26</v>
      </c>
      <c r="L7163" s="483" t="s">
        <v>265</v>
      </c>
      <c r="M7163" s="483">
        <v>17390.300000000003</v>
      </c>
      <c r="N7163" s="486">
        <v>0.41666666666666669</v>
      </c>
      <c r="O7163" s="897" t="s">
        <v>2427</v>
      </c>
      <c r="P7163" s="867" t="s">
        <v>2494</v>
      </c>
    </row>
    <row r="7164" spans="1:18" ht="19.5" hidden="1" thickBot="1" x14ac:dyDescent="0.3">
      <c r="A7164" s="1004"/>
      <c r="B7164" s="805" t="s">
        <v>2416</v>
      </c>
      <c r="C7164" s="806" t="s">
        <v>26</v>
      </c>
      <c r="D7164" s="807">
        <v>3.1</v>
      </c>
      <c r="E7164" s="807">
        <v>3.1640000000000001</v>
      </c>
      <c r="F7164" s="808" t="s">
        <v>16</v>
      </c>
      <c r="G7164" s="809" t="s">
        <v>76</v>
      </c>
      <c r="H7164" s="808" t="s">
        <v>2423</v>
      </c>
      <c r="I7164" s="808" t="s">
        <v>2423</v>
      </c>
      <c r="J7164" s="810"/>
      <c r="K7164" s="808" t="str">
        <f t="shared" si="215"/>
        <v>09,26</v>
      </c>
      <c r="L7164" s="808" t="s">
        <v>265</v>
      </c>
      <c r="M7164" s="808">
        <v>3120</v>
      </c>
      <c r="N7164" s="778">
        <v>0.41666666666666669</v>
      </c>
      <c r="O7164" s="897" t="s">
        <v>2463</v>
      </c>
      <c r="P7164" s="867" t="s">
        <v>2495</v>
      </c>
    </row>
    <row r="7165" spans="1:18" ht="19.5" hidden="1" thickBot="1" x14ac:dyDescent="0.3">
      <c r="A7165" s="990">
        <f>MAX(A7010:A7163)+1</f>
        <v>4419</v>
      </c>
      <c r="B7165" s="563" t="s">
        <v>2405</v>
      </c>
      <c r="C7165" s="564" t="s">
        <v>15</v>
      </c>
      <c r="D7165" s="565">
        <v>8.6199999999999992</v>
      </c>
      <c r="E7165" s="566">
        <v>8.6199999999999992</v>
      </c>
      <c r="F7165" s="567" t="s">
        <v>30</v>
      </c>
      <c r="G7165" s="568"/>
      <c r="H7165" s="567" t="s">
        <v>2423</v>
      </c>
      <c r="I7165" s="569" t="s">
        <v>2423</v>
      </c>
      <c r="J7165" s="570"/>
      <c r="K7165" s="567" t="str">
        <f t="shared" si="215"/>
        <v>09,26</v>
      </c>
      <c r="L7165" s="567" t="s">
        <v>28</v>
      </c>
      <c r="M7165" s="567">
        <v>8620.1999999999989</v>
      </c>
      <c r="N7165" s="571">
        <v>0.41666666666666669</v>
      </c>
      <c r="O7165" s="897" t="s">
        <v>2430</v>
      </c>
      <c r="P7165" s="867" t="s">
        <v>2506</v>
      </c>
    </row>
    <row r="7166" spans="1:18" ht="19.5" hidden="1" thickBot="1" x14ac:dyDescent="0.3">
      <c r="A7166" s="991"/>
      <c r="B7166" s="636" t="s">
        <v>2405</v>
      </c>
      <c r="C7166" s="637" t="s">
        <v>24</v>
      </c>
      <c r="D7166" s="638">
        <v>5.6710000000000003</v>
      </c>
      <c r="E7166" s="639">
        <v>5.6710000000000003</v>
      </c>
      <c r="F7166" s="640" t="s">
        <v>30</v>
      </c>
      <c r="G7166" s="641"/>
      <c r="H7166" s="640" t="s">
        <v>2423</v>
      </c>
      <c r="I7166" s="642" t="s">
        <v>2423</v>
      </c>
      <c r="J7166" s="643"/>
      <c r="K7166" s="640" t="str">
        <f t="shared" si="215"/>
        <v>09,26</v>
      </c>
      <c r="L7166" s="640" t="s">
        <v>28</v>
      </c>
      <c r="M7166" s="640">
        <v>5671.5599999999995</v>
      </c>
      <c r="N7166" s="644">
        <v>0.41666666666666669</v>
      </c>
      <c r="O7166" s="897" t="s">
        <v>2429</v>
      </c>
      <c r="P7166" s="867" t="s">
        <v>2505</v>
      </c>
    </row>
    <row r="7167" spans="1:18" ht="19.5" hidden="1" thickBot="1" x14ac:dyDescent="0.3">
      <c r="A7167" s="1002">
        <f>MAX(A7012:A7166)+1</f>
        <v>4420</v>
      </c>
      <c r="B7167" s="610" t="s">
        <v>2405</v>
      </c>
      <c r="C7167" s="480" t="s">
        <v>26</v>
      </c>
      <c r="D7167" s="481">
        <v>19.986000000000001</v>
      </c>
      <c r="E7167" s="482">
        <v>16.925999999999998</v>
      </c>
      <c r="F7167" s="483" t="s">
        <v>16</v>
      </c>
      <c r="G7167" s="549"/>
      <c r="H7167" s="483" t="s">
        <v>2424</v>
      </c>
      <c r="I7167" s="484" t="s">
        <v>2424</v>
      </c>
      <c r="J7167" s="485"/>
      <c r="K7167" s="483" t="str">
        <f t="shared" si="215"/>
        <v>09,26</v>
      </c>
      <c r="L7167" s="483" t="s">
        <v>265</v>
      </c>
      <c r="M7167" s="483">
        <v>20167.020000000004</v>
      </c>
      <c r="N7167" s="486">
        <v>0.375</v>
      </c>
      <c r="O7167" s="897" t="s">
        <v>2428</v>
      </c>
      <c r="P7167" s="867" t="s">
        <v>2519</v>
      </c>
    </row>
    <row r="7168" spans="1:18" ht="19.5" hidden="1" thickBot="1" x14ac:dyDescent="0.3">
      <c r="A7168" s="1004"/>
      <c r="B7168" s="805" t="s">
        <v>2424</v>
      </c>
      <c r="C7168" s="806" t="s">
        <v>26</v>
      </c>
      <c r="D7168" s="807">
        <v>0.75</v>
      </c>
      <c r="E7168" s="807">
        <v>0.76700000000000002</v>
      </c>
      <c r="F7168" s="808" t="s">
        <v>16</v>
      </c>
      <c r="G7168" s="809" t="s">
        <v>76</v>
      </c>
      <c r="H7168" s="808" t="s">
        <v>2424</v>
      </c>
      <c r="I7168" s="808" t="s">
        <v>2424</v>
      </c>
      <c r="J7168" s="810"/>
      <c r="K7168" s="808" t="str">
        <f t="shared" si="215"/>
        <v>09,26</v>
      </c>
      <c r="L7168" s="808" t="s">
        <v>265</v>
      </c>
      <c r="M7168" s="808">
        <v>765</v>
      </c>
      <c r="N7168" s="778">
        <v>0.375</v>
      </c>
      <c r="O7168" s="897" t="s">
        <v>2508</v>
      </c>
      <c r="P7168" s="867" t="s">
        <v>2520</v>
      </c>
    </row>
    <row r="7169" spans="1:16" ht="19.5" hidden="1" thickBot="1" x14ac:dyDescent="0.3">
      <c r="A7169" s="990">
        <f>MAX(A7013:A7167)+1</f>
        <v>4421</v>
      </c>
      <c r="B7169" s="531" t="s">
        <v>2405</v>
      </c>
      <c r="C7169" s="532" t="s">
        <v>587</v>
      </c>
      <c r="D7169" s="533">
        <v>8.9429999999999996</v>
      </c>
      <c r="E7169" s="534">
        <v>8.5259999999999998</v>
      </c>
      <c r="F7169" s="535" t="s">
        <v>16</v>
      </c>
      <c r="G7169" s="536" t="s">
        <v>47</v>
      </c>
      <c r="H7169" s="535" t="s">
        <v>2424</v>
      </c>
      <c r="I7169" s="537" t="s">
        <v>2424</v>
      </c>
      <c r="J7169" s="538"/>
      <c r="K7169" s="535" t="str">
        <f t="shared" si="215"/>
        <v>09,26</v>
      </c>
      <c r="L7169" s="535" t="s">
        <v>28</v>
      </c>
      <c r="M7169" s="535">
        <v>8943.9599999999991</v>
      </c>
      <c r="N7169" s="539">
        <v>0.41666666666666669</v>
      </c>
      <c r="O7169" s="897" t="s">
        <v>2436</v>
      </c>
      <c r="P7169" s="985" t="s">
        <v>2537</v>
      </c>
    </row>
    <row r="7170" spans="1:16" ht="19.5" hidden="1" thickBot="1" x14ac:dyDescent="0.3">
      <c r="A7170" s="992"/>
      <c r="B7170" s="824" t="s">
        <v>2405</v>
      </c>
      <c r="C7170" s="820" t="s">
        <v>47</v>
      </c>
      <c r="D7170" s="821">
        <v>8.657</v>
      </c>
      <c r="E7170" s="822">
        <v>6.7690000000000001</v>
      </c>
      <c r="F7170" s="819" t="s">
        <v>16</v>
      </c>
      <c r="G7170" s="823"/>
      <c r="H7170" s="819" t="s">
        <v>2424</v>
      </c>
      <c r="I7170" s="782" t="s">
        <v>2424</v>
      </c>
      <c r="J7170" s="825"/>
      <c r="K7170" s="819" t="str">
        <f t="shared" si="215"/>
        <v>09,26</v>
      </c>
      <c r="L7170" s="819" t="s">
        <v>28</v>
      </c>
      <c r="M7170" s="819">
        <v>8766.5400000000009</v>
      </c>
      <c r="N7170" s="811">
        <v>0.41666666666666669</v>
      </c>
      <c r="O7170" s="897" t="s">
        <v>2435</v>
      </c>
      <c r="P7170" s="985" t="s">
        <v>2536</v>
      </c>
    </row>
    <row r="7171" spans="1:16" ht="19.5" hidden="1" thickBot="1" x14ac:dyDescent="0.3">
      <c r="A7171" s="992"/>
      <c r="B7171" s="836" t="s">
        <v>2424</v>
      </c>
      <c r="C7171" s="837" t="s">
        <v>47</v>
      </c>
      <c r="D7171" s="838">
        <v>1.8</v>
      </c>
      <c r="E7171" s="838">
        <v>1.837</v>
      </c>
      <c r="F7171" s="839" t="s">
        <v>16</v>
      </c>
      <c r="G7171" s="850" t="s">
        <v>76</v>
      </c>
      <c r="H7171" s="839" t="s">
        <v>2424</v>
      </c>
      <c r="I7171" s="839" t="s">
        <v>2424</v>
      </c>
      <c r="J7171" s="840"/>
      <c r="K7171" s="839" t="str">
        <f t="shared" si="215"/>
        <v>09,26</v>
      </c>
      <c r="L7171" s="839" t="s">
        <v>28</v>
      </c>
      <c r="M7171" s="839">
        <v>1830</v>
      </c>
      <c r="N7171" s="598">
        <v>0.41666666666666669</v>
      </c>
      <c r="O7171" s="897" t="s">
        <v>2507</v>
      </c>
      <c r="P7171" s="867" t="s">
        <v>2531</v>
      </c>
    </row>
    <row r="7172" spans="1:16" ht="19.5" hidden="1" thickBot="1" x14ac:dyDescent="0.3">
      <c r="A7172" s="513">
        <f>MAX(A7015:A7171)+1</f>
        <v>4422</v>
      </c>
      <c r="B7172" s="514" t="s">
        <v>2416</v>
      </c>
      <c r="C7172" s="515" t="s">
        <v>26</v>
      </c>
      <c r="D7172" s="516">
        <v>16.048999999999999</v>
      </c>
      <c r="E7172" s="517">
        <v>16.048999999999999</v>
      </c>
      <c r="F7172" s="518" t="s">
        <v>30</v>
      </c>
      <c r="G7172" s="519"/>
      <c r="H7172" s="518" t="s">
        <v>2424</v>
      </c>
      <c r="I7172" s="520" t="s">
        <v>2424</v>
      </c>
      <c r="J7172" s="521"/>
      <c r="K7172" s="518" t="str">
        <f t="shared" si="215"/>
        <v>09,26</v>
      </c>
      <c r="L7172" s="518" t="s">
        <v>265</v>
      </c>
      <c r="M7172" s="518">
        <v>16049.4</v>
      </c>
      <c r="N7172" s="522">
        <v>0.375</v>
      </c>
      <c r="O7172" s="897" t="s">
        <v>2452</v>
      </c>
      <c r="P7172" s="867" t="s">
        <v>2513</v>
      </c>
    </row>
    <row r="7173" spans="1:16" ht="19.5" hidden="1" thickBot="1" x14ac:dyDescent="0.3">
      <c r="A7173" s="990">
        <f>MAX(A7016:A7172)+1</f>
        <v>4423</v>
      </c>
      <c r="B7173" s="759" t="s">
        <v>2416</v>
      </c>
      <c r="C7173" s="532" t="s">
        <v>41</v>
      </c>
      <c r="D7173" s="533">
        <v>8.5500000000000007</v>
      </c>
      <c r="E7173" s="534">
        <v>5.548</v>
      </c>
      <c r="F7173" s="535" t="s">
        <v>16</v>
      </c>
      <c r="G7173" s="1006" t="s">
        <v>2498</v>
      </c>
      <c r="H7173" s="535" t="s">
        <v>2424</v>
      </c>
      <c r="I7173" s="537" t="s">
        <v>2424</v>
      </c>
      <c r="J7173" s="538"/>
      <c r="K7173" s="535" t="str">
        <f t="shared" si="215"/>
        <v>09,26</v>
      </c>
      <c r="L7173" s="535" t="s">
        <v>266</v>
      </c>
      <c r="M7173" s="535">
        <v>8637.08</v>
      </c>
      <c r="N7173" s="539">
        <v>0.45833333333333331</v>
      </c>
      <c r="O7173" s="897" t="s">
        <v>2454</v>
      </c>
      <c r="P7173" s="867" t="s">
        <v>2515</v>
      </c>
    </row>
    <row r="7174" spans="1:16" ht="38.25" hidden="1" thickBot="1" x14ac:dyDescent="0.3">
      <c r="A7174" s="992"/>
      <c r="B7174" s="983" t="s">
        <v>2416</v>
      </c>
      <c r="C7174" s="912" t="s">
        <v>981</v>
      </c>
      <c r="D7174" s="913">
        <v>0.312</v>
      </c>
      <c r="E7174" s="914" t="s">
        <v>1496</v>
      </c>
      <c r="F7174" s="915" t="s">
        <v>16</v>
      </c>
      <c r="G7174" s="1007"/>
      <c r="H7174" s="915" t="s">
        <v>2424</v>
      </c>
      <c r="I7174" s="917" t="s">
        <v>1496</v>
      </c>
      <c r="J7174" s="984" t="s">
        <v>2544</v>
      </c>
      <c r="K7174" s="915" t="str">
        <f t="shared" si="215"/>
        <v>тмена</v>
      </c>
      <c r="L7174" s="915" t="s">
        <v>266</v>
      </c>
      <c r="M7174" s="915">
        <v>312</v>
      </c>
      <c r="N7174" s="919">
        <v>0.45833333333333331</v>
      </c>
      <c r="O7174" s="920" t="s">
        <v>2455</v>
      </c>
      <c r="P7174" s="921" t="s">
        <v>1024</v>
      </c>
    </row>
    <row r="7175" spans="1:16" ht="19.5" hidden="1" thickBot="1" x14ac:dyDescent="0.3">
      <c r="A7175" s="992"/>
      <c r="B7175" s="760" t="s">
        <v>2416</v>
      </c>
      <c r="C7175" s="564" t="s">
        <v>981</v>
      </c>
      <c r="D7175" s="565">
        <v>4.2960000000000003</v>
      </c>
      <c r="E7175" s="566">
        <v>2.08</v>
      </c>
      <c r="F7175" s="567" t="s">
        <v>16</v>
      </c>
      <c r="G7175" s="1007"/>
      <c r="H7175" s="567" t="s">
        <v>2424</v>
      </c>
      <c r="I7175" s="569" t="s">
        <v>2424</v>
      </c>
      <c r="J7175" s="677" t="s">
        <v>845</v>
      </c>
      <c r="K7175" s="567" t="str">
        <f t="shared" si="215"/>
        <v>09,26</v>
      </c>
      <c r="L7175" s="567" t="s">
        <v>266</v>
      </c>
      <c r="M7175" s="567">
        <v>4296.32</v>
      </c>
      <c r="N7175" s="571">
        <v>0.45833333333333331</v>
      </c>
      <c r="O7175" s="897" t="s">
        <v>2456</v>
      </c>
      <c r="P7175" s="867" t="s">
        <v>2516</v>
      </c>
    </row>
    <row r="7176" spans="1:16" ht="19.5" hidden="1" thickBot="1" x14ac:dyDescent="0.3">
      <c r="A7176" s="991"/>
      <c r="B7176" s="762" t="s">
        <v>2416</v>
      </c>
      <c r="C7176" s="591" t="s">
        <v>32</v>
      </c>
      <c r="D7176" s="592">
        <v>5.3289999999999997</v>
      </c>
      <c r="E7176" s="593">
        <v>2.6360000000000001</v>
      </c>
      <c r="F7176" s="594" t="s">
        <v>16</v>
      </c>
      <c r="G7176" s="1007"/>
      <c r="H7176" s="594" t="s">
        <v>2424</v>
      </c>
      <c r="I7176" s="596" t="s">
        <v>2424</v>
      </c>
      <c r="J7176" s="980" t="s">
        <v>1702</v>
      </c>
      <c r="K7176" s="594" t="str">
        <f t="shared" si="215"/>
        <v>09,26</v>
      </c>
      <c r="L7176" s="594" t="s">
        <v>266</v>
      </c>
      <c r="M7176" s="594">
        <v>5329.0000000000009</v>
      </c>
      <c r="N7176" s="598">
        <v>0.45833333333333331</v>
      </c>
      <c r="O7176" s="897" t="s">
        <v>2457</v>
      </c>
      <c r="P7176" s="867" t="s">
        <v>2517</v>
      </c>
    </row>
    <row r="7177" spans="1:16" ht="19.5" hidden="1" thickBot="1" x14ac:dyDescent="0.3">
      <c r="A7177" s="1002">
        <f>MAX(A7020:A7176)+1</f>
        <v>4424</v>
      </c>
      <c r="B7177" s="610" t="s">
        <v>2416</v>
      </c>
      <c r="C7177" s="480" t="s">
        <v>26</v>
      </c>
      <c r="D7177" s="481">
        <v>17.504999999999999</v>
      </c>
      <c r="E7177" s="482">
        <v>14.920999999999999</v>
      </c>
      <c r="F7177" s="483" t="s">
        <v>16</v>
      </c>
      <c r="G7177" s="549"/>
      <c r="H7177" s="483" t="s">
        <v>2453</v>
      </c>
      <c r="I7177" s="484" t="s">
        <v>2453</v>
      </c>
      <c r="J7177" s="485"/>
      <c r="K7177" s="483" t="str">
        <f t="shared" si="215"/>
        <v>09,26</v>
      </c>
      <c r="L7177" s="483" t="s">
        <v>265</v>
      </c>
      <c r="M7177" s="483">
        <v>17674.04</v>
      </c>
      <c r="N7177" s="486">
        <v>0.375</v>
      </c>
      <c r="O7177" s="897" t="s">
        <v>2458</v>
      </c>
      <c r="P7177" s="867" t="s">
        <v>2521</v>
      </c>
    </row>
    <row r="7178" spans="1:16" ht="19.5" hidden="1" thickBot="1" x14ac:dyDescent="0.3">
      <c r="A7178" s="1003"/>
      <c r="B7178" s="769" t="s">
        <v>2416</v>
      </c>
      <c r="C7178" s="764" t="s">
        <v>952</v>
      </c>
      <c r="D7178" s="765">
        <v>2.4489999999999998</v>
      </c>
      <c r="E7178" s="766">
        <v>2.1019999999999999</v>
      </c>
      <c r="F7178" s="763" t="s">
        <v>16</v>
      </c>
      <c r="G7178" s="767"/>
      <c r="H7178" s="763" t="s">
        <v>2453</v>
      </c>
      <c r="I7178" s="768" t="s">
        <v>2453</v>
      </c>
      <c r="J7178" s="779"/>
      <c r="K7178" s="763" t="str">
        <f t="shared" si="215"/>
        <v>09,26</v>
      </c>
      <c r="L7178" s="763" t="s">
        <v>265</v>
      </c>
      <c r="M7178" s="763">
        <v>2533.3200000000002</v>
      </c>
      <c r="N7178" s="770">
        <v>0.375</v>
      </c>
      <c r="O7178" s="897" t="s">
        <v>2459</v>
      </c>
      <c r="P7178" s="867" t="s">
        <v>2522</v>
      </c>
    </row>
    <row r="7179" spans="1:16" ht="19.5" hidden="1" thickBot="1" x14ac:dyDescent="0.3">
      <c r="A7179" s="1004"/>
      <c r="B7179" s="805" t="s">
        <v>2453</v>
      </c>
      <c r="C7179" s="806" t="s">
        <v>26</v>
      </c>
      <c r="D7179" s="807">
        <v>0.5</v>
      </c>
      <c r="E7179" s="807">
        <v>0.52400000000000002</v>
      </c>
      <c r="F7179" s="808" t="s">
        <v>16</v>
      </c>
      <c r="G7179" s="809" t="s">
        <v>76</v>
      </c>
      <c r="H7179" s="808" t="s">
        <v>2453</v>
      </c>
      <c r="I7179" s="808" t="s">
        <v>2453</v>
      </c>
      <c r="J7179" s="810"/>
      <c r="K7179" s="808" t="str">
        <f t="shared" si="215"/>
        <v>09,26</v>
      </c>
      <c r="L7179" s="808" t="s">
        <v>265</v>
      </c>
      <c r="M7179" s="808">
        <v>525</v>
      </c>
      <c r="N7179" s="778">
        <v>0.375</v>
      </c>
      <c r="O7179" s="897" t="s">
        <v>2509</v>
      </c>
      <c r="P7179" s="867" t="s">
        <v>2523</v>
      </c>
    </row>
    <row r="7180" spans="1:16" x14ac:dyDescent="0.25">
      <c r="A7180" s="990">
        <f>MAX(A7022:A7179)+1</f>
        <v>4425</v>
      </c>
      <c r="B7180" s="531" t="s">
        <v>2416</v>
      </c>
      <c r="C7180" s="532" t="s">
        <v>839</v>
      </c>
      <c r="D7180" s="533">
        <v>0.76500000000000001</v>
      </c>
      <c r="E7180" s="534">
        <v>0.77500000000000002</v>
      </c>
      <c r="F7180" s="535" t="s">
        <v>16</v>
      </c>
      <c r="G7180" s="536"/>
      <c r="H7180" s="535" t="s">
        <v>2453</v>
      </c>
      <c r="I7180" s="537" t="s">
        <v>2453</v>
      </c>
      <c r="J7180" s="538"/>
      <c r="K7180" s="531"/>
      <c r="L7180" s="535" t="s">
        <v>28</v>
      </c>
      <c r="M7180" s="535">
        <v>772.8</v>
      </c>
      <c r="N7180" s="539">
        <v>0.41666666666666669</v>
      </c>
      <c r="O7180" s="897" t="s">
        <v>2461</v>
      </c>
      <c r="P7180" s="867" t="s">
        <v>2529</v>
      </c>
    </row>
    <row r="7181" spans="1:16" x14ac:dyDescent="0.25">
      <c r="A7181" s="992"/>
      <c r="B7181" s="824" t="s">
        <v>2416</v>
      </c>
      <c r="C7181" s="820" t="s">
        <v>23</v>
      </c>
      <c r="D7181" s="821">
        <v>16.699000000000002</v>
      </c>
      <c r="E7181" s="822">
        <v>15.773999999999999</v>
      </c>
      <c r="F7181" s="819" t="s">
        <v>16</v>
      </c>
      <c r="G7181" s="823"/>
      <c r="H7181" s="819" t="s">
        <v>2453</v>
      </c>
      <c r="I7181" s="782" t="s">
        <v>2453</v>
      </c>
      <c r="J7181" s="825"/>
      <c r="K7181" s="849"/>
      <c r="L7181" s="819" t="s">
        <v>28</v>
      </c>
      <c r="M7181" s="819">
        <v>16789.900000000001</v>
      </c>
      <c r="N7181" s="811">
        <v>0.41666666666666669</v>
      </c>
      <c r="O7181" s="897" t="s">
        <v>2460</v>
      </c>
      <c r="P7181" s="867" t="s">
        <v>2528</v>
      </c>
    </row>
    <row r="7182" spans="1:16" ht="19.5" thickBot="1" x14ac:dyDescent="0.3">
      <c r="A7182" s="992"/>
      <c r="B7182" s="836" t="s">
        <v>2453</v>
      </c>
      <c r="C7182" s="837" t="s">
        <v>23</v>
      </c>
      <c r="D7182" s="838">
        <v>1.2</v>
      </c>
      <c r="E7182" s="838">
        <v>1.218</v>
      </c>
      <c r="F7182" s="839" t="s">
        <v>16</v>
      </c>
      <c r="G7182" s="850"/>
      <c r="H7182" s="839" t="s">
        <v>2453</v>
      </c>
      <c r="I7182" s="839" t="s">
        <v>2453</v>
      </c>
      <c r="J7182" s="840"/>
      <c r="K7182" s="836"/>
      <c r="L7182" s="839" t="s">
        <v>28</v>
      </c>
      <c r="M7182" s="839">
        <v>1214.1599999999999</v>
      </c>
      <c r="N7182" s="598">
        <v>0.41666666666666669</v>
      </c>
      <c r="O7182" s="897" t="s">
        <v>2510</v>
      </c>
      <c r="P7182" s="867" t="s">
        <v>2530</v>
      </c>
    </row>
    <row r="7183" spans="1:16" ht="19.5" thickBot="1" x14ac:dyDescent="0.3">
      <c r="A7183" s="513">
        <f>MAX(A7024:A7182)+1</f>
        <v>4426</v>
      </c>
      <c r="B7183" s="514" t="s">
        <v>2423</v>
      </c>
      <c r="C7183" s="515" t="s">
        <v>26</v>
      </c>
      <c r="D7183" s="516">
        <v>16.669</v>
      </c>
      <c r="E7183" s="517">
        <v>16.669</v>
      </c>
      <c r="F7183" s="518" t="s">
        <v>30</v>
      </c>
      <c r="G7183" s="519"/>
      <c r="H7183" s="518" t="s">
        <v>2471</v>
      </c>
      <c r="I7183" s="520" t="s">
        <v>2471</v>
      </c>
      <c r="J7183" s="521"/>
      <c r="K7183" s="514"/>
      <c r="L7183" s="518" t="s">
        <v>265</v>
      </c>
      <c r="M7183" s="518">
        <v>16669.04</v>
      </c>
      <c r="N7183" s="522">
        <v>0.375</v>
      </c>
      <c r="O7183" s="897" t="s">
        <v>2473</v>
      </c>
      <c r="P7183" s="867" t="s">
        <v>2518</v>
      </c>
    </row>
    <row r="7184" spans="1:16" ht="57" thickBot="1" x14ac:dyDescent="0.3">
      <c r="A7184" s="503">
        <f>MAX(A7025:A7183)+1</f>
        <v>4427</v>
      </c>
      <c r="B7184" s="504" t="s">
        <v>2423</v>
      </c>
      <c r="C7184" s="505" t="s">
        <v>913</v>
      </c>
      <c r="D7184" s="506">
        <v>10.739000000000001</v>
      </c>
      <c r="E7184" s="507">
        <v>10.74</v>
      </c>
      <c r="F7184" s="508" t="s">
        <v>30</v>
      </c>
      <c r="G7184" s="509" t="s">
        <v>2472</v>
      </c>
      <c r="H7184" s="508" t="s">
        <v>2471</v>
      </c>
      <c r="I7184" s="510" t="s">
        <v>2525</v>
      </c>
      <c r="J7184" s="511"/>
      <c r="K7184" s="504"/>
      <c r="L7184" s="508" t="s">
        <v>266</v>
      </c>
      <c r="M7184" s="508">
        <v>10739.76</v>
      </c>
      <c r="N7184" s="512">
        <v>0.5</v>
      </c>
      <c r="O7184" s="897" t="s">
        <v>2474</v>
      </c>
      <c r="P7184" s="867" t="s">
        <v>2609</v>
      </c>
    </row>
    <row r="7185" spans="1:16" x14ac:dyDescent="0.25">
      <c r="A7185" s="1002">
        <f>MAX(A7026:A7184)+1</f>
        <v>4428</v>
      </c>
      <c r="B7185" s="610" t="s">
        <v>2423</v>
      </c>
      <c r="C7185" s="480" t="s">
        <v>26</v>
      </c>
      <c r="D7185" s="481">
        <v>17.45</v>
      </c>
      <c r="E7185" s="482">
        <v>12.798</v>
      </c>
      <c r="F7185" s="483" t="s">
        <v>16</v>
      </c>
      <c r="G7185" s="549"/>
      <c r="H7185" s="483" t="s">
        <v>2471</v>
      </c>
      <c r="I7185" s="484" t="s">
        <v>2476</v>
      </c>
      <c r="J7185" s="485"/>
      <c r="K7185" s="479"/>
      <c r="L7185" s="483" t="s">
        <v>265</v>
      </c>
      <c r="M7185" s="483">
        <v>17597.66</v>
      </c>
      <c r="N7185" s="486">
        <v>0.375</v>
      </c>
      <c r="O7185" s="897" t="s">
        <v>2478</v>
      </c>
      <c r="P7185" s="867" t="s">
        <v>2554</v>
      </c>
    </row>
    <row r="7186" spans="1:16" x14ac:dyDescent="0.25">
      <c r="A7186" s="1003"/>
      <c r="B7186" s="792" t="s">
        <v>2476</v>
      </c>
      <c r="C7186" s="793" t="s">
        <v>26</v>
      </c>
      <c r="D7186" s="794">
        <v>2.2999999999999998</v>
      </c>
      <c r="E7186" s="794">
        <v>2.347</v>
      </c>
      <c r="F7186" s="795" t="s">
        <v>16</v>
      </c>
      <c r="G7186" s="796"/>
      <c r="H7186" s="795" t="s">
        <v>2471</v>
      </c>
      <c r="I7186" s="795" t="s">
        <v>2476</v>
      </c>
      <c r="J7186" s="797"/>
      <c r="K7186" s="986"/>
      <c r="L7186" s="795" t="s">
        <v>265</v>
      </c>
      <c r="M7186" s="795">
        <v>2325</v>
      </c>
      <c r="N7186" s="502">
        <v>0.375</v>
      </c>
      <c r="O7186" s="897" t="s">
        <v>2542</v>
      </c>
      <c r="P7186" s="867" t="s">
        <v>2563</v>
      </c>
    </row>
    <row r="7187" spans="1:16" ht="19.5" thickBot="1" x14ac:dyDescent="0.3">
      <c r="A7187" s="1004"/>
      <c r="B7187" s="805" t="s">
        <v>2453</v>
      </c>
      <c r="C7187" s="806" t="s">
        <v>26</v>
      </c>
      <c r="D7187" s="807">
        <v>2.5</v>
      </c>
      <c r="E7187" s="807">
        <v>2.5539999999999998</v>
      </c>
      <c r="F7187" s="808" t="s">
        <v>16</v>
      </c>
      <c r="G7187" s="809" t="s">
        <v>76</v>
      </c>
      <c r="H7187" s="808" t="s">
        <v>2471</v>
      </c>
      <c r="I7187" s="808" t="s">
        <v>2476</v>
      </c>
      <c r="J7187" s="810"/>
      <c r="K7187" s="887"/>
      <c r="L7187" s="808" t="s">
        <v>265</v>
      </c>
      <c r="M7187" s="808">
        <v>2550</v>
      </c>
      <c r="N7187" s="778">
        <v>0.375</v>
      </c>
      <c r="O7187" s="897" t="s">
        <v>2511</v>
      </c>
      <c r="P7187" s="867" t="s">
        <v>2555</v>
      </c>
    </row>
    <row r="7188" spans="1:16" x14ac:dyDescent="0.25">
      <c r="A7188" s="994">
        <f>MAX(A7027:A7185)+1</f>
        <v>4429</v>
      </c>
      <c r="B7188" s="759" t="s">
        <v>2423</v>
      </c>
      <c r="C7188" s="532" t="s">
        <v>26</v>
      </c>
      <c r="D7188" s="533">
        <v>17.744</v>
      </c>
      <c r="E7188" s="534">
        <v>15.416</v>
      </c>
      <c r="F7188" s="535" t="s">
        <v>16</v>
      </c>
      <c r="G7188" s="536"/>
      <c r="H7188" s="535" t="s">
        <v>2471</v>
      </c>
      <c r="I7188" s="537" t="s">
        <v>2476</v>
      </c>
      <c r="J7188" s="538"/>
      <c r="K7188" s="531"/>
      <c r="L7188" s="535" t="s">
        <v>265</v>
      </c>
      <c r="M7188" s="535">
        <v>17908.080000000002</v>
      </c>
      <c r="N7188" s="539">
        <v>0.41666666666666669</v>
      </c>
      <c r="O7188" s="897" t="s">
        <v>2477</v>
      </c>
      <c r="P7188" s="867" t="s">
        <v>2559</v>
      </c>
    </row>
    <row r="7189" spans="1:16" x14ac:dyDescent="0.25">
      <c r="A7189" s="1005"/>
      <c r="B7189" s="852" t="s">
        <v>2476</v>
      </c>
      <c r="C7189" s="837" t="s">
        <v>26</v>
      </c>
      <c r="D7189" s="838">
        <v>1.6</v>
      </c>
      <c r="E7189" s="838">
        <v>0.436</v>
      </c>
      <c r="F7189" s="839" t="s">
        <v>16</v>
      </c>
      <c r="G7189" s="850"/>
      <c r="H7189" s="839" t="s">
        <v>2471</v>
      </c>
      <c r="I7189" s="839" t="s">
        <v>2476</v>
      </c>
      <c r="J7189" s="840"/>
      <c r="K7189" s="836"/>
      <c r="L7189" s="839" t="s">
        <v>265</v>
      </c>
      <c r="M7189" s="839">
        <v>1620</v>
      </c>
      <c r="N7189" s="598">
        <v>0.41666666666666669</v>
      </c>
      <c r="O7189" s="897" t="s">
        <v>2543</v>
      </c>
      <c r="P7189" s="867" t="s">
        <v>2560</v>
      </c>
    </row>
    <row r="7190" spans="1:16" ht="19.5" thickBot="1" x14ac:dyDescent="0.3">
      <c r="A7190" s="995"/>
      <c r="B7190" s="798" t="s">
        <v>2453</v>
      </c>
      <c r="C7190" s="799" t="s">
        <v>26</v>
      </c>
      <c r="D7190" s="800">
        <v>1.7</v>
      </c>
      <c r="E7190" s="800">
        <v>1.722</v>
      </c>
      <c r="F7190" s="801" t="s">
        <v>16</v>
      </c>
      <c r="G7190" s="802" t="s">
        <v>76</v>
      </c>
      <c r="H7190" s="801" t="s">
        <v>2471</v>
      </c>
      <c r="I7190" s="801" t="s">
        <v>2476</v>
      </c>
      <c r="J7190" s="803"/>
      <c r="K7190" s="848"/>
      <c r="L7190" s="801" t="s">
        <v>265</v>
      </c>
      <c r="M7190" s="801">
        <v>1725</v>
      </c>
      <c r="N7190" s="804">
        <v>0.41666666666666669</v>
      </c>
      <c r="O7190" s="897" t="s">
        <v>2512</v>
      </c>
      <c r="P7190" s="867" t="s">
        <v>2561</v>
      </c>
    </row>
    <row r="7191" spans="1:16" x14ac:dyDescent="0.25">
      <c r="A7191" s="1002">
        <f>MAX(A7030:A7188)+1</f>
        <v>4430</v>
      </c>
      <c r="B7191" s="610" t="s">
        <v>2423</v>
      </c>
      <c r="C7191" s="480" t="s">
        <v>15</v>
      </c>
      <c r="D7191" s="481">
        <v>8.6010000000000009</v>
      </c>
      <c r="E7191" s="482">
        <v>7.8769999999999998</v>
      </c>
      <c r="F7191" s="483" t="s">
        <v>16</v>
      </c>
      <c r="G7191" s="1014" t="s">
        <v>2475</v>
      </c>
      <c r="H7191" s="483" t="s">
        <v>2471</v>
      </c>
      <c r="I7191" s="484" t="s">
        <v>2476</v>
      </c>
      <c r="J7191" s="485"/>
      <c r="K7191" s="479"/>
      <c r="L7191" s="483" t="s">
        <v>28</v>
      </c>
      <c r="M7191" s="483">
        <v>8730.48</v>
      </c>
      <c r="N7191" s="486">
        <v>0.5</v>
      </c>
      <c r="O7191" s="897" t="s">
        <v>2480</v>
      </c>
      <c r="P7191" s="867" t="s">
        <v>2577</v>
      </c>
    </row>
    <row r="7192" spans="1:16" x14ac:dyDescent="0.25">
      <c r="A7192" s="1003"/>
      <c r="B7192" s="769" t="s">
        <v>2423</v>
      </c>
      <c r="C7192" s="764" t="s">
        <v>24</v>
      </c>
      <c r="D7192" s="765">
        <v>6.9950000000000001</v>
      </c>
      <c r="E7192" s="766">
        <v>6.3310000000000004</v>
      </c>
      <c r="F7192" s="763" t="s">
        <v>16</v>
      </c>
      <c r="G7192" s="1015"/>
      <c r="H7192" s="763" t="s">
        <v>2471</v>
      </c>
      <c r="I7192" s="768" t="s">
        <v>2476</v>
      </c>
      <c r="J7192" s="779"/>
      <c r="K7192" s="791"/>
      <c r="L7192" s="763" t="s">
        <v>28</v>
      </c>
      <c r="M7192" s="763">
        <v>7135.9200000000019</v>
      </c>
      <c r="N7192" s="770">
        <v>0.5</v>
      </c>
      <c r="O7192" s="897" t="s">
        <v>2479</v>
      </c>
      <c r="P7192" s="867" t="s">
        <v>2576</v>
      </c>
    </row>
    <row r="7193" spans="1:16" x14ac:dyDescent="0.25">
      <c r="A7193" s="1003"/>
      <c r="B7193" s="864" t="s">
        <v>2471</v>
      </c>
      <c r="C7193" s="861" t="s">
        <v>15</v>
      </c>
      <c r="D7193" s="862">
        <v>0.86</v>
      </c>
      <c r="E7193" s="862">
        <v>0.86899999999999999</v>
      </c>
      <c r="F7193" s="860" t="s">
        <v>16</v>
      </c>
      <c r="G7193" s="1015"/>
      <c r="H7193" s="860" t="s">
        <v>2471</v>
      </c>
      <c r="I7193" s="860" t="s">
        <v>2476</v>
      </c>
      <c r="J7193" s="865"/>
      <c r="K7193" s="976"/>
      <c r="L7193" s="860" t="s">
        <v>28</v>
      </c>
      <c r="M7193" s="860">
        <v>870</v>
      </c>
      <c r="N7193" s="981">
        <v>0.5</v>
      </c>
      <c r="O7193" s="897" t="s">
        <v>2533</v>
      </c>
      <c r="P7193" s="867" t="s">
        <v>2578</v>
      </c>
    </row>
    <row r="7194" spans="1:16" ht="19.5" thickBot="1" x14ac:dyDescent="0.3">
      <c r="A7194" s="1004"/>
      <c r="B7194" s="805" t="s">
        <v>2471</v>
      </c>
      <c r="C7194" s="806" t="s">
        <v>24</v>
      </c>
      <c r="D7194" s="807">
        <v>0.78</v>
      </c>
      <c r="E7194" s="807">
        <v>0.79200000000000004</v>
      </c>
      <c r="F7194" s="808" t="s">
        <v>16</v>
      </c>
      <c r="G7194" s="1016"/>
      <c r="H7194" s="808" t="s">
        <v>2471</v>
      </c>
      <c r="I7194" s="808" t="s">
        <v>2476</v>
      </c>
      <c r="J7194" s="810"/>
      <c r="K7194" s="887"/>
      <c r="L7194" s="808" t="s">
        <v>28</v>
      </c>
      <c r="M7194" s="808">
        <v>795</v>
      </c>
      <c r="N7194" s="982">
        <v>0.5</v>
      </c>
      <c r="O7194" s="897" t="s">
        <v>2532</v>
      </c>
      <c r="P7194" s="867" t="s">
        <v>2579</v>
      </c>
    </row>
    <row r="7195" spans="1:16" ht="19.5" thickBot="1" x14ac:dyDescent="0.3">
      <c r="A7195" s="503">
        <f>MAX(A7032:A7194)+1</f>
        <v>4431</v>
      </c>
      <c r="B7195" s="636" t="s">
        <v>2423</v>
      </c>
      <c r="C7195" s="637" t="s">
        <v>587</v>
      </c>
      <c r="D7195" s="638">
        <v>8.6890000000000001</v>
      </c>
      <c r="E7195" s="639">
        <v>8.6890000000000001</v>
      </c>
      <c r="F7195" s="640" t="s">
        <v>30</v>
      </c>
      <c r="G7195" s="641" t="s">
        <v>23</v>
      </c>
      <c r="H7195" s="640" t="s">
        <v>2471</v>
      </c>
      <c r="I7195" s="642" t="s">
        <v>2476</v>
      </c>
      <c r="J7195" s="643"/>
      <c r="K7195" s="636"/>
      <c r="L7195" s="640" t="s">
        <v>28</v>
      </c>
      <c r="M7195" s="640">
        <v>8689.0400000000009</v>
      </c>
      <c r="N7195" s="644">
        <v>0.45833333333333331</v>
      </c>
      <c r="O7195" s="897" t="s">
        <v>2487</v>
      </c>
      <c r="P7195" s="867" t="s">
        <v>2583</v>
      </c>
    </row>
    <row r="7196" spans="1:16" x14ac:dyDescent="0.25">
      <c r="A7196" s="988">
        <f>MAX(A7033:A7195)+1</f>
        <v>4432</v>
      </c>
      <c r="B7196" s="479" t="s">
        <v>2423</v>
      </c>
      <c r="C7196" s="480" t="s">
        <v>320</v>
      </c>
      <c r="D7196" s="481">
        <v>2.0259999999999998</v>
      </c>
      <c r="E7196" s="482">
        <v>2.0259999999999998</v>
      </c>
      <c r="F7196" s="483" t="s">
        <v>30</v>
      </c>
      <c r="G7196" s="549"/>
      <c r="H7196" s="483" t="s">
        <v>2471</v>
      </c>
      <c r="I7196" s="484" t="s">
        <v>2471</v>
      </c>
      <c r="J7196" s="485"/>
      <c r="K7196" s="479"/>
      <c r="L7196" s="483" t="s">
        <v>266</v>
      </c>
      <c r="M7196" s="483">
        <v>2026.08</v>
      </c>
      <c r="N7196" s="486">
        <v>0.41666666666666669</v>
      </c>
      <c r="O7196" s="897" t="s">
        <v>2486</v>
      </c>
      <c r="P7196" s="867" t="s">
        <v>2539</v>
      </c>
    </row>
    <row r="7197" spans="1:16" x14ac:dyDescent="0.25">
      <c r="A7197" s="993"/>
      <c r="B7197" s="523" t="s">
        <v>2423</v>
      </c>
      <c r="C7197" s="524" t="s">
        <v>587</v>
      </c>
      <c r="D7197" s="525">
        <v>9.7870000000000008</v>
      </c>
      <c r="E7197" s="526">
        <v>9.7520000000000007</v>
      </c>
      <c r="F7197" s="527" t="s">
        <v>30</v>
      </c>
      <c r="G7197" s="561" t="s">
        <v>47</v>
      </c>
      <c r="H7197" s="527" t="s">
        <v>2471</v>
      </c>
      <c r="I7197" s="528" t="s">
        <v>2471</v>
      </c>
      <c r="J7197" s="529"/>
      <c r="K7197" s="523"/>
      <c r="L7197" s="527" t="s">
        <v>28</v>
      </c>
      <c r="M7197" s="527">
        <v>9787.68</v>
      </c>
      <c r="N7197" s="530">
        <v>0.41666666666666669</v>
      </c>
      <c r="O7197" s="897" t="s">
        <v>2488</v>
      </c>
      <c r="P7197" s="867" t="s">
        <v>2540</v>
      </c>
    </row>
    <row r="7198" spans="1:16" ht="19.5" thickBot="1" x14ac:dyDescent="0.3">
      <c r="A7198" s="989"/>
      <c r="B7198" s="645" t="s">
        <v>2423</v>
      </c>
      <c r="C7198" s="646" t="s">
        <v>47</v>
      </c>
      <c r="D7198" s="647">
        <v>1.2569999999999999</v>
      </c>
      <c r="E7198" s="648">
        <v>1.2569999999999999</v>
      </c>
      <c r="F7198" s="649" t="s">
        <v>30</v>
      </c>
      <c r="G7198" s="650"/>
      <c r="H7198" s="649" t="s">
        <v>2471</v>
      </c>
      <c r="I7198" s="651" t="s">
        <v>2471</v>
      </c>
      <c r="J7198" s="652"/>
      <c r="K7198" s="645"/>
      <c r="L7198" s="649" t="s">
        <v>28</v>
      </c>
      <c r="M7198" s="649">
        <v>1257.5999999999999</v>
      </c>
      <c r="N7198" s="653">
        <v>0.41666666666666669</v>
      </c>
      <c r="O7198" s="897" t="s">
        <v>2485</v>
      </c>
      <c r="P7198" s="867" t="s">
        <v>2541</v>
      </c>
    </row>
    <row r="7199" spans="1:16" x14ac:dyDescent="0.25">
      <c r="A7199" s="994">
        <f t="shared" ref="A7199" si="218">MAX(A7036:A7198)+1</f>
        <v>4433</v>
      </c>
      <c r="B7199" s="759" t="s">
        <v>2423</v>
      </c>
      <c r="C7199" s="532" t="s">
        <v>26</v>
      </c>
      <c r="D7199" s="533">
        <v>17.440000000000001</v>
      </c>
      <c r="E7199" s="534">
        <v>14.901999999999999</v>
      </c>
      <c r="F7199" s="535" t="s">
        <v>16</v>
      </c>
      <c r="G7199" s="536"/>
      <c r="H7199" s="535" t="s">
        <v>2476</v>
      </c>
      <c r="I7199" s="537" t="s">
        <v>2476</v>
      </c>
      <c r="J7199" s="538"/>
      <c r="K7199" s="531"/>
      <c r="L7199" s="535" t="s">
        <v>265</v>
      </c>
      <c r="M7199" s="535">
        <v>17575.240000000002</v>
      </c>
      <c r="N7199" s="539">
        <v>0.375</v>
      </c>
      <c r="O7199" s="897" t="s">
        <v>2481</v>
      </c>
      <c r="P7199" s="867" t="s">
        <v>2557</v>
      </c>
    </row>
    <row r="7200" spans="1:16" ht="19.5" thickBot="1" x14ac:dyDescent="0.3">
      <c r="A7200" s="995"/>
      <c r="B7200" s="798" t="s">
        <v>2471</v>
      </c>
      <c r="C7200" s="799" t="s">
        <v>26</v>
      </c>
      <c r="D7200" s="800">
        <v>2.7</v>
      </c>
      <c r="E7200" s="800">
        <v>2.722</v>
      </c>
      <c r="F7200" s="801" t="s">
        <v>16</v>
      </c>
      <c r="G7200" s="802" t="s">
        <v>76</v>
      </c>
      <c r="H7200" s="801" t="s">
        <v>2476</v>
      </c>
      <c r="I7200" s="801" t="s">
        <v>2476</v>
      </c>
      <c r="J7200" s="803"/>
      <c r="K7200" s="848"/>
      <c r="L7200" s="801" t="s">
        <v>265</v>
      </c>
      <c r="M7200" s="801">
        <v>2700</v>
      </c>
      <c r="N7200" s="804">
        <v>0.375</v>
      </c>
      <c r="O7200" s="897" t="s">
        <v>2534</v>
      </c>
      <c r="P7200" s="867" t="s">
        <v>2558</v>
      </c>
    </row>
    <row r="7201" spans="1:18" x14ac:dyDescent="0.25">
      <c r="A7201" s="1002">
        <f>MAX(A7037:A7199)+1</f>
        <v>4434</v>
      </c>
      <c r="B7201" s="610" t="s">
        <v>2423</v>
      </c>
      <c r="C7201" s="480" t="s">
        <v>26</v>
      </c>
      <c r="D7201" s="481">
        <v>17.748999999999999</v>
      </c>
      <c r="E7201" s="482">
        <v>14.715</v>
      </c>
      <c r="F7201" s="483" t="s">
        <v>16</v>
      </c>
      <c r="G7201" s="549"/>
      <c r="H7201" s="483" t="s">
        <v>2476</v>
      </c>
      <c r="I7201" s="484" t="s">
        <v>2476</v>
      </c>
      <c r="J7201" s="485"/>
      <c r="K7201" s="479"/>
      <c r="L7201" s="483" t="s">
        <v>265</v>
      </c>
      <c r="M7201" s="483">
        <v>17884.45</v>
      </c>
      <c r="N7201" s="486">
        <v>0.41666666666666669</v>
      </c>
      <c r="O7201" s="897" t="s">
        <v>2482</v>
      </c>
      <c r="P7201" s="867" t="s">
        <v>2562</v>
      </c>
    </row>
    <row r="7202" spans="1:18" x14ac:dyDescent="0.25">
      <c r="A7202" s="1003"/>
      <c r="B7202" s="792" t="s">
        <v>2476</v>
      </c>
      <c r="C7202" s="793" t="s">
        <v>26</v>
      </c>
      <c r="D7202" s="794">
        <v>0.5</v>
      </c>
      <c r="E7202" s="794">
        <v>0.52200000000000002</v>
      </c>
      <c r="F7202" s="795" t="s">
        <v>16</v>
      </c>
      <c r="G7202" s="796" t="s">
        <v>76</v>
      </c>
      <c r="H7202" s="795" t="s">
        <v>2476</v>
      </c>
      <c r="I7202" s="795" t="s">
        <v>2476</v>
      </c>
      <c r="J7202" s="797"/>
      <c r="K7202" s="986"/>
      <c r="L7202" s="795" t="s">
        <v>265</v>
      </c>
      <c r="M7202" s="795">
        <v>510</v>
      </c>
      <c r="N7202" s="502">
        <v>0.41666666666666669</v>
      </c>
      <c r="O7202" s="897" t="s">
        <v>2545</v>
      </c>
      <c r="P7202" s="867" t="s">
        <v>2564</v>
      </c>
    </row>
    <row r="7203" spans="1:18" ht="19.5" thickBot="1" x14ac:dyDescent="0.3">
      <c r="A7203" s="1003"/>
      <c r="B7203" s="841" t="s">
        <v>2471</v>
      </c>
      <c r="C7203" s="842" t="s">
        <v>26</v>
      </c>
      <c r="D7203" s="843">
        <v>3.2</v>
      </c>
      <c r="E7203" s="843">
        <v>2.343</v>
      </c>
      <c r="F7203" s="844" t="s">
        <v>16</v>
      </c>
      <c r="G7203" s="851" t="s">
        <v>76</v>
      </c>
      <c r="H7203" s="844" t="s">
        <v>2476</v>
      </c>
      <c r="I7203" s="844" t="s">
        <v>2476</v>
      </c>
      <c r="J7203" s="845"/>
      <c r="K7203" s="886"/>
      <c r="L7203" s="844" t="s">
        <v>265</v>
      </c>
      <c r="M7203" s="844">
        <v>3225</v>
      </c>
      <c r="N7203" s="846">
        <v>0.41666666666666669</v>
      </c>
      <c r="O7203" s="897" t="s">
        <v>2535</v>
      </c>
      <c r="P7203" s="867" t="s">
        <v>2556</v>
      </c>
    </row>
    <row r="7204" spans="1:18" x14ac:dyDescent="0.25">
      <c r="A7204" s="996">
        <f>MAX(A7038:A7201)+1</f>
        <v>4435</v>
      </c>
      <c r="B7204" s="759" t="s">
        <v>2423</v>
      </c>
      <c r="C7204" s="532" t="s">
        <v>23</v>
      </c>
      <c r="D7204" s="533">
        <v>17.199000000000002</v>
      </c>
      <c r="E7204" s="534">
        <v>15.475</v>
      </c>
      <c r="F7204" s="535" t="s">
        <v>16</v>
      </c>
      <c r="G7204" s="998" t="s">
        <v>1634</v>
      </c>
      <c r="H7204" s="535" t="s">
        <v>2476</v>
      </c>
      <c r="I7204" s="537" t="s">
        <v>2476</v>
      </c>
      <c r="J7204" s="538"/>
      <c r="K7204" s="531"/>
      <c r="L7204" s="535" t="s">
        <v>28</v>
      </c>
      <c r="M7204" s="535">
        <v>17311.98</v>
      </c>
      <c r="N7204" s="539">
        <v>0.45833333333333331</v>
      </c>
      <c r="O7204" s="897" t="s">
        <v>2483</v>
      </c>
      <c r="P7204" s="867" t="s">
        <v>2574</v>
      </c>
    </row>
    <row r="7205" spans="1:18" ht="19.5" thickBot="1" x14ac:dyDescent="0.3">
      <c r="A7205" s="997"/>
      <c r="B7205" s="798" t="s">
        <v>2476</v>
      </c>
      <c r="C7205" s="799" t="s">
        <v>23</v>
      </c>
      <c r="D7205" s="800">
        <v>1.7</v>
      </c>
      <c r="E7205" s="800">
        <v>1.718</v>
      </c>
      <c r="F7205" s="801" t="s">
        <v>16</v>
      </c>
      <c r="G7205" s="999"/>
      <c r="H7205" s="801" t="s">
        <v>2476</v>
      </c>
      <c r="I7205" s="801" t="s">
        <v>2476</v>
      </c>
      <c r="J7205" s="803"/>
      <c r="K7205" s="848"/>
      <c r="L7205" s="801" t="s">
        <v>28</v>
      </c>
      <c r="M7205" s="801">
        <v>1717.56</v>
      </c>
      <c r="N7205" s="804">
        <v>0.45833333333333331</v>
      </c>
      <c r="O7205" s="897" t="s">
        <v>2547</v>
      </c>
      <c r="P7205" s="867" t="s">
        <v>2575</v>
      </c>
    </row>
    <row r="7206" spans="1:18" x14ac:dyDescent="0.25">
      <c r="A7206" s="988">
        <f>MAX(A7039:A7204)+1</f>
        <v>4436</v>
      </c>
      <c r="B7206" s="610" t="s">
        <v>2423</v>
      </c>
      <c r="C7206" s="480" t="s">
        <v>47</v>
      </c>
      <c r="D7206" s="481">
        <v>17.166</v>
      </c>
      <c r="E7206" s="482">
        <v>16.512</v>
      </c>
      <c r="F7206" s="483" t="s">
        <v>16</v>
      </c>
      <c r="G7206" s="1000" t="s">
        <v>1634</v>
      </c>
      <c r="H7206" s="483" t="s">
        <v>2476</v>
      </c>
      <c r="I7206" s="484" t="s">
        <v>2546</v>
      </c>
      <c r="J7206" s="485"/>
      <c r="K7206" s="479"/>
      <c r="L7206" s="483" t="s">
        <v>28</v>
      </c>
      <c r="M7206" s="483">
        <v>17304.93</v>
      </c>
      <c r="N7206" s="486">
        <v>0.5</v>
      </c>
      <c r="O7206" s="897" t="s">
        <v>2484</v>
      </c>
      <c r="P7206" s="867" t="s">
        <v>2580</v>
      </c>
    </row>
    <row r="7207" spans="1:18" ht="19.5" thickBot="1" x14ac:dyDescent="0.3">
      <c r="A7207" s="989"/>
      <c r="B7207" s="805" t="s">
        <v>2476</v>
      </c>
      <c r="C7207" s="806" t="s">
        <v>47</v>
      </c>
      <c r="D7207" s="807">
        <v>0.82</v>
      </c>
      <c r="E7207" s="807">
        <v>0.83099999999999996</v>
      </c>
      <c r="F7207" s="808" t="s">
        <v>16</v>
      </c>
      <c r="G7207" s="1001"/>
      <c r="H7207" s="808" t="s">
        <v>2476</v>
      </c>
      <c r="I7207" s="808" t="s">
        <v>2546</v>
      </c>
      <c r="J7207" s="810"/>
      <c r="K7207" s="887"/>
      <c r="L7207" s="808" t="s">
        <v>28</v>
      </c>
      <c r="M7207" s="808">
        <v>825</v>
      </c>
      <c r="N7207" s="778">
        <v>0.5</v>
      </c>
      <c r="O7207" s="897" t="s">
        <v>2548</v>
      </c>
      <c r="P7207" s="867" t="s">
        <v>2581</v>
      </c>
    </row>
    <row r="7208" spans="1:18" ht="19.5" thickBot="1" x14ac:dyDescent="0.3">
      <c r="A7208" s="503">
        <f>MAX(A7040:A7206)+1</f>
        <v>4437</v>
      </c>
      <c r="B7208" s="636" t="s">
        <v>2423</v>
      </c>
      <c r="C7208" s="637" t="s">
        <v>23</v>
      </c>
      <c r="D7208" s="638">
        <v>12.076000000000001</v>
      </c>
      <c r="E7208" s="639">
        <v>12.076000000000001</v>
      </c>
      <c r="F7208" s="640" t="s">
        <v>30</v>
      </c>
      <c r="G7208" s="641"/>
      <c r="H7208" s="640" t="s">
        <v>2476</v>
      </c>
      <c r="I7208" s="642" t="s">
        <v>2546</v>
      </c>
      <c r="J7208" s="643"/>
      <c r="K7208" s="636"/>
      <c r="L7208" s="640" t="s">
        <v>28</v>
      </c>
      <c r="M7208" s="640">
        <v>12076.199999999999</v>
      </c>
      <c r="N7208" s="644">
        <v>0.41666666666666669</v>
      </c>
      <c r="O7208" s="897" t="s">
        <v>2489</v>
      </c>
      <c r="P7208" s="867" t="s">
        <v>2582</v>
      </c>
    </row>
    <row r="7209" spans="1:18" x14ac:dyDescent="0.25">
      <c r="A7209" s="988">
        <f>MAX(A7041:A7208)+1</f>
        <v>4438</v>
      </c>
      <c r="B7209" s="479" t="s">
        <v>2471</v>
      </c>
      <c r="C7209" s="480" t="s">
        <v>55</v>
      </c>
      <c r="D7209" s="481">
        <v>2.87</v>
      </c>
      <c r="E7209" s="482">
        <v>2.137</v>
      </c>
      <c r="F7209" s="483" t="s">
        <v>16</v>
      </c>
      <c r="G7209" s="549" t="s">
        <v>844</v>
      </c>
      <c r="H7209" s="483" t="s">
        <v>2546</v>
      </c>
      <c r="I7209" s="484" t="s">
        <v>2525</v>
      </c>
      <c r="J7209" s="485"/>
      <c r="K7209" s="479"/>
      <c r="L7209" s="483" t="s">
        <v>266</v>
      </c>
      <c r="M7209" s="483">
        <v>2937.4599999999996</v>
      </c>
      <c r="N7209" s="486">
        <v>0.5</v>
      </c>
      <c r="O7209" s="897" t="s">
        <v>2526</v>
      </c>
      <c r="P7209" s="867" t="s">
        <v>2611</v>
      </c>
    </row>
    <row r="7210" spans="1:18" ht="19.5" thickBot="1" x14ac:dyDescent="0.3">
      <c r="A7210" s="993"/>
      <c r="B7210" s="495" t="s">
        <v>2471</v>
      </c>
      <c r="C7210" s="496" t="s">
        <v>55</v>
      </c>
      <c r="D7210" s="497">
        <v>14.9</v>
      </c>
      <c r="E7210" s="498">
        <v>8.2240000000000002</v>
      </c>
      <c r="F7210" s="499" t="s">
        <v>16</v>
      </c>
      <c r="G7210" s="562" t="s">
        <v>845</v>
      </c>
      <c r="H7210" s="499" t="s">
        <v>2546</v>
      </c>
      <c r="I7210" s="500" t="s">
        <v>2525</v>
      </c>
      <c r="J7210" s="501"/>
      <c r="K7210" s="495"/>
      <c r="L7210" s="499" t="s">
        <v>266</v>
      </c>
      <c r="M7210" s="499">
        <v>15070.84</v>
      </c>
      <c r="N7210" s="502">
        <v>0.5</v>
      </c>
      <c r="O7210" s="897" t="s">
        <v>2527</v>
      </c>
      <c r="P7210" s="867" t="s">
        <v>2612</v>
      </c>
    </row>
    <row r="7211" spans="1:18" ht="19.5" thickBot="1" x14ac:dyDescent="0.3">
      <c r="A7211" s="503">
        <f t="shared" ref="A7211:A7216" si="219">MAX(A7043:A7210)+1</f>
        <v>4439</v>
      </c>
      <c r="B7211" s="504" t="s">
        <v>2476</v>
      </c>
      <c r="C7211" s="505" t="s">
        <v>32</v>
      </c>
      <c r="D7211" s="506">
        <v>18.055</v>
      </c>
      <c r="E7211" s="507">
        <v>17.273</v>
      </c>
      <c r="F7211" s="508" t="s">
        <v>16</v>
      </c>
      <c r="G7211" s="509"/>
      <c r="H7211" s="508" t="s">
        <v>2525</v>
      </c>
      <c r="I7211" s="510" t="s">
        <v>2525</v>
      </c>
      <c r="J7211" s="511"/>
      <c r="K7211" s="504"/>
      <c r="L7211" s="508" t="s">
        <v>266</v>
      </c>
      <c r="M7211" s="508">
        <v>18206.340000000004</v>
      </c>
      <c r="N7211" s="512">
        <v>0.41666666666666669</v>
      </c>
      <c r="O7211" s="897" t="s">
        <v>2549</v>
      </c>
      <c r="P7211" s="867" t="s">
        <v>2610</v>
      </c>
    </row>
    <row r="7212" spans="1:18" ht="19.5" thickBot="1" x14ac:dyDescent="0.3">
      <c r="A7212" s="513">
        <f t="shared" si="219"/>
        <v>4440</v>
      </c>
      <c r="B7212" s="514" t="s">
        <v>2476</v>
      </c>
      <c r="C7212" s="515" t="s">
        <v>32</v>
      </c>
      <c r="D7212" s="516">
        <v>17.968</v>
      </c>
      <c r="E7212" s="517">
        <v>17.437999999999999</v>
      </c>
      <c r="F7212" s="518" t="s">
        <v>16</v>
      </c>
      <c r="G7212" s="519"/>
      <c r="H7212" s="518" t="s">
        <v>2525</v>
      </c>
      <c r="I7212" s="520" t="s">
        <v>2565</v>
      </c>
      <c r="J7212" s="521"/>
      <c r="K7212" s="514"/>
      <c r="L7212" s="518" t="s">
        <v>266</v>
      </c>
      <c r="M7212" s="518">
        <v>18073.95</v>
      </c>
      <c r="N7212" s="522">
        <v>0.45833333333333331</v>
      </c>
      <c r="O7212" s="897" t="s">
        <v>2550</v>
      </c>
      <c r="P7212" s="867" t="s">
        <v>2650</v>
      </c>
      <c r="Q7212" s="847">
        <v>17439</v>
      </c>
      <c r="R7212" s="833" t="s">
        <v>2615</v>
      </c>
    </row>
    <row r="7213" spans="1:18" ht="19.5" thickBot="1" x14ac:dyDescent="0.3">
      <c r="A7213" s="503">
        <f t="shared" si="219"/>
        <v>4441</v>
      </c>
      <c r="B7213" s="504" t="s">
        <v>2476</v>
      </c>
      <c r="C7213" s="505" t="s">
        <v>32</v>
      </c>
      <c r="D7213" s="506">
        <v>18.05</v>
      </c>
      <c r="E7213" s="507"/>
      <c r="F7213" s="508" t="s">
        <v>16</v>
      </c>
      <c r="G7213" s="509"/>
      <c r="H7213" s="508" t="s">
        <v>2525</v>
      </c>
      <c r="I7213" s="510"/>
      <c r="J7213" s="511"/>
      <c r="K7213" s="504"/>
      <c r="L7213" s="508" t="s">
        <v>266</v>
      </c>
      <c r="M7213" s="508">
        <v>18103.2</v>
      </c>
      <c r="N7213" s="512">
        <v>0.5</v>
      </c>
      <c r="O7213" s="897" t="s">
        <v>2552</v>
      </c>
    </row>
    <row r="7214" spans="1:18" ht="19.5" thickBot="1" x14ac:dyDescent="0.3">
      <c r="A7214" s="513">
        <f t="shared" si="219"/>
        <v>4442</v>
      </c>
      <c r="B7214" s="514" t="s">
        <v>2476</v>
      </c>
      <c r="C7214" s="515" t="s">
        <v>32</v>
      </c>
      <c r="D7214" s="516">
        <v>17.600000000000001</v>
      </c>
      <c r="E7214" s="517"/>
      <c r="F7214" s="518" t="s">
        <v>16</v>
      </c>
      <c r="G7214" s="519" t="s">
        <v>2299</v>
      </c>
      <c r="H7214" s="518" t="s">
        <v>2525</v>
      </c>
      <c r="I7214" s="520"/>
      <c r="J7214" s="521"/>
      <c r="K7214" s="514"/>
      <c r="L7214" s="518" t="s">
        <v>266</v>
      </c>
      <c r="M7214" s="518">
        <v>17604.599999999999</v>
      </c>
      <c r="N7214" s="522">
        <v>0.54166666666666663</v>
      </c>
      <c r="O7214" s="897" t="s">
        <v>2551</v>
      </c>
      <c r="P7214" s="867" t="s">
        <v>2413</v>
      </c>
    </row>
    <row r="7215" spans="1:18" ht="19.5" thickBot="1" x14ac:dyDescent="0.3">
      <c r="A7215" s="551">
        <f t="shared" si="219"/>
        <v>4443</v>
      </c>
      <c r="B7215" s="552" t="s">
        <v>2476</v>
      </c>
      <c r="C7215" s="553" t="s">
        <v>848</v>
      </c>
      <c r="D7215" s="554">
        <v>18.02</v>
      </c>
      <c r="E7215" s="555">
        <v>17.952000000000002</v>
      </c>
      <c r="F7215" s="556" t="s">
        <v>16</v>
      </c>
      <c r="G7215" s="557"/>
      <c r="H7215" s="556" t="s">
        <v>2525</v>
      </c>
      <c r="I7215" s="558" t="s">
        <v>2565</v>
      </c>
      <c r="J7215" s="559"/>
      <c r="K7215" s="552"/>
      <c r="L7215" s="556" t="s">
        <v>266</v>
      </c>
      <c r="M7215" s="556">
        <v>18066.18</v>
      </c>
      <c r="N7215" s="560">
        <v>0.58333333333333337</v>
      </c>
      <c r="O7215" s="897" t="s">
        <v>2553</v>
      </c>
      <c r="P7215" s="867" t="s">
        <v>2649</v>
      </c>
      <c r="Q7215" s="847">
        <v>17952</v>
      </c>
      <c r="R7215" s="833" t="s">
        <v>2615</v>
      </c>
    </row>
    <row r="7216" spans="1:18" x14ac:dyDescent="0.25">
      <c r="A7216" s="1002">
        <f t="shared" si="219"/>
        <v>4444</v>
      </c>
      <c r="B7216" s="610" t="s">
        <v>2546</v>
      </c>
      <c r="C7216" s="480" t="s">
        <v>26</v>
      </c>
      <c r="D7216" s="481">
        <v>17.861999999999998</v>
      </c>
      <c r="E7216" s="482">
        <f>16.177+0.324+0.245</f>
        <v>16.746000000000002</v>
      </c>
      <c r="F7216" s="483" t="s">
        <v>16</v>
      </c>
      <c r="G7216" s="549"/>
      <c r="H7216" s="483" t="s">
        <v>2565</v>
      </c>
      <c r="I7216" s="484" t="s">
        <v>2565</v>
      </c>
      <c r="J7216" s="485"/>
      <c r="K7216" s="479"/>
      <c r="L7216" s="483" t="s">
        <v>265</v>
      </c>
      <c r="M7216" s="483">
        <v>18021.300000000003</v>
      </c>
      <c r="N7216" s="486">
        <v>0.375</v>
      </c>
      <c r="O7216" s="897" t="s">
        <v>2566</v>
      </c>
      <c r="P7216" s="867" t="s">
        <v>2643</v>
      </c>
      <c r="Q7216" s="847" t="s">
        <v>2644</v>
      </c>
      <c r="R7216" s="847" t="s">
        <v>2645</v>
      </c>
    </row>
    <row r="7217" spans="1:20" ht="19.5" thickBot="1" x14ac:dyDescent="0.3">
      <c r="A7217" s="1004"/>
      <c r="B7217" s="805" t="s">
        <v>2565</v>
      </c>
      <c r="C7217" s="806" t="s">
        <v>26</v>
      </c>
      <c r="D7217" s="807">
        <v>3</v>
      </c>
      <c r="E7217" s="807">
        <v>0.71799999999999997</v>
      </c>
      <c r="F7217" s="808" t="s">
        <v>16</v>
      </c>
      <c r="G7217" s="809" t="s">
        <v>76</v>
      </c>
      <c r="H7217" s="808" t="s">
        <v>2565</v>
      </c>
      <c r="I7217" s="808" t="s">
        <v>2565</v>
      </c>
      <c r="J7217" s="810"/>
      <c r="K7217" s="887"/>
      <c r="L7217" s="808" t="s">
        <v>265</v>
      </c>
      <c r="M7217" s="808">
        <v>3030</v>
      </c>
      <c r="N7217" s="778">
        <v>0.375</v>
      </c>
      <c r="O7217" s="897" t="s">
        <v>2638</v>
      </c>
      <c r="P7217" s="867" t="s">
        <v>2642</v>
      </c>
    </row>
    <row r="7218" spans="1:20" x14ac:dyDescent="0.25">
      <c r="A7218" s="994">
        <f>MAX(A7049:A7216)+1</f>
        <v>4445</v>
      </c>
      <c r="B7218" s="760" t="s">
        <v>2546</v>
      </c>
      <c r="C7218" s="564" t="s">
        <v>26</v>
      </c>
      <c r="D7218" s="565">
        <v>18.989000000000001</v>
      </c>
      <c r="E7218" s="566">
        <f>14.717+0.675</f>
        <v>15.392000000000001</v>
      </c>
      <c r="F7218" s="567" t="s">
        <v>16</v>
      </c>
      <c r="G7218" s="568"/>
      <c r="H7218" s="567" t="s">
        <v>2565</v>
      </c>
      <c r="I7218" s="569" t="s">
        <v>2565</v>
      </c>
      <c r="J7218" s="570"/>
      <c r="K7218" s="563"/>
      <c r="L7218" s="567" t="s">
        <v>265</v>
      </c>
      <c r="M7218" s="567">
        <v>19042.120000000003</v>
      </c>
      <c r="N7218" s="571">
        <v>0.41666666666666669</v>
      </c>
      <c r="O7218" s="897" t="s">
        <v>2567</v>
      </c>
      <c r="P7218" s="867" t="s">
        <v>2646</v>
      </c>
      <c r="Q7218" s="847" t="s">
        <v>2648</v>
      </c>
      <c r="T7218" s="833"/>
    </row>
    <row r="7219" spans="1:20" ht="19.5" thickBot="1" x14ac:dyDescent="0.3">
      <c r="A7219" s="995"/>
      <c r="B7219" s="798" t="s">
        <v>2525</v>
      </c>
      <c r="C7219" s="799" t="s">
        <v>26</v>
      </c>
      <c r="D7219" s="800">
        <v>2.5499999999999998</v>
      </c>
      <c r="E7219" s="800">
        <v>1.869</v>
      </c>
      <c r="F7219" s="801" t="s">
        <v>16</v>
      </c>
      <c r="G7219" s="802" t="s">
        <v>76</v>
      </c>
      <c r="H7219" s="801" t="s">
        <v>2565</v>
      </c>
      <c r="I7219" s="801" t="s">
        <v>2565</v>
      </c>
      <c r="J7219" s="803"/>
      <c r="K7219" s="848"/>
      <c r="L7219" s="801" t="s">
        <v>265</v>
      </c>
      <c r="M7219" s="801">
        <v>2551.5</v>
      </c>
      <c r="N7219" s="804">
        <v>0.41666666666666669</v>
      </c>
      <c r="O7219" s="897" t="s">
        <v>2584</v>
      </c>
      <c r="P7219" s="867" t="s">
        <v>2647</v>
      </c>
    </row>
    <row r="7220" spans="1:20" ht="19.5" thickBot="1" x14ac:dyDescent="0.3">
      <c r="A7220" s="513">
        <f>MAX(A7050:A7218)+1</f>
        <v>4446</v>
      </c>
      <c r="B7220" s="514" t="s">
        <v>2546</v>
      </c>
      <c r="C7220" s="515" t="s">
        <v>47</v>
      </c>
      <c r="D7220" s="516">
        <v>13.638</v>
      </c>
      <c r="E7220" s="517"/>
      <c r="F7220" s="518" t="s">
        <v>30</v>
      </c>
      <c r="G7220" s="519"/>
      <c r="H7220" s="518" t="s">
        <v>2565</v>
      </c>
      <c r="I7220" s="520"/>
      <c r="J7220" s="521"/>
      <c r="K7220" s="514"/>
      <c r="L7220" s="518" t="s">
        <v>28</v>
      </c>
      <c r="M7220" s="518">
        <v>13638.64</v>
      </c>
      <c r="N7220" s="522">
        <v>0.41666666666666669</v>
      </c>
      <c r="O7220" s="897" t="s">
        <v>2569</v>
      </c>
    </row>
    <row r="7221" spans="1:20" x14ac:dyDescent="0.25">
      <c r="A7221" s="994">
        <f t="shared" ref="A7221" si="220">MAX(A7051:A7220)+1</f>
        <v>4447</v>
      </c>
      <c r="B7221" s="760" t="s">
        <v>2546</v>
      </c>
      <c r="C7221" s="564" t="s">
        <v>26</v>
      </c>
      <c r="D7221" s="565">
        <v>20.817</v>
      </c>
      <c r="E7221" s="566"/>
      <c r="F7221" s="567" t="s">
        <v>16</v>
      </c>
      <c r="G7221" s="568"/>
      <c r="H7221" s="567" t="s">
        <v>2568</v>
      </c>
      <c r="I7221" s="569"/>
      <c r="J7221" s="570"/>
      <c r="K7221" s="563"/>
      <c r="L7221" s="567" t="s">
        <v>265</v>
      </c>
      <c r="M7221" s="567">
        <v>21025.500000000004</v>
      </c>
      <c r="N7221" s="571">
        <v>0.375</v>
      </c>
      <c r="O7221" s="897" t="s">
        <v>2570</v>
      </c>
      <c r="P7221" s="867" t="s">
        <v>2619</v>
      </c>
    </row>
    <row r="7222" spans="1:20" ht="19.5" thickBot="1" x14ac:dyDescent="0.3">
      <c r="A7222" s="995"/>
      <c r="B7222" s="798" t="s">
        <v>2587</v>
      </c>
      <c r="C7222" s="799" t="s">
        <v>26</v>
      </c>
      <c r="D7222" s="800">
        <v>0.5</v>
      </c>
      <c r="E7222" s="800"/>
      <c r="F7222" s="801" t="s">
        <v>16</v>
      </c>
      <c r="G7222" s="802"/>
      <c r="H7222" s="801" t="s">
        <v>2568</v>
      </c>
      <c r="I7222" s="801"/>
      <c r="J7222" s="803"/>
      <c r="K7222" s="848"/>
      <c r="L7222" s="801" t="s">
        <v>265</v>
      </c>
      <c r="M7222" s="801">
        <v>510</v>
      </c>
      <c r="N7222" s="804">
        <v>0.375</v>
      </c>
      <c r="O7222" s="897" t="s">
        <v>2652</v>
      </c>
    </row>
    <row r="7223" spans="1:20" x14ac:dyDescent="0.25">
      <c r="A7223" s="1002">
        <f>MAX(A7052:A7221)+1</f>
        <v>4448</v>
      </c>
      <c r="B7223" s="610" t="s">
        <v>2546</v>
      </c>
      <c r="C7223" s="480" t="s">
        <v>24</v>
      </c>
      <c r="D7223" s="481">
        <v>17.606999999999999</v>
      </c>
      <c r="E7223" s="482"/>
      <c r="F7223" s="483" t="s">
        <v>16</v>
      </c>
      <c r="G7223" s="549"/>
      <c r="H7223" s="483" t="s">
        <v>2568</v>
      </c>
      <c r="I7223" s="484"/>
      <c r="J7223" s="485"/>
      <c r="K7223" s="479"/>
      <c r="L7223" s="483" t="s">
        <v>28</v>
      </c>
      <c r="M7223" s="483">
        <v>17783.120000000003</v>
      </c>
      <c r="N7223" s="486">
        <v>0.41666666666666669</v>
      </c>
      <c r="O7223" s="897" t="s">
        <v>2571</v>
      </c>
      <c r="P7223" s="867">
        <v>6311080</v>
      </c>
      <c r="R7223" s="833" t="s">
        <v>2620</v>
      </c>
      <c r="S7223" s="2">
        <v>6311970</v>
      </c>
    </row>
    <row r="7224" spans="1:20" ht="19.5" thickBot="1" x14ac:dyDescent="0.3">
      <c r="A7224" s="1004"/>
      <c r="B7224" s="805" t="s">
        <v>2568</v>
      </c>
      <c r="C7224" s="806" t="s">
        <v>24</v>
      </c>
      <c r="D7224" s="807">
        <v>0.67</v>
      </c>
      <c r="E7224" s="807"/>
      <c r="F7224" s="808" t="s">
        <v>16</v>
      </c>
      <c r="G7224" s="809"/>
      <c r="H7224" s="808" t="s">
        <v>2568</v>
      </c>
      <c r="I7224" s="808"/>
      <c r="J7224" s="810"/>
      <c r="K7224" s="887"/>
      <c r="L7224" s="808" t="s">
        <v>28</v>
      </c>
      <c r="M7224" s="808">
        <v>675</v>
      </c>
      <c r="N7224" s="778">
        <v>0.41666666666666669</v>
      </c>
      <c r="O7224" s="897" t="s">
        <v>2639</v>
      </c>
    </row>
    <row r="7225" spans="1:20" x14ac:dyDescent="0.25">
      <c r="A7225" s="994">
        <f>MAX(A7053:A7223)+1</f>
        <v>4449</v>
      </c>
      <c r="B7225" s="760" t="s">
        <v>2546</v>
      </c>
      <c r="C7225" s="564" t="s">
        <v>23</v>
      </c>
      <c r="D7225" s="565">
        <v>17.388999999999999</v>
      </c>
      <c r="E7225" s="566"/>
      <c r="F7225" s="567" t="s">
        <v>16</v>
      </c>
      <c r="G7225" s="568"/>
      <c r="H7225" s="567" t="s">
        <v>2568</v>
      </c>
      <c r="I7225" s="569"/>
      <c r="J7225" s="570"/>
      <c r="K7225" s="563"/>
      <c r="L7225" s="567" t="s">
        <v>28</v>
      </c>
      <c r="M7225" s="567">
        <v>17540.11</v>
      </c>
      <c r="N7225" s="571">
        <v>0.45833333333333331</v>
      </c>
      <c r="O7225" s="897" t="s">
        <v>2572</v>
      </c>
      <c r="P7225" s="867">
        <v>6311079</v>
      </c>
      <c r="Q7225" s="847">
        <v>16682</v>
      </c>
      <c r="R7225" s="833" t="s">
        <v>2615</v>
      </c>
    </row>
    <row r="7226" spans="1:20" ht="19.5" thickBot="1" x14ac:dyDescent="0.3">
      <c r="A7226" s="995"/>
      <c r="B7226" s="798" t="s">
        <v>2568</v>
      </c>
      <c r="C7226" s="799" t="s">
        <v>23</v>
      </c>
      <c r="D7226" s="800">
        <v>0.79</v>
      </c>
      <c r="E7226" s="800"/>
      <c r="F7226" s="801" t="s">
        <v>16</v>
      </c>
      <c r="G7226" s="802"/>
      <c r="H7226" s="801" t="s">
        <v>2568</v>
      </c>
      <c r="I7226" s="801"/>
      <c r="J7226" s="803"/>
      <c r="K7226" s="848"/>
      <c r="L7226" s="801" t="s">
        <v>28</v>
      </c>
      <c r="M7226" s="801">
        <v>795</v>
      </c>
      <c r="N7226" s="804">
        <v>0.45833333333333331</v>
      </c>
      <c r="O7226" s="897" t="s">
        <v>2640</v>
      </c>
      <c r="Q7226" s="847">
        <v>797</v>
      </c>
      <c r="R7226" s="833" t="s">
        <v>2615</v>
      </c>
    </row>
    <row r="7227" spans="1:20" x14ac:dyDescent="0.25">
      <c r="A7227" s="1002">
        <f>MAX(A7054:A7225)+1</f>
        <v>4450</v>
      </c>
      <c r="B7227" s="610" t="s">
        <v>2546</v>
      </c>
      <c r="C7227" s="480" t="s">
        <v>47</v>
      </c>
      <c r="D7227" s="481">
        <v>17.614999999999998</v>
      </c>
      <c r="E7227" s="482"/>
      <c r="F7227" s="483" t="s">
        <v>16</v>
      </c>
      <c r="G7227" s="549"/>
      <c r="H7227" s="483" t="s">
        <v>2568</v>
      </c>
      <c r="I7227" s="484"/>
      <c r="J7227" s="485"/>
      <c r="K7227" s="479"/>
      <c r="L7227" s="483" t="s">
        <v>28</v>
      </c>
      <c r="M7227" s="483">
        <v>17846.140000000003</v>
      </c>
      <c r="N7227" s="486">
        <v>0.5</v>
      </c>
      <c r="O7227" s="897" t="s">
        <v>2573</v>
      </c>
      <c r="P7227" s="867">
        <v>6311078</v>
      </c>
      <c r="Q7227" s="847">
        <v>17050</v>
      </c>
      <c r="R7227" s="833" t="s">
        <v>2615</v>
      </c>
    </row>
    <row r="7228" spans="1:20" ht="19.5" thickBot="1" x14ac:dyDescent="0.3">
      <c r="A7228" s="1004"/>
      <c r="B7228" s="805" t="s">
        <v>2568</v>
      </c>
      <c r="C7228" s="806" t="s">
        <v>47</v>
      </c>
      <c r="D7228" s="807">
        <v>0.8</v>
      </c>
      <c r="E7228" s="807"/>
      <c r="F7228" s="808" t="s">
        <v>16</v>
      </c>
      <c r="G7228" s="809"/>
      <c r="H7228" s="808" t="s">
        <v>2568</v>
      </c>
      <c r="I7228" s="808"/>
      <c r="J7228" s="810"/>
      <c r="K7228" s="887"/>
      <c r="L7228" s="808" t="s">
        <v>28</v>
      </c>
      <c r="M7228" s="808">
        <v>810</v>
      </c>
      <c r="N7228" s="778">
        <v>0.5</v>
      </c>
      <c r="O7228" s="897" t="s">
        <v>2641</v>
      </c>
      <c r="Q7228" s="847">
        <v>809</v>
      </c>
      <c r="R7228" s="833" t="s">
        <v>2615</v>
      </c>
    </row>
    <row r="7229" spans="1:20" ht="19.5" thickBot="1" x14ac:dyDescent="0.3">
      <c r="A7229" s="503">
        <f>MAX(A7055:A7227)+1</f>
        <v>4451</v>
      </c>
      <c r="B7229" s="504" t="s">
        <v>2525</v>
      </c>
      <c r="C7229" s="505" t="s">
        <v>26</v>
      </c>
      <c r="D7229" s="506">
        <v>15.326000000000001</v>
      </c>
      <c r="E7229" s="507"/>
      <c r="F7229" s="508" t="s">
        <v>30</v>
      </c>
      <c r="G7229" s="509"/>
      <c r="H7229" s="508" t="s">
        <v>2568</v>
      </c>
      <c r="I7229" s="510"/>
      <c r="J7229" s="511"/>
      <c r="K7229" s="504"/>
      <c r="L7229" s="508" t="s">
        <v>265</v>
      </c>
      <c r="M7229" s="508">
        <v>15326.64</v>
      </c>
      <c r="N7229" s="512">
        <v>0.375</v>
      </c>
      <c r="O7229" s="897" t="s">
        <v>2585</v>
      </c>
      <c r="Q7229" s="847">
        <v>15327</v>
      </c>
      <c r="R7229" s="833" t="s">
        <v>2615</v>
      </c>
    </row>
    <row r="7230" spans="1:20" x14ac:dyDescent="0.25">
      <c r="A7230" s="988">
        <f>MAX(A7056:A7229)+1</f>
        <v>4452</v>
      </c>
      <c r="B7230" s="479" t="s">
        <v>2525</v>
      </c>
      <c r="C7230" s="480" t="s">
        <v>1382</v>
      </c>
      <c r="D7230" s="481">
        <v>12.715</v>
      </c>
      <c r="E7230" s="482"/>
      <c r="F7230" s="483" t="s">
        <v>16</v>
      </c>
      <c r="G7230" s="549"/>
      <c r="H7230" s="483" t="s">
        <v>2568</v>
      </c>
      <c r="I7230" s="484"/>
      <c r="J7230" s="485"/>
      <c r="K7230" s="479"/>
      <c r="L7230" s="483" t="s">
        <v>266</v>
      </c>
      <c r="M7230" s="483">
        <v>12825.84</v>
      </c>
      <c r="N7230" s="486">
        <v>0.54166666666666663</v>
      </c>
      <c r="O7230" s="897" t="s">
        <v>2591</v>
      </c>
    </row>
    <row r="7231" spans="1:20" ht="19.5" thickBot="1" x14ac:dyDescent="0.3">
      <c r="A7231" s="989"/>
      <c r="B7231" s="645" t="s">
        <v>2525</v>
      </c>
      <c r="C7231" s="646" t="s">
        <v>981</v>
      </c>
      <c r="D7231" s="647">
        <v>4.2160000000000002</v>
      </c>
      <c r="E7231" s="648"/>
      <c r="F7231" s="649" t="s">
        <v>16</v>
      </c>
      <c r="G7231" s="650"/>
      <c r="H7231" s="649" t="s">
        <v>2568</v>
      </c>
      <c r="I7231" s="651"/>
      <c r="J7231" s="652"/>
      <c r="K7231" s="645"/>
      <c r="L7231" s="649" t="s">
        <v>266</v>
      </c>
      <c r="M7231" s="649">
        <v>4217.8600000000006</v>
      </c>
      <c r="N7231" s="653">
        <v>0.54166666666666663</v>
      </c>
      <c r="O7231" s="897" t="s">
        <v>2592</v>
      </c>
    </row>
    <row r="7232" spans="1:20" x14ac:dyDescent="0.25">
      <c r="A7232" s="990">
        <f>MAX(A7058:A7231)+1</f>
        <v>4453</v>
      </c>
      <c r="B7232" s="531" t="s">
        <v>2525</v>
      </c>
      <c r="C7232" s="532" t="s">
        <v>41</v>
      </c>
      <c r="D7232" s="533">
        <v>3.7850000000000001</v>
      </c>
      <c r="E7232" s="534"/>
      <c r="F7232" s="535" t="s">
        <v>16</v>
      </c>
      <c r="G7232" s="536"/>
      <c r="H7232" s="535" t="s">
        <v>2568</v>
      </c>
      <c r="I7232" s="537"/>
      <c r="J7232" s="538"/>
      <c r="K7232" s="531"/>
      <c r="L7232" s="535" t="s">
        <v>266</v>
      </c>
      <c r="M7232" s="535">
        <v>3859.44</v>
      </c>
      <c r="N7232" s="539">
        <v>0.58333333333333337</v>
      </c>
      <c r="O7232" s="897" t="s">
        <v>2595</v>
      </c>
    </row>
    <row r="7233" spans="1:17" x14ac:dyDescent="0.25">
      <c r="A7233" s="992"/>
      <c r="B7233" s="563" t="s">
        <v>2525</v>
      </c>
      <c r="C7233" s="564" t="s">
        <v>480</v>
      </c>
      <c r="D7233" s="565">
        <v>9.3000000000000007</v>
      </c>
      <c r="E7233" s="566"/>
      <c r="F7233" s="567" t="s">
        <v>16</v>
      </c>
      <c r="G7233" s="568"/>
      <c r="H7233" s="567" t="s">
        <v>2568</v>
      </c>
      <c r="I7233" s="569"/>
      <c r="J7233" s="570"/>
      <c r="K7233" s="563"/>
      <c r="L7233" s="567" t="s">
        <v>266</v>
      </c>
      <c r="M7233" s="567">
        <v>9427.0800000000017</v>
      </c>
      <c r="N7233" s="571">
        <v>0.58333333333333337</v>
      </c>
      <c r="O7233" s="897" t="s">
        <v>2593</v>
      </c>
    </row>
    <row r="7234" spans="1:17" ht="19.5" thickBot="1" x14ac:dyDescent="0.3">
      <c r="A7234" s="991"/>
      <c r="B7234" s="636" t="s">
        <v>2525</v>
      </c>
      <c r="C7234" s="637" t="s">
        <v>32</v>
      </c>
      <c r="D7234" s="638">
        <v>1.657</v>
      </c>
      <c r="E7234" s="639"/>
      <c r="F7234" s="640" t="s">
        <v>16</v>
      </c>
      <c r="G7234" s="641" t="s">
        <v>1702</v>
      </c>
      <c r="H7234" s="640" t="s">
        <v>2568</v>
      </c>
      <c r="I7234" s="642"/>
      <c r="J7234" s="643"/>
      <c r="K7234" s="636"/>
      <c r="L7234" s="640" t="s">
        <v>266</v>
      </c>
      <c r="M7234" s="640">
        <v>1657</v>
      </c>
      <c r="N7234" s="644">
        <v>0.58333333333333337</v>
      </c>
      <c r="O7234" s="897" t="s">
        <v>2594</v>
      </c>
    </row>
    <row r="7235" spans="1:17" ht="56.25" x14ac:dyDescent="0.25">
      <c r="A7235" s="988">
        <f>MAX(A7061:A7234)+1</f>
        <v>4454</v>
      </c>
      <c r="B7235" s="479" t="s">
        <v>2525</v>
      </c>
      <c r="C7235" s="480" t="s">
        <v>840</v>
      </c>
      <c r="D7235" s="481">
        <v>15.624000000000001</v>
      </c>
      <c r="E7235" s="482"/>
      <c r="F7235" s="483" t="s">
        <v>16</v>
      </c>
      <c r="G7235" s="987" t="s">
        <v>2613</v>
      </c>
      <c r="H7235" s="483" t="s">
        <v>2568</v>
      </c>
      <c r="I7235" s="484"/>
      <c r="J7235" s="485"/>
      <c r="K7235" s="479"/>
      <c r="L7235" s="483" t="s">
        <v>266</v>
      </c>
      <c r="M7235" s="483">
        <v>15748.080000000004</v>
      </c>
      <c r="N7235" s="486">
        <v>0.625</v>
      </c>
      <c r="O7235" s="897" t="s">
        <v>2607</v>
      </c>
    </row>
    <row r="7236" spans="1:17" ht="19.5" thickBot="1" x14ac:dyDescent="0.3">
      <c r="A7236" s="989"/>
      <c r="B7236" s="645" t="s">
        <v>2525</v>
      </c>
      <c r="C7236" s="646" t="s">
        <v>840</v>
      </c>
      <c r="D7236" s="647">
        <v>4.5</v>
      </c>
      <c r="E7236" s="648"/>
      <c r="F7236" s="649" t="s">
        <v>16</v>
      </c>
      <c r="G7236" s="650" t="s">
        <v>2299</v>
      </c>
      <c r="H7236" s="649" t="s">
        <v>2568</v>
      </c>
      <c r="I7236" s="651"/>
      <c r="J7236" s="652"/>
      <c r="K7236" s="645"/>
      <c r="L7236" s="649" t="s">
        <v>266</v>
      </c>
      <c r="M7236" s="649">
        <v>4500</v>
      </c>
      <c r="N7236" s="653">
        <v>0.625</v>
      </c>
      <c r="O7236" s="897" t="s">
        <v>2608</v>
      </c>
    </row>
    <row r="7237" spans="1:17" x14ac:dyDescent="0.25">
      <c r="A7237" s="990">
        <f>MAX(A7063:A7236)+1</f>
        <v>4455</v>
      </c>
      <c r="B7237" s="531" t="s">
        <v>2525</v>
      </c>
      <c r="C7237" s="532" t="s">
        <v>41</v>
      </c>
      <c r="D7237" s="533">
        <v>2</v>
      </c>
      <c r="E7237" s="534"/>
      <c r="F7237" s="535" t="s">
        <v>16</v>
      </c>
      <c r="G7237" s="536" t="s">
        <v>2299</v>
      </c>
      <c r="H7237" s="535" t="s">
        <v>2568</v>
      </c>
      <c r="I7237" s="537"/>
      <c r="J7237" s="538"/>
      <c r="K7237" s="531"/>
      <c r="L7237" s="535" t="s">
        <v>266</v>
      </c>
      <c r="M7237" s="535">
        <v>2004.6</v>
      </c>
      <c r="N7237" s="539">
        <v>0.66666666666666663</v>
      </c>
      <c r="O7237" s="897" t="s">
        <v>2604</v>
      </c>
      <c r="P7237" s="867" t="s">
        <v>2413</v>
      </c>
    </row>
    <row r="7238" spans="1:17" x14ac:dyDescent="0.25">
      <c r="A7238" s="992"/>
      <c r="B7238" s="563" t="s">
        <v>2525</v>
      </c>
      <c r="C7238" s="564" t="s">
        <v>1382</v>
      </c>
      <c r="D7238" s="565">
        <v>4</v>
      </c>
      <c r="E7238" s="566"/>
      <c r="F7238" s="567" t="s">
        <v>16</v>
      </c>
      <c r="G7238" s="568" t="s">
        <v>2299</v>
      </c>
      <c r="H7238" s="567" t="s">
        <v>2568</v>
      </c>
      <c r="I7238" s="569"/>
      <c r="J7238" s="570"/>
      <c r="K7238" s="563"/>
      <c r="L7238" s="567" t="s">
        <v>266</v>
      </c>
      <c r="M7238" s="567">
        <v>4005</v>
      </c>
      <c r="N7238" s="571">
        <v>0.66666666666666663</v>
      </c>
      <c r="O7238" s="897" t="s">
        <v>2602</v>
      </c>
    </row>
    <row r="7239" spans="1:17" x14ac:dyDescent="0.25">
      <c r="A7239" s="992"/>
      <c r="B7239" s="563" t="s">
        <v>2525</v>
      </c>
      <c r="C7239" s="564" t="s">
        <v>480</v>
      </c>
      <c r="D7239" s="565">
        <v>1</v>
      </c>
      <c r="E7239" s="566"/>
      <c r="F7239" s="567" t="s">
        <v>16</v>
      </c>
      <c r="G7239" s="568" t="s">
        <v>2299</v>
      </c>
      <c r="H7239" s="567" t="s">
        <v>2568</v>
      </c>
      <c r="I7239" s="569"/>
      <c r="J7239" s="570"/>
      <c r="K7239" s="563"/>
      <c r="L7239" s="567" t="s">
        <v>266</v>
      </c>
      <c r="M7239" s="567">
        <v>1008</v>
      </c>
      <c r="N7239" s="571">
        <v>0.66666666666666663</v>
      </c>
      <c r="O7239" s="897" t="s">
        <v>2603</v>
      </c>
    </row>
    <row r="7240" spans="1:17" x14ac:dyDescent="0.25">
      <c r="A7240" s="992"/>
      <c r="B7240" s="563" t="s">
        <v>2525</v>
      </c>
      <c r="C7240" s="564" t="s">
        <v>981</v>
      </c>
      <c r="D7240" s="565">
        <v>0.998</v>
      </c>
      <c r="E7240" s="566"/>
      <c r="F7240" s="567" t="s">
        <v>16</v>
      </c>
      <c r="G7240" s="568" t="s">
        <v>2299</v>
      </c>
      <c r="H7240" s="567" t="s">
        <v>2568</v>
      </c>
      <c r="I7240" s="569"/>
      <c r="J7240" s="570"/>
      <c r="K7240" s="563"/>
      <c r="L7240" s="567" t="s">
        <v>266</v>
      </c>
      <c r="M7240" s="567">
        <v>998.4</v>
      </c>
      <c r="N7240" s="571">
        <v>0.66666666666666663</v>
      </c>
      <c r="O7240" s="897" t="s">
        <v>2606</v>
      </c>
      <c r="P7240" s="867" t="s">
        <v>2413</v>
      </c>
    </row>
    <row r="7241" spans="1:17" ht="19.5" thickBot="1" x14ac:dyDescent="0.3">
      <c r="A7241" s="991"/>
      <c r="B7241" s="636" t="s">
        <v>2525</v>
      </c>
      <c r="C7241" s="637" t="s">
        <v>32</v>
      </c>
      <c r="D7241" s="638">
        <v>2.496</v>
      </c>
      <c r="E7241" s="639"/>
      <c r="F7241" s="640" t="s">
        <v>16</v>
      </c>
      <c r="G7241" s="641" t="s">
        <v>2586</v>
      </c>
      <c r="H7241" s="640" t="s">
        <v>2568</v>
      </c>
      <c r="I7241" s="642"/>
      <c r="J7241" s="643"/>
      <c r="K7241" s="636"/>
      <c r="L7241" s="640" t="s">
        <v>266</v>
      </c>
      <c r="M7241" s="640">
        <v>2496</v>
      </c>
      <c r="N7241" s="644">
        <v>0.66666666666666663</v>
      </c>
      <c r="O7241" s="897" t="s">
        <v>2605</v>
      </c>
      <c r="P7241" s="867" t="s">
        <v>2413</v>
      </c>
    </row>
    <row r="7242" spans="1:17" ht="19.5" thickBot="1" x14ac:dyDescent="0.3">
      <c r="A7242" s="513">
        <f>MAX(A7068:A7241)+1</f>
        <v>4456</v>
      </c>
      <c r="B7242" s="514" t="s">
        <v>2525</v>
      </c>
      <c r="C7242" s="515" t="s">
        <v>26</v>
      </c>
      <c r="D7242" s="516">
        <v>17.407</v>
      </c>
      <c r="E7242" s="517"/>
      <c r="F7242" s="518" t="s">
        <v>16</v>
      </c>
      <c r="G7242" s="519"/>
      <c r="H7242" s="518" t="s">
        <v>2587</v>
      </c>
      <c r="I7242" s="520"/>
      <c r="J7242" s="521"/>
      <c r="K7242" s="514"/>
      <c r="L7242" s="518" t="s">
        <v>265</v>
      </c>
      <c r="M7242" s="518">
        <v>17582.64</v>
      </c>
      <c r="N7242" s="522">
        <v>4.1666666666666664E-2</v>
      </c>
      <c r="O7242" s="897" t="s">
        <v>2588</v>
      </c>
    </row>
    <row r="7243" spans="1:17" x14ac:dyDescent="0.25">
      <c r="A7243" s="990">
        <f>MAX(A7069:A7242)+1</f>
        <v>4457</v>
      </c>
      <c r="B7243" s="531" t="s">
        <v>2525</v>
      </c>
      <c r="C7243" s="532" t="s">
        <v>26</v>
      </c>
      <c r="D7243" s="533">
        <v>15.430999999999999</v>
      </c>
      <c r="E7243" s="534"/>
      <c r="F7243" s="535" t="s">
        <v>16</v>
      </c>
      <c r="G7243" s="536"/>
      <c r="H7243" s="535" t="s">
        <v>2587</v>
      </c>
      <c r="I7243" s="537"/>
      <c r="J7243" s="538"/>
      <c r="K7243" s="531"/>
      <c r="L7243" s="535" t="s">
        <v>265</v>
      </c>
      <c r="M7243" s="535">
        <v>15567.38</v>
      </c>
      <c r="N7243" s="539">
        <v>8.3333333333333329E-2</v>
      </c>
      <c r="O7243" s="897" t="s">
        <v>2589</v>
      </c>
    </row>
    <row r="7244" spans="1:17" ht="19.5" thickBot="1" x14ac:dyDescent="0.3">
      <c r="A7244" s="991"/>
      <c r="B7244" s="636" t="s">
        <v>2525</v>
      </c>
      <c r="C7244" s="637" t="s">
        <v>952</v>
      </c>
      <c r="D7244" s="638">
        <v>2.246</v>
      </c>
      <c r="E7244" s="639"/>
      <c r="F7244" s="640" t="s">
        <v>16</v>
      </c>
      <c r="G7244" s="641"/>
      <c r="H7244" s="640" t="s">
        <v>2587</v>
      </c>
      <c r="I7244" s="642"/>
      <c r="J7244" s="643"/>
      <c r="K7244" s="636"/>
      <c r="L7244" s="640" t="s">
        <v>265</v>
      </c>
      <c r="M7244" s="640">
        <v>2315.7800000000007</v>
      </c>
      <c r="N7244" s="644">
        <v>8.3333333333333329E-2</v>
      </c>
      <c r="O7244" s="897" t="s">
        <v>2590</v>
      </c>
    </row>
    <row r="7245" spans="1:17" ht="56.25" x14ac:dyDescent="0.25">
      <c r="A7245" s="988">
        <f>MAX(A7071:A7244)+1</f>
        <v>4458</v>
      </c>
      <c r="B7245" s="479" t="s">
        <v>2525</v>
      </c>
      <c r="C7245" s="480" t="s">
        <v>587</v>
      </c>
      <c r="D7245" s="481">
        <v>0.96399999999999997</v>
      </c>
      <c r="E7245" s="482"/>
      <c r="F7245" s="483" t="s">
        <v>16</v>
      </c>
      <c r="G7245" s="549" t="s">
        <v>794</v>
      </c>
      <c r="H7245" s="483" t="s">
        <v>2587</v>
      </c>
      <c r="I7245" s="484"/>
      <c r="J7245" s="485"/>
      <c r="K7245" s="479"/>
      <c r="L7245" s="483" t="s">
        <v>28</v>
      </c>
      <c r="M7245" s="483">
        <v>964.8</v>
      </c>
      <c r="N7245" s="486">
        <v>0.41666666666666669</v>
      </c>
      <c r="O7245" s="897" t="s">
        <v>2597</v>
      </c>
      <c r="P7245" s="867">
        <v>6311164</v>
      </c>
      <c r="Q7245" s="847">
        <v>-100</v>
      </c>
    </row>
    <row r="7246" spans="1:17" x14ac:dyDescent="0.25">
      <c r="A7246" s="993"/>
      <c r="B7246" s="523" t="s">
        <v>2525</v>
      </c>
      <c r="C7246" s="524" t="s">
        <v>587</v>
      </c>
      <c r="D7246" s="525">
        <v>7.2750000000000004</v>
      </c>
      <c r="E7246" s="526"/>
      <c r="F7246" s="527" t="s">
        <v>16</v>
      </c>
      <c r="G7246" s="561" t="s">
        <v>47</v>
      </c>
      <c r="H7246" s="527" t="s">
        <v>2587</v>
      </c>
      <c r="I7246" s="528"/>
      <c r="J7246" s="529"/>
      <c r="K7246" s="523"/>
      <c r="L7246" s="527" t="s">
        <v>28</v>
      </c>
      <c r="M7246" s="527">
        <v>7275.92</v>
      </c>
      <c r="N7246" s="530">
        <v>0.41666666666666669</v>
      </c>
      <c r="O7246" s="897" t="s">
        <v>2598</v>
      </c>
      <c r="P7246" s="867">
        <v>6311156</v>
      </c>
      <c r="Q7246" s="847">
        <v>-578</v>
      </c>
    </row>
    <row r="7247" spans="1:17" x14ac:dyDescent="0.25">
      <c r="A7247" s="993"/>
      <c r="B7247" s="523" t="s">
        <v>2525</v>
      </c>
      <c r="C7247" s="524" t="s">
        <v>47</v>
      </c>
      <c r="D7247" s="525">
        <v>9.3019999999999996</v>
      </c>
      <c r="E7247" s="526"/>
      <c r="F7247" s="527" t="s">
        <v>16</v>
      </c>
      <c r="G7247" s="561"/>
      <c r="H7247" s="527" t="s">
        <v>2587</v>
      </c>
      <c r="I7247" s="528"/>
      <c r="J7247" s="529"/>
      <c r="K7247" s="523"/>
      <c r="L7247" s="527" t="s">
        <v>28</v>
      </c>
      <c r="M7247" s="527">
        <v>9418.86</v>
      </c>
      <c r="N7247" s="530">
        <v>0.41666666666666669</v>
      </c>
      <c r="O7247" s="897" t="s">
        <v>2596</v>
      </c>
      <c r="P7247" s="867">
        <v>6311183</v>
      </c>
      <c r="Q7247" s="847">
        <v>-138</v>
      </c>
    </row>
    <row r="7248" spans="1:17" ht="19.5" thickBot="1" x14ac:dyDescent="0.3">
      <c r="A7248" s="989"/>
      <c r="B7248" s="859" t="s">
        <v>2587</v>
      </c>
      <c r="C7248" s="854" t="s">
        <v>47</v>
      </c>
      <c r="D7248" s="855">
        <v>0.8</v>
      </c>
      <c r="E7248" s="855"/>
      <c r="F7248" s="856" t="s">
        <v>16</v>
      </c>
      <c r="G7248" s="857" t="s">
        <v>76</v>
      </c>
      <c r="H7248" s="856" t="s">
        <v>2587</v>
      </c>
      <c r="I7248" s="856"/>
      <c r="J7248" s="858"/>
      <c r="K7248" s="859"/>
      <c r="L7248" s="856" t="s">
        <v>28</v>
      </c>
      <c r="M7248" s="856">
        <v>810</v>
      </c>
      <c r="N7248" s="653">
        <v>0.41666666666666669</v>
      </c>
      <c r="O7248" s="897" t="s">
        <v>2651</v>
      </c>
    </row>
    <row r="7249" spans="1:17" x14ac:dyDescent="0.25">
      <c r="A7249" s="990">
        <f>MAX(A7074:A7248)+1</f>
        <v>4459</v>
      </c>
      <c r="B7249" s="531" t="s">
        <v>2525</v>
      </c>
      <c r="C7249" s="532" t="s">
        <v>913</v>
      </c>
      <c r="D7249" s="533">
        <v>1.55</v>
      </c>
      <c r="E7249" s="534"/>
      <c r="F7249" s="535" t="s">
        <v>16</v>
      </c>
      <c r="G7249" s="536"/>
      <c r="H7249" s="535" t="s">
        <v>2587</v>
      </c>
      <c r="I7249" s="537"/>
      <c r="J7249" s="538"/>
      <c r="K7249" s="531"/>
      <c r="L7249" s="535" t="s">
        <v>266</v>
      </c>
      <c r="M7249" s="535">
        <v>1556.3</v>
      </c>
      <c r="N7249" s="539">
        <v>0.45833333333333331</v>
      </c>
      <c r="O7249" s="897" t="s">
        <v>2600</v>
      </c>
    </row>
    <row r="7250" spans="1:17" x14ac:dyDescent="0.25">
      <c r="A7250" s="992"/>
      <c r="B7250" s="563" t="s">
        <v>2525</v>
      </c>
      <c r="C7250" s="564" t="s">
        <v>23</v>
      </c>
      <c r="D7250" s="565">
        <v>16.050999999999998</v>
      </c>
      <c r="E7250" s="566"/>
      <c r="F7250" s="567" t="s">
        <v>16</v>
      </c>
      <c r="G7250" s="568"/>
      <c r="H7250" s="567" t="s">
        <v>2587</v>
      </c>
      <c r="I7250" s="569"/>
      <c r="J7250" s="570"/>
      <c r="K7250" s="563"/>
      <c r="L7250" s="567" t="s">
        <v>28</v>
      </c>
      <c r="M7250" s="567">
        <v>16165.960000000001</v>
      </c>
      <c r="N7250" s="571">
        <v>0.45833333333333331</v>
      </c>
      <c r="O7250" s="897" t="s">
        <v>2599</v>
      </c>
      <c r="P7250" s="867">
        <v>6311153</v>
      </c>
      <c r="Q7250" s="847">
        <v>-490</v>
      </c>
    </row>
    <row r="7251" spans="1:17" ht="19.5" thickBot="1" x14ac:dyDescent="0.3">
      <c r="A7251" s="991"/>
      <c r="B7251" s="832" t="s">
        <v>2587</v>
      </c>
      <c r="C7251" s="827" t="s">
        <v>23</v>
      </c>
      <c r="D7251" s="828">
        <v>0.6</v>
      </c>
      <c r="E7251" s="828"/>
      <c r="F7251" s="829" t="s">
        <v>16</v>
      </c>
      <c r="G7251" s="830" t="s">
        <v>76</v>
      </c>
      <c r="H7251" s="829" t="s">
        <v>2587</v>
      </c>
      <c r="I7251" s="829"/>
      <c r="J7251" s="831"/>
      <c r="K7251" s="832"/>
      <c r="L7251" s="829" t="s">
        <v>28</v>
      </c>
      <c r="M7251" s="829">
        <v>600</v>
      </c>
      <c r="N7251" s="644">
        <v>0.45833333333333331</v>
      </c>
      <c r="O7251" s="897" t="s">
        <v>2651</v>
      </c>
    </row>
    <row r="7252" spans="1:17" x14ac:dyDescent="0.25">
      <c r="A7252" s="1002">
        <f>MAX(A7076:A7251)+1</f>
        <v>4460</v>
      </c>
      <c r="B7252" s="610" t="s">
        <v>2525</v>
      </c>
      <c r="C7252" s="480" t="s">
        <v>15</v>
      </c>
      <c r="D7252" s="481">
        <v>17.529</v>
      </c>
      <c r="E7252" s="482"/>
      <c r="F7252" s="483" t="s">
        <v>16</v>
      </c>
      <c r="G7252" s="549"/>
      <c r="H7252" s="483" t="s">
        <v>2587</v>
      </c>
      <c r="I7252" s="484"/>
      <c r="J7252" s="485"/>
      <c r="K7252" s="479"/>
      <c r="L7252" s="483" t="s">
        <v>28</v>
      </c>
      <c r="M7252" s="483">
        <v>17727.21</v>
      </c>
      <c r="N7252" s="486">
        <v>0.5</v>
      </c>
      <c r="O7252" s="897" t="s">
        <v>2601</v>
      </c>
      <c r="P7252" s="867">
        <v>6311144</v>
      </c>
      <c r="Q7252" s="847">
        <v>-514</v>
      </c>
    </row>
    <row r="7253" spans="1:17" ht="19.5" thickBot="1" x14ac:dyDescent="0.3">
      <c r="A7253" s="1004"/>
      <c r="B7253" s="805" t="s">
        <v>2587</v>
      </c>
      <c r="C7253" s="806" t="s">
        <v>15</v>
      </c>
      <c r="D7253" s="807">
        <v>0.5</v>
      </c>
      <c r="E7253" s="807"/>
      <c r="F7253" s="808" t="s">
        <v>16</v>
      </c>
      <c r="G7253" s="857" t="s">
        <v>76</v>
      </c>
      <c r="H7253" s="808" t="s">
        <v>2587</v>
      </c>
      <c r="I7253" s="808"/>
      <c r="J7253" s="810"/>
      <c r="K7253" s="887"/>
      <c r="L7253" s="808" t="s">
        <v>28</v>
      </c>
      <c r="M7253" s="808">
        <v>510</v>
      </c>
      <c r="N7253" s="778">
        <v>0.5</v>
      </c>
      <c r="O7253" s="897" t="s">
        <v>2651</v>
      </c>
    </row>
    <row r="7254" spans="1:17" ht="19.5" thickBot="1" x14ac:dyDescent="0.3">
      <c r="A7254" s="503">
        <f>MAX(A7077:A7252)+1</f>
        <v>4461</v>
      </c>
      <c r="B7254" s="504" t="s">
        <v>2565</v>
      </c>
      <c r="C7254" s="505" t="s">
        <v>26</v>
      </c>
      <c r="D7254" s="506">
        <v>15.423</v>
      </c>
      <c r="E7254" s="507"/>
      <c r="F7254" s="508" t="s">
        <v>30</v>
      </c>
      <c r="G7254" s="509"/>
      <c r="H7254" s="508" t="s">
        <v>2587</v>
      </c>
      <c r="I7254" s="510"/>
      <c r="J7254" s="511"/>
      <c r="K7254" s="504"/>
      <c r="L7254" s="508" t="s">
        <v>265</v>
      </c>
      <c r="M7254" s="508">
        <v>15423.2</v>
      </c>
      <c r="N7254" s="512">
        <v>4.1666666666666664E-2</v>
      </c>
      <c r="O7254" s="897" t="s">
        <v>2617</v>
      </c>
    </row>
    <row r="7255" spans="1:17" ht="19.5" thickBot="1" x14ac:dyDescent="0.3">
      <c r="A7255" s="513">
        <f>MAX(A7078:A7254)+1</f>
        <v>4462</v>
      </c>
      <c r="B7255" s="514" t="s">
        <v>2565</v>
      </c>
      <c r="C7255" s="515" t="s">
        <v>26</v>
      </c>
      <c r="D7255" s="516">
        <v>17.606000000000002</v>
      </c>
      <c r="E7255" s="517"/>
      <c r="F7255" s="518" t="s">
        <v>16</v>
      </c>
      <c r="G7255" s="519"/>
      <c r="H7255" s="518" t="s">
        <v>2614</v>
      </c>
      <c r="I7255" s="520"/>
      <c r="J7255" s="521"/>
      <c r="K7255" s="514"/>
      <c r="L7255" s="518" t="s">
        <v>265</v>
      </c>
      <c r="M7255" s="518">
        <v>17751.039999999997</v>
      </c>
      <c r="N7255" s="522">
        <v>4.1666666666666664E-2</v>
      </c>
      <c r="O7255" s="897" t="s">
        <v>2623</v>
      </c>
    </row>
    <row r="7256" spans="1:17" x14ac:dyDescent="0.25">
      <c r="A7256" s="990">
        <f>MAX(A7079:A7255)+1</f>
        <v>4463</v>
      </c>
      <c r="B7256" s="531" t="s">
        <v>2565</v>
      </c>
      <c r="C7256" s="532" t="s">
        <v>26</v>
      </c>
      <c r="D7256" s="533">
        <v>10.585000000000001</v>
      </c>
      <c r="E7256" s="534"/>
      <c r="F7256" s="535" t="s">
        <v>16</v>
      </c>
      <c r="G7256" s="536"/>
      <c r="H7256" s="535" t="s">
        <v>2614</v>
      </c>
      <c r="I7256" s="537"/>
      <c r="J7256" s="538"/>
      <c r="K7256" s="531"/>
      <c r="L7256" s="535" t="s">
        <v>265</v>
      </c>
      <c r="M7256" s="535">
        <v>10686.22</v>
      </c>
      <c r="N7256" s="539">
        <v>8.3333333333333329E-2</v>
      </c>
      <c r="O7256" s="897" t="s">
        <v>2625</v>
      </c>
    </row>
    <row r="7257" spans="1:17" x14ac:dyDescent="0.25">
      <c r="A7257" s="992"/>
      <c r="B7257" s="563" t="s">
        <v>2565</v>
      </c>
      <c r="C7257" s="564" t="s">
        <v>1358</v>
      </c>
      <c r="D7257" s="565">
        <v>2.1509999999999998</v>
      </c>
      <c r="E7257" s="566"/>
      <c r="F7257" s="567" t="s">
        <v>16</v>
      </c>
      <c r="G7257" s="568" t="s">
        <v>844</v>
      </c>
      <c r="H7257" s="567" t="s">
        <v>2614</v>
      </c>
      <c r="I7257" s="569"/>
      <c r="J7257" s="570"/>
      <c r="K7257" s="563"/>
      <c r="L7257" s="567" t="s">
        <v>265</v>
      </c>
      <c r="M7257" s="567">
        <v>2259.3000000000002</v>
      </c>
      <c r="N7257" s="571">
        <v>8.3333333333333329E-2</v>
      </c>
      <c r="O7257" s="897" t="s">
        <v>2626</v>
      </c>
    </row>
    <row r="7258" spans="1:17" ht="19.5" thickBot="1" x14ac:dyDescent="0.3">
      <c r="A7258" s="991"/>
      <c r="B7258" s="636" t="s">
        <v>2565</v>
      </c>
      <c r="C7258" s="637" t="s">
        <v>1358</v>
      </c>
      <c r="D7258" s="638">
        <v>4.8019999999999996</v>
      </c>
      <c r="E7258" s="639"/>
      <c r="F7258" s="640" t="s">
        <v>16</v>
      </c>
      <c r="G7258" s="641" t="s">
        <v>845</v>
      </c>
      <c r="H7258" s="640" t="s">
        <v>2614</v>
      </c>
      <c r="I7258" s="642"/>
      <c r="J7258" s="643"/>
      <c r="K7258" s="636"/>
      <c r="L7258" s="640" t="s">
        <v>265</v>
      </c>
      <c r="M7258" s="640">
        <v>4914</v>
      </c>
      <c r="N7258" s="644">
        <v>8.3333333333333329E-2</v>
      </c>
      <c r="O7258" s="897" t="s">
        <v>2627</v>
      </c>
    </row>
    <row r="7259" spans="1:17" x14ac:dyDescent="0.25">
      <c r="A7259" s="988">
        <f>MAX(A7082:A7258)+1</f>
        <v>4464</v>
      </c>
      <c r="B7259" s="479" t="s">
        <v>2565</v>
      </c>
      <c r="C7259" s="480" t="s">
        <v>15</v>
      </c>
      <c r="D7259" s="481">
        <v>9.3030000000000008</v>
      </c>
      <c r="E7259" s="482"/>
      <c r="F7259" s="483" t="s">
        <v>16</v>
      </c>
      <c r="G7259" s="549"/>
      <c r="H7259" s="483" t="s">
        <v>2614</v>
      </c>
      <c r="I7259" s="484"/>
      <c r="J7259" s="485"/>
      <c r="K7259" s="479"/>
      <c r="L7259" s="483" t="s">
        <v>28</v>
      </c>
      <c r="M7259" s="483">
        <v>9525.1799999999985</v>
      </c>
      <c r="N7259" s="486">
        <v>0.41666666666666669</v>
      </c>
      <c r="O7259" s="897" t="s">
        <v>2633</v>
      </c>
    </row>
    <row r="7260" spans="1:17" ht="19.5" thickBot="1" x14ac:dyDescent="0.3">
      <c r="A7260" s="989"/>
      <c r="B7260" s="645" t="s">
        <v>2565</v>
      </c>
      <c r="C7260" s="646" t="s">
        <v>24</v>
      </c>
      <c r="D7260" s="647">
        <v>8.202</v>
      </c>
      <c r="E7260" s="648"/>
      <c r="F7260" s="649" t="s">
        <v>16</v>
      </c>
      <c r="G7260" s="650"/>
      <c r="H7260" s="649" t="s">
        <v>2614</v>
      </c>
      <c r="I7260" s="651"/>
      <c r="J7260" s="652"/>
      <c r="K7260" s="645"/>
      <c r="L7260" s="649" t="s">
        <v>28</v>
      </c>
      <c r="M7260" s="649">
        <v>8393.86</v>
      </c>
      <c r="N7260" s="653">
        <v>0.41666666666666669</v>
      </c>
      <c r="O7260" s="897" t="s">
        <v>2632</v>
      </c>
    </row>
    <row r="7261" spans="1:17" ht="19.5" thickBot="1" x14ac:dyDescent="0.3">
      <c r="A7261" s="503">
        <f>MAX(A7084:A7260)+1</f>
        <v>4465</v>
      </c>
      <c r="B7261" s="504" t="s">
        <v>2565</v>
      </c>
      <c r="C7261" s="505" t="s">
        <v>23</v>
      </c>
      <c r="D7261" s="506">
        <v>17.399999999999999</v>
      </c>
      <c r="E7261" s="507"/>
      <c r="F7261" s="508" t="s">
        <v>16</v>
      </c>
      <c r="G7261" s="509"/>
      <c r="H7261" s="508" t="s">
        <v>2614</v>
      </c>
      <c r="I7261" s="510"/>
      <c r="J7261" s="511"/>
      <c r="K7261" s="504"/>
      <c r="L7261" s="508" t="s">
        <v>28</v>
      </c>
      <c r="M7261" s="508">
        <v>17593.480000000003</v>
      </c>
      <c r="N7261" s="512">
        <v>0.45833333333333331</v>
      </c>
      <c r="O7261" s="897" t="s">
        <v>2634</v>
      </c>
    </row>
    <row r="7262" spans="1:17" ht="19.5" thickBot="1" x14ac:dyDescent="0.3">
      <c r="A7262" s="513">
        <f>MAX(A7085:A7261)+1</f>
        <v>4466</v>
      </c>
      <c r="B7262" s="514" t="s">
        <v>2565</v>
      </c>
      <c r="C7262" s="515" t="s">
        <v>47</v>
      </c>
      <c r="D7262" s="516">
        <v>17.597999999999999</v>
      </c>
      <c r="E7262" s="517"/>
      <c r="F7262" s="518" t="s">
        <v>16</v>
      </c>
      <c r="G7262" s="519"/>
      <c r="H7262" s="518" t="s">
        <v>2614</v>
      </c>
      <c r="I7262" s="520"/>
      <c r="J7262" s="521"/>
      <c r="K7262" s="514"/>
      <c r="L7262" s="518" t="s">
        <v>28</v>
      </c>
      <c r="M7262" s="518">
        <v>17815.55</v>
      </c>
      <c r="N7262" s="522">
        <v>0.5</v>
      </c>
      <c r="O7262" s="897" t="s">
        <v>2635</v>
      </c>
    </row>
    <row r="7263" spans="1:17" x14ac:dyDescent="0.25">
      <c r="A7263" s="990">
        <f>MAX(A7086:A7262)+1</f>
        <v>4467</v>
      </c>
      <c r="B7263" s="531" t="s">
        <v>2565</v>
      </c>
      <c r="C7263" s="532" t="s">
        <v>23</v>
      </c>
      <c r="D7263" s="533">
        <v>6.44</v>
      </c>
      <c r="E7263" s="534"/>
      <c r="F7263" s="535" t="s">
        <v>30</v>
      </c>
      <c r="G7263" s="536"/>
      <c r="H7263" s="535" t="s">
        <v>2614</v>
      </c>
      <c r="I7263" s="537"/>
      <c r="J7263" s="538"/>
      <c r="K7263" s="531"/>
      <c r="L7263" s="535" t="s">
        <v>28</v>
      </c>
      <c r="M7263" s="535">
        <v>6440.84</v>
      </c>
      <c r="N7263" s="539">
        <v>0.41666666666666669</v>
      </c>
      <c r="O7263" s="897" t="s">
        <v>2628</v>
      </c>
    </row>
    <row r="7264" spans="1:17" ht="19.5" thickBot="1" x14ac:dyDescent="0.3">
      <c r="A7264" s="991"/>
      <c r="B7264" s="636" t="s">
        <v>2565</v>
      </c>
      <c r="C7264" s="637" t="s">
        <v>587</v>
      </c>
      <c r="D7264" s="638">
        <v>6.43</v>
      </c>
      <c r="E7264" s="639"/>
      <c r="F7264" s="640" t="s">
        <v>30</v>
      </c>
      <c r="G7264" s="641" t="s">
        <v>23</v>
      </c>
      <c r="H7264" s="640" t="s">
        <v>2614</v>
      </c>
      <c r="I7264" s="642"/>
      <c r="J7264" s="643"/>
      <c r="K7264" s="636"/>
      <c r="L7264" s="640" t="s">
        <v>28</v>
      </c>
      <c r="M7264" s="640">
        <v>6430.28</v>
      </c>
      <c r="N7264" s="644">
        <v>0.41666666666666669</v>
      </c>
      <c r="O7264" s="897" t="s">
        <v>2631</v>
      </c>
    </row>
    <row r="7265" spans="1:16" ht="19.5" thickBot="1" x14ac:dyDescent="0.3">
      <c r="A7265" s="513">
        <f>MAX(A7088:A7264)+1</f>
        <v>4468</v>
      </c>
      <c r="B7265" s="514" t="s">
        <v>2565</v>
      </c>
      <c r="C7265" s="515" t="s">
        <v>26</v>
      </c>
      <c r="D7265" s="516">
        <v>15.627000000000001</v>
      </c>
      <c r="E7265" s="517"/>
      <c r="F7265" s="518" t="s">
        <v>30</v>
      </c>
      <c r="G7265" s="519"/>
      <c r="H7265" s="518" t="s">
        <v>2616</v>
      </c>
      <c r="I7265" s="520"/>
      <c r="J7265" s="521"/>
      <c r="K7265" s="514"/>
      <c r="L7265" s="518" t="s">
        <v>265</v>
      </c>
      <c r="M7265" s="518">
        <v>15627.560000000001</v>
      </c>
      <c r="N7265" s="522">
        <v>4.1666666666666664E-2</v>
      </c>
      <c r="O7265" s="897" t="s">
        <v>2618</v>
      </c>
    </row>
    <row r="7266" spans="1:16" ht="19.5" thickBot="1" x14ac:dyDescent="0.3">
      <c r="A7266" s="503">
        <f>MAX(A7089:A7265)+1</f>
        <v>4469</v>
      </c>
      <c r="B7266" s="504" t="s">
        <v>2565</v>
      </c>
      <c r="C7266" s="505" t="s">
        <v>26</v>
      </c>
      <c r="D7266" s="506">
        <v>18.628</v>
      </c>
      <c r="E7266" s="507"/>
      <c r="F7266" s="508" t="s">
        <v>16</v>
      </c>
      <c r="G7266" s="509"/>
      <c r="H7266" s="508" t="s">
        <v>2616</v>
      </c>
      <c r="I7266" s="510"/>
      <c r="J7266" s="511"/>
      <c r="K7266" s="504"/>
      <c r="L7266" s="508" t="s">
        <v>265</v>
      </c>
      <c r="M7266" s="508">
        <v>18819.259999999998</v>
      </c>
      <c r="N7266" s="512">
        <v>4.1666666666666664E-2</v>
      </c>
      <c r="O7266" s="897" t="s">
        <v>2624</v>
      </c>
    </row>
    <row r="7267" spans="1:16" ht="169.5" thickBot="1" x14ac:dyDescent="0.3">
      <c r="A7267" s="513">
        <f>MAX(A7090:A7266)+1</f>
        <v>4470</v>
      </c>
      <c r="B7267" s="514" t="s">
        <v>2565</v>
      </c>
      <c r="C7267" s="515" t="s">
        <v>24</v>
      </c>
      <c r="D7267" s="516">
        <v>5.4640000000000004</v>
      </c>
      <c r="E7267" s="517"/>
      <c r="F7267" s="518" t="s">
        <v>16</v>
      </c>
      <c r="G7267" s="519" t="s">
        <v>2621</v>
      </c>
      <c r="H7267" s="518" t="s">
        <v>2616</v>
      </c>
      <c r="I7267" s="520"/>
      <c r="J7267" s="521"/>
      <c r="K7267" s="514"/>
      <c r="L7267" s="518" t="s">
        <v>28</v>
      </c>
      <c r="M7267" s="518">
        <v>5549.28</v>
      </c>
      <c r="N7267" s="522">
        <v>0.41666666666666669</v>
      </c>
      <c r="O7267" s="897" t="s">
        <v>2636</v>
      </c>
      <c r="P7267" s="867">
        <v>6312213</v>
      </c>
    </row>
    <row r="7268" spans="1:16" ht="57" thickBot="1" x14ac:dyDescent="0.3">
      <c r="A7268" s="503">
        <f>MAX(A7091:A7267)+1</f>
        <v>4471</v>
      </c>
      <c r="B7268" s="504" t="s">
        <v>2565</v>
      </c>
      <c r="C7268" s="505" t="s">
        <v>47</v>
      </c>
      <c r="D7268" s="506">
        <v>17.265000000000001</v>
      </c>
      <c r="E7268" s="507"/>
      <c r="F7268" s="508" t="s">
        <v>16</v>
      </c>
      <c r="G7268" s="509" t="s">
        <v>2622</v>
      </c>
      <c r="H7268" s="508" t="s">
        <v>2616</v>
      </c>
      <c r="I7268" s="510"/>
      <c r="J7268" s="511"/>
      <c r="K7268" s="504"/>
      <c r="L7268" s="508" t="s">
        <v>28</v>
      </c>
      <c r="M7268" s="508">
        <v>17410.560000000001</v>
      </c>
      <c r="N7268" s="512">
        <v>0.45833333333333331</v>
      </c>
      <c r="O7268" s="897" t="s">
        <v>2637</v>
      </c>
      <c r="P7268" s="867">
        <v>6312214</v>
      </c>
    </row>
    <row r="7269" spans="1:16" x14ac:dyDescent="0.25">
      <c r="A7269" s="988">
        <f>MAX(A7092:A7268)+1</f>
        <v>4472</v>
      </c>
      <c r="B7269" s="479" t="s">
        <v>2565</v>
      </c>
      <c r="C7269" s="480" t="s">
        <v>15</v>
      </c>
      <c r="D7269" s="481">
        <v>10.851000000000001</v>
      </c>
      <c r="E7269" s="482"/>
      <c r="F7269" s="483" t="s">
        <v>30</v>
      </c>
      <c r="G7269" s="549"/>
      <c r="H7269" s="483" t="s">
        <v>2616</v>
      </c>
      <c r="I7269" s="484"/>
      <c r="J7269" s="485"/>
      <c r="K7269" s="479"/>
      <c r="L7269" s="483" t="s">
        <v>28</v>
      </c>
      <c r="M7269" s="483">
        <v>10851.199999999999</v>
      </c>
      <c r="N7269" s="486">
        <v>0.41666666666666669</v>
      </c>
      <c r="O7269" s="897" t="s">
        <v>2630</v>
      </c>
    </row>
    <row r="7270" spans="1:16" ht="19.5" thickBot="1" x14ac:dyDescent="0.3">
      <c r="A7270" s="989"/>
      <c r="B7270" s="645" t="s">
        <v>2565</v>
      </c>
      <c r="C7270" s="646" t="s">
        <v>24</v>
      </c>
      <c r="D7270" s="647">
        <v>3.746</v>
      </c>
      <c r="E7270" s="648"/>
      <c r="F7270" s="649" t="s">
        <v>30</v>
      </c>
      <c r="G7270" s="650"/>
      <c r="H7270" s="649" t="s">
        <v>2616</v>
      </c>
      <c r="I7270" s="651"/>
      <c r="J7270" s="652"/>
      <c r="K7270" s="645"/>
      <c r="L7270" s="649" t="s">
        <v>28</v>
      </c>
      <c r="M7270" s="649">
        <v>3746.52</v>
      </c>
      <c r="N7270" s="653">
        <v>0.41666666666666669</v>
      </c>
      <c r="O7270" s="897" t="s">
        <v>2629</v>
      </c>
      <c r="P7270" s="867">
        <v>6312119</v>
      </c>
    </row>
    <row r="7271" spans="1:16" x14ac:dyDescent="0.25">
      <c r="A7271" s="676">
        <f t="shared" ref="A7271:A7285" si="221">MAX(A7094:A7270)+1</f>
        <v>4473</v>
      </c>
      <c r="B7271" s="676"/>
      <c r="C7271" s="473"/>
      <c r="D7271" s="474"/>
      <c r="E7271" s="475"/>
      <c r="F7271" s="676"/>
      <c r="G7271" s="476"/>
      <c r="H7271" s="676"/>
      <c r="I7271" s="477"/>
      <c r="J7271" s="478"/>
      <c r="K7271" s="676"/>
      <c r="L7271" s="676"/>
      <c r="M7271" s="676"/>
      <c r="N7271" s="676"/>
    </row>
    <row r="7272" spans="1:16" x14ac:dyDescent="0.25">
      <c r="A7272" s="676">
        <f t="shared" si="221"/>
        <v>4474</v>
      </c>
      <c r="B7272" s="676"/>
      <c r="C7272" s="473"/>
      <c r="D7272" s="474"/>
      <c r="E7272" s="475"/>
      <c r="F7272" s="676"/>
      <c r="G7272" s="476"/>
      <c r="H7272" s="676"/>
      <c r="I7272" s="477"/>
      <c r="J7272" s="478"/>
      <c r="K7272" s="676"/>
      <c r="L7272" s="676"/>
      <c r="M7272" s="676"/>
      <c r="N7272" s="676"/>
    </row>
    <row r="7273" spans="1:16" x14ac:dyDescent="0.25">
      <c r="A7273" s="676">
        <f t="shared" si="221"/>
        <v>4475</v>
      </c>
      <c r="B7273" s="676"/>
      <c r="C7273" s="473"/>
      <c r="D7273" s="474"/>
      <c r="E7273" s="475"/>
      <c r="F7273" s="676"/>
      <c r="G7273" s="476"/>
      <c r="H7273" s="676"/>
      <c r="I7273" s="477"/>
      <c r="J7273" s="478"/>
      <c r="K7273" s="676"/>
      <c r="L7273" s="676"/>
      <c r="M7273" s="676"/>
      <c r="N7273" s="676"/>
    </row>
    <row r="7274" spans="1:16" x14ac:dyDescent="0.25">
      <c r="A7274" s="676">
        <f t="shared" si="221"/>
        <v>4476</v>
      </c>
      <c r="B7274" s="676"/>
      <c r="C7274" s="473"/>
      <c r="D7274" s="474"/>
      <c r="E7274" s="475"/>
      <c r="F7274" s="676"/>
      <c r="G7274" s="476"/>
      <c r="H7274" s="676"/>
      <c r="I7274" s="477"/>
      <c r="J7274" s="478"/>
      <c r="K7274" s="676"/>
      <c r="L7274" s="676"/>
      <c r="M7274" s="676"/>
      <c r="N7274" s="676"/>
    </row>
    <row r="7275" spans="1:16" x14ac:dyDescent="0.25">
      <c r="A7275" s="676">
        <f t="shared" si="221"/>
        <v>4477</v>
      </c>
      <c r="B7275" s="676"/>
      <c r="C7275" s="473"/>
      <c r="D7275" s="474"/>
      <c r="E7275" s="475"/>
      <c r="F7275" s="676"/>
      <c r="G7275" s="476"/>
      <c r="H7275" s="676"/>
      <c r="I7275" s="477"/>
      <c r="J7275" s="478"/>
      <c r="K7275" s="676"/>
      <c r="L7275" s="676"/>
      <c r="M7275" s="676"/>
      <c r="N7275" s="676"/>
    </row>
    <row r="7276" spans="1:16" x14ac:dyDescent="0.25">
      <c r="A7276" s="676">
        <f t="shared" si="221"/>
        <v>4478</v>
      </c>
      <c r="B7276" s="676"/>
      <c r="C7276" s="473"/>
      <c r="D7276" s="474"/>
      <c r="E7276" s="475"/>
      <c r="F7276" s="676"/>
      <c r="G7276" s="476"/>
      <c r="H7276" s="676"/>
      <c r="I7276" s="477"/>
      <c r="J7276" s="478"/>
      <c r="K7276" s="676"/>
      <c r="L7276" s="676"/>
      <c r="M7276" s="676"/>
      <c r="N7276" s="676"/>
    </row>
    <row r="7277" spans="1:16" x14ac:dyDescent="0.25">
      <c r="A7277" s="676">
        <f t="shared" si="221"/>
        <v>4479</v>
      </c>
      <c r="B7277" s="676"/>
      <c r="C7277" s="473"/>
      <c r="D7277" s="474"/>
      <c r="E7277" s="475"/>
      <c r="F7277" s="676"/>
      <c r="G7277" s="476"/>
      <c r="H7277" s="676"/>
      <c r="I7277" s="477"/>
      <c r="J7277" s="478"/>
      <c r="K7277" s="676"/>
      <c r="L7277" s="676"/>
      <c r="M7277" s="676"/>
      <c r="N7277" s="676"/>
    </row>
    <row r="7278" spans="1:16" x14ac:dyDescent="0.25">
      <c r="A7278" s="676">
        <f t="shared" si="221"/>
        <v>4480</v>
      </c>
      <c r="B7278" s="676"/>
      <c r="C7278" s="473"/>
      <c r="D7278" s="474"/>
      <c r="E7278" s="475"/>
      <c r="F7278" s="676"/>
      <c r="G7278" s="476"/>
      <c r="H7278" s="676"/>
      <c r="I7278" s="477"/>
      <c r="J7278" s="478"/>
      <c r="K7278" s="676"/>
      <c r="L7278" s="676"/>
      <c r="M7278" s="676"/>
      <c r="N7278" s="676"/>
    </row>
    <row r="7279" spans="1:16" x14ac:dyDescent="0.25">
      <c r="A7279" s="676">
        <f t="shared" si="221"/>
        <v>4481</v>
      </c>
      <c r="B7279" s="676"/>
      <c r="C7279" s="473"/>
      <c r="D7279" s="474"/>
      <c r="E7279" s="475"/>
      <c r="F7279" s="676"/>
      <c r="G7279" s="476"/>
      <c r="H7279" s="676"/>
      <c r="I7279" s="477"/>
      <c r="J7279" s="478"/>
      <c r="K7279" s="676"/>
      <c r="L7279" s="676"/>
      <c r="M7279" s="676"/>
      <c r="N7279" s="676"/>
    </row>
    <row r="7280" spans="1:16" x14ac:dyDescent="0.25">
      <c r="A7280" s="676">
        <f t="shared" si="221"/>
        <v>4482</v>
      </c>
      <c r="B7280" s="676"/>
      <c r="C7280" s="473"/>
      <c r="D7280" s="474"/>
      <c r="E7280" s="475"/>
      <c r="F7280" s="676"/>
      <c r="G7280" s="476"/>
      <c r="H7280" s="676"/>
      <c r="I7280" s="477"/>
      <c r="J7280" s="478"/>
      <c r="K7280" s="676"/>
      <c r="L7280" s="676"/>
      <c r="M7280" s="676"/>
      <c r="N7280" s="676"/>
    </row>
    <row r="7281" spans="1:14" x14ac:dyDescent="0.25">
      <c r="A7281" s="676">
        <f t="shared" si="221"/>
        <v>4483</v>
      </c>
      <c r="B7281" s="676"/>
      <c r="C7281" s="473"/>
      <c r="D7281" s="474"/>
      <c r="E7281" s="475"/>
      <c r="F7281" s="676"/>
      <c r="G7281" s="476"/>
      <c r="H7281" s="676"/>
      <c r="I7281" s="477"/>
      <c r="J7281" s="478"/>
      <c r="K7281" s="676"/>
      <c r="L7281" s="676"/>
      <c r="M7281" s="676"/>
      <c r="N7281" s="676"/>
    </row>
    <row r="7282" spans="1:14" x14ac:dyDescent="0.25">
      <c r="A7282" s="676">
        <f t="shared" si="221"/>
        <v>4484</v>
      </c>
      <c r="B7282" s="676"/>
      <c r="C7282" s="473"/>
      <c r="D7282" s="474"/>
      <c r="E7282" s="475"/>
      <c r="F7282" s="676"/>
      <c r="G7282" s="476"/>
      <c r="H7282" s="676"/>
      <c r="I7282" s="477"/>
      <c r="J7282" s="478"/>
      <c r="K7282" s="676"/>
      <c r="L7282" s="676"/>
      <c r="M7282" s="676"/>
      <c r="N7282" s="676"/>
    </row>
    <row r="7283" spans="1:14" x14ac:dyDescent="0.25">
      <c r="A7283" s="676">
        <f t="shared" si="221"/>
        <v>4485</v>
      </c>
      <c r="B7283" s="676"/>
      <c r="C7283" s="473"/>
      <c r="D7283" s="474"/>
      <c r="E7283" s="475"/>
      <c r="F7283" s="676"/>
      <c r="G7283" s="476"/>
      <c r="H7283" s="676"/>
      <c r="I7283" s="477"/>
      <c r="J7283" s="478"/>
      <c r="K7283" s="676"/>
      <c r="L7283" s="676"/>
      <c r="M7283" s="676"/>
      <c r="N7283" s="676"/>
    </row>
    <row r="7284" spans="1:14" x14ac:dyDescent="0.25">
      <c r="A7284" s="676">
        <f t="shared" si="221"/>
        <v>4486</v>
      </c>
      <c r="B7284" s="676"/>
      <c r="C7284" s="473"/>
      <c r="D7284" s="474"/>
      <c r="E7284" s="475"/>
      <c r="F7284" s="676"/>
      <c r="G7284" s="476"/>
      <c r="H7284" s="676"/>
      <c r="I7284" s="477"/>
      <c r="J7284" s="478"/>
      <c r="K7284" s="676"/>
      <c r="L7284" s="676"/>
      <c r="M7284" s="676"/>
      <c r="N7284" s="676"/>
    </row>
    <row r="7285" spans="1:14" x14ac:dyDescent="0.25">
      <c r="A7285" s="676">
        <f t="shared" si="221"/>
        <v>4487</v>
      </c>
      <c r="B7285" s="676"/>
      <c r="C7285" s="473"/>
      <c r="D7285" s="474"/>
      <c r="E7285" s="475"/>
      <c r="F7285" s="676"/>
      <c r="G7285" s="476"/>
      <c r="H7285" s="676"/>
      <c r="I7285" s="477"/>
      <c r="J7285" s="478"/>
      <c r="K7285" s="676"/>
      <c r="L7285" s="676"/>
      <c r="M7285" s="676"/>
      <c r="N7285" s="676"/>
    </row>
  </sheetData>
  <autoFilter ref="A2:R7285" xr:uid="{9E4C531E-AD50-422A-AC7C-8C5AF4C19268}">
    <filterColumn colId="10">
      <filters blank="1"/>
    </filterColumn>
  </autoFilter>
  <mergeCells count="1925">
    <mergeCell ref="G6878:G6879"/>
    <mergeCell ref="G6861:G6863"/>
    <mergeCell ref="A6870:A6872"/>
    <mergeCell ref="A7138:A7139"/>
    <mergeCell ref="A7097:A7102"/>
    <mergeCell ref="A7106:A7109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017:A7019"/>
    <mergeCell ref="A7135:A7137"/>
    <mergeCell ref="G7135:G7137"/>
    <mergeCell ref="A7104:A7105"/>
    <mergeCell ref="A6999:A7003"/>
    <mergeCell ref="G6999:G7003"/>
    <mergeCell ref="A7004:A7005"/>
    <mergeCell ref="A7076:A7077"/>
    <mergeCell ref="A7078:A7079"/>
    <mergeCell ref="A7080:A7081"/>
    <mergeCell ref="G7080:G7081"/>
    <mergeCell ref="A6985:A6986"/>
    <mergeCell ref="A6987:A6988"/>
    <mergeCell ref="A6989:A6991"/>
    <mergeCell ref="A7032:A7034"/>
    <mergeCell ref="A7035:A7036"/>
    <mergeCell ref="A7037:A7038"/>
    <mergeCell ref="A7039:A7040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58:A7061"/>
    <mergeCell ref="A6968:A6969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A6941:A6942"/>
    <mergeCell ref="G6876:G6877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6791:A6793"/>
    <mergeCell ref="A6789:A6790"/>
    <mergeCell ref="A6836:A6838"/>
    <mergeCell ref="A6833:A6835"/>
    <mergeCell ref="A6889:A6890"/>
    <mergeCell ref="A6785:A6786"/>
    <mergeCell ref="A6780:A6781"/>
    <mergeCell ref="A6908:A6911"/>
    <mergeCell ref="A6912:A6913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6635:A6637"/>
    <mergeCell ref="A6709:A6712"/>
    <mergeCell ref="A6698:A6699"/>
    <mergeCell ref="A6611:A6612"/>
    <mergeCell ref="A6723:A6724"/>
    <mergeCell ref="G6723:G6724"/>
    <mergeCell ref="A6725:A6726"/>
    <mergeCell ref="A6718:A6720"/>
    <mergeCell ref="A6693:A6694"/>
    <mergeCell ref="A6873:A6875"/>
    <mergeCell ref="A6876:A6877"/>
    <mergeCell ref="A6829:A6832"/>
    <mergeCell ref="A6688:A6690"/>
    <mergeCell ref="A6695:A6697"/>
    <mergeCell ref="A6700:A6702"/>
    <mergeCell ref="G6721:G6722"/>
    <mergeCell ref="A5623:A5624"/>
    <mergeCell ref="A5599:A5600"/>
    <mergeCell ref="A6601:A6602"/>
    <mergeCell ref="A6552:A6554"/>
    <mergeCell ref="A6663:A6664"/>
    <mergeCell ref="A6644:A6647"/>
    <mergeCell ref="A6589:A6590"/>
    <mergeCell ref="A6668:A6669"/>
    <mergeCell ref="A6595:A6599"/>
    <mergeCell ref="G6718:G6720"/>
    <mergeCell ref="A6604:A6605"/>
    <mergeCell ref="A6673:A6674"/>
    <mergeCell ref="A5625:A5626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649:A6651"/>
    <mergeCell ref="A5609:A5610"/>
    <mergeCell ref="A5619:A5620"/>
    <mergeCell ref="A5621:A5622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1388:A1389"/>
    <mergeCell ref="A1390:A1391"/>
    <mergeCell ref="A1395:A1396"/>
    <mergeCell ref="A1397:A1398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G1377:G1378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A4384:A4386"/>
    <mergeCell ref="A4374:A4375"/>
    <mergeCell ref="A4370:A4372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597:A4598"/>
    <mergeCell ref="A4499:A4500"/>
    <mergeCell ref="A4591:A4592"/>
    <mergeCell ref="A4593:A4595"/>
    <mergeCell ref="A4505:A4506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601:A4602"/>
    <mergeCell ref="A4622:A4623"/>
    <mergeCell ref="A4605:A4608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700:A4701"/>
    <mergeCell ref="A4687:A4690"/>
    <mergeCell ref="A4706:A4708"/>
    <mergeCell ref="A4703:A4705"/>
    <mergeCell ref="A4738:A4739"/>
    <mergeCell ref="A4740:A4741"/>
    <mergeCell ref="A4714:A4715"/>
    <mergeCell ref="A4761:A4764"/>
    <mergeCell ref="A4765:A4766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G4700:G4701"/>
    <mergeCell ref="A4721:A4722"/>
    <mergeCell ref="A4774:A4775"/>
    <mergeCell ref="G4729:G4732"/>
    <mergeCell ref="A4889:A4890"/>
    <mergeCell ref="A4868:A4871"/>
    <mergeCell ref="A4872:A4873"/>
    <mergeCell ref="A4859:A4860"/>
    <mergeCell ref="A4854:A4855"/>
    <mergeCell ref="A4785:A4787"/>
    <mergeCell ref="A4756:A4757"/>
    <mergeCell ref="A4754:A4755"/>
    <mergeCell ref="G4765:G4766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A4903:A4904"/>
    <mergeCell ref="A4834:A4837"/>
    <mergeCell ref="A4930:A4931"/>
    <mergeCell ref="A5054:A5055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32:A4833"/>
    <mergeCell ref="A4926:A4929"/>
    <mergeCell ref="G4866:G4867"/>
    <mergeCell ref="A4964:A4965"/>
    <mergeCell ref="A4960:A4961"/>
    <mergeCell ref="G4977:G4978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234:A523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243:A5244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270:A5271"/>
    <mergeCell ref="A5443:A5444"/>
    <mergeCell ref="A5267:A5269"/>
    <mergeCell ref="A5311:A5312"/>
    <mergeCell ref="A5296:A5297"/>
    <mergeCell ref="A5282:A5283"/>
    <mergeCell ref="A5523:A5525"/>
    <mergeCell ref="A5140:A5141"/>
    <mergeCell ref="G5408:G5409"/>
    <mergeCell ref="A5428:A5429"/>
    <mergeCell ref="A5272:A5273"/>
    <mergeCell ref="G5531:G5532"/>
    <mergeCell ref="A5504:A5505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A5199:A5200"/>
    <mergeCell ref="A5219:A5221"/>
    <mergeCell ref="G5416:G5417"/>
    <mergeCell ref="A5394:A5397"/>
    <mergeCell ref="A5398:A5399"/>
    <mergeCell ref="A5430:A5431"/>
    <mergeCell ref="A5432:A5433"/>
    <mergeCell ref="A6555:A6556"/>
    <mergeCell ref="A5290:A5292"/>
    <mergeCell ref="A5418:A5419"/>
    <mergeCell ref="A5513:A5514"/>
    <mergeCell ref="G6560:G6561"/>
    <mergeCell ref="A5326:A5327"/>
    <mergeCell ref="A5452:A5453"/>
    <mergeCell ref="A5305:A5308"/>
    <mergeCell ref="A5402:A5403"/>
    <mergeCell ref="A5321:A5325"/>
    <mergeCell ref="A5515:A5516"/>
    <mergeCell ref="A5588:A5589"/>
    <mergeCell ref="A5590:A5592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A5507:A5508"/>
    <mergeCell ref="A5338:A5341"/>
    <mergeCell ref="A5531:A5532"/>
    <mergeCell ref="A5436:A5437"/>
    <mergeCell ref="A5331:A5334"/>
    <mergeCell ref="A5539:A5541"/>
    <mergeCell ref="A5412:A5413"/>
    <mergeCell ref="A5534:A5538"/>
    <mergeCell ref="A5358:A5359"/>
    <mergeCell ref="A5441:A5442"/>
    <mergeCell ref="A5385:A5386"/>
    <mergeCell ref="A5387:A5388"/>
    <mergeCell ref="A5577:A5578"/>
    <mergeCell ref="A5342:A5343"/>
    <mergeCell ref="A5542:A5546"/>
    <mergeCell ref="A5518:A5522"/>
    <mergeCell ref="A5497:A5498"/>
    <mergeCell ref="A5499:A5500"/>
    <mergeCell ref="A5575:A5576"/>
    <mergeCell ref="G5549:G5550"/>
    <mergeCell ref="A5493:A5495"/>
    <mergeCell ref="A5595:A5596"/>
    <mergeCell ref="G5515:G5516"/>
    <mergeCell ref="A5348:A5350"/>
    <mergeCell ref="A6660:A6661"/>
    <mergeCell ref="A6638:A6639"/>
    <mergeCell ref="A6754:A6755"/>
    <mergeCell ref="A6691:A6692"/>
    <mergeCell ref="A6735:A6736"/>
    <mergeCell ref="A7093:A7094"/>
    <mergeCell ref="G7115:G7118"/>
    <mergeCell ref="A7095:A7096"/>
    <mergeCell ref="A6721:A6722"/>
    <mergeCell ref="A6992:A6995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559:A6561"/>
    <mergeCell ref="A6567:A6568"/>
    <mergeCell ref="A5606:A5607"/>
    <mergeCell ref="A6617:A6618"/>
    <mergeCell ref="A6678:A6679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G5436:G5437"/>
    <mergeCell ref="G5370:G5373"/>
    <mergeCell ref="A6939:A6940"/>
    <mergeCell ref="A5279:A5281"/>
    <mergeCell ref="A5262:A5263"/>
    <mergeCell ref="A5265:A5266"/>
    <mergeCell ref="A5316:A5317"/>
    <mergeCell ref="A5363:A5364"/>
    <mergeCell ref="A5511:A5512"/>
    <mergeCell ref="A5370:A5373"/>
    <mergeCell ref="A5445:A5446"/>
    <mergeCell ref="G6604:G6605"/>
    <mergeCell ref="G5489:G5490"/>
    <mergeCell ref="G5534:G5538"/>
    <mergeCell ref="A7167:A7168"/>
    <mergeCell ref="A7185:A7187"/>
    <mergeCell ref="A7188:A7190"/>
    <mergeCell ref="G7173:G7176"/>
    <mergeCell ref="A7196:A7198"/>
    <mergeCell ref="A7161:A7162"/>
    <mergeCell ref="A7163:A7164"/>
    <mergeCell ref="A7129:A7130"/>
    <mergeCell ref="G7129:G7130"/>
    <mergeCell ref="G7127:G7128"/>
    <mergeCell ref="A7127:A7128"/>
    <mergeCell ref="A7209:A7210"/>
    <mergeCell ref="A7110:A7111"/>
    <mergeCell ref="A7144:A7147"/>
    <mergeCell ref="A7148:A7150"/>
    <mergeCell ref="G7148:G7150"/>
    <mergeCell ref="A7151:A7153"/>
    <mergeCell ref="A7131:A7134"/>
    <mergeCell ref="A7112:A7114"/>
    <mergeCell ref="A7115:A7118"/>
    <mergeCell ref="A7120:A7123"/>
    <mergeCell ref="A7191:A7194"/>
    <mergeCell ref="G7191:G7194"/>
    <mergeCell ref="A7173:A7176"/>
    <mergeCell ref="A7177:A7179"/>
    <mergeCell ref="A7180:A7182"/>
    <mergeCell ref="A7165:A7166"/>
    <mergeCell ref="A7169:A7171"/>
    <mergeCell ref="A7142:A7143"/>
    <mergeCell ref="A7259:A7260"/>
    <mergeCell ref="A7263:A7264"/>
    <mergeCell ref="A7269:A7270"/>
    <mergeCell ref="A7230:A7231"/>
    <mergeCell ref="A7232:A7234"/>
    <mergeCell ref="A7235:A7236"/>
    <mergeCell ref="A7237:A7241"/>
    <mergeCell ref="A7243:A7244"/>
    <mergeCell ref="A7245:A7248"/>
    <mergeCell ref="A7249:A7251"/>
    <mergeCell ref="A7218:A7219"/>
    <mergeCell ref="A7204:A7205"/>
    <mergeCell ref="G7204:G7205"/>
    <mergeCell ref="A7206:A7207"/>
    <mergeCell ref="G7206:G7207"/>
    <mergeCell ref="A7199:A7200"/>
    <mergeCell ref="A7201:A7203"/>
    <mergeCell ref="A7256:A7258"/>
    <mergeCell ref="A7216:A7217"/>
    <mergeCell ref="A7225:A7226"/>
    <mergeCell ref="A7223:A7224"/>
    <mergeCell ref="A7227:A7228"/>
    <mergeCell ref="A7252:A7253"/>
    <mergeCell ref="A7221:A7222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2026-09-13T08:06:22Z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