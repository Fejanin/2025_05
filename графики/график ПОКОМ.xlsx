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E6DDFA5-4701-423F-8989-A0DF96760E0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Лист1!$A$2:$R$7211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7" i="1" s="1"/>
  <c r="A7189" i="1" s="1"/>
  <c r="A7193" i="1" l="1"/>
  <c r="A7194" i="1" s="1"/>
  <c r="A7197" i="1" l="1"/>
  <c r="A7198" i="1" l="1"/>
  <c r="A7199" i="1" l="1"/>
  <c r="A7200" i="1" s="1"/>
  <c r="A7201" i="1" l="1"/>
  <c r="A7202" i="1" s="1"/>
  <c r="A7204" i="1" l="1"/>
  <c r="A7205" i="1" l="1"/>
  <c r="A7206" i="1" s="1"/>
  <c r="A7207" i="1" s="1"/>
  <c r="A7208" i="1" s="1"/>
  <c r="A7209" i="1" l="1"/>
  <c r="A7210" i="1" s="1"/>
  <c r="A7211" i="1" s="1"/>
</calcChain>
</file>

<file path=xl/sharedStrings.xml><?xml version="1.0" encoding="utf-8"?>
<sst xmlns="http://schemas.openxmlformats.org/spreadsheetml/2006/main" count="46320" uniqueCount="2537">
  <si>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</si>
  <si>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</si>
  <si>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</si>
  <si>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</si>
  <si>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</si>
  <si>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</si>
  <si>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</si>
  <si>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</si>
  <si>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</si>
  <si>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</si>
  <si>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</si>
  <si>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</si>
  <si>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</si>
  <si>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</si>
  <si>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</si>
  <si>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</si>
  <si>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</si>
  <si>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</si>
  <si>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</si>
  <si>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</si>
  <si>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</si>
  <si>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</si>
  <si>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</si>
  <si>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</si>
  <si>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</si>
  <si>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</si>
  <si>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</si>
  <si>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</si>
  <si>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</si>
  <si>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</si>
  <si>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</si>
  <si>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</si>
  <si>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</si>
  <si>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</si>
  <si>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</si>
  <si>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</si>
  <si>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</si>
  <si>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</si>
  <si>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</si>
  <si>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</si>
  <si>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</si>
  <si>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</si>
  <si>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</si>
  <si>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</si>
  <si>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</si>
  <si>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</si>
  <si>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</si>
  <si>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</si>
  <si>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</si>
  <si>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</si>
  <si>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</si>
  <si>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</si>
  <si>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</si>
  <si>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</si>
  <si>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</si>
  <si>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</si>
  <si>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</si>
  <si>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</si>
  <si>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</si>
  <si>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</si>
  <si>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</si>
  <si>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</si>
  <si>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</si>
  <si>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</si>
  <si>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</si>
  <si>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</si>
  <si>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</si>
  <si>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</si>
  <si>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</si>
  <si>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</si>
  <si>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</si>
  <si>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</si>
  <si>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</si>
  <si>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</si>
  <si>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</si>
  <si>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</si>
  <si>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</si>
  <si>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</si>
  <si>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</si>
  <si>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</si>
  <si>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</si>
  <si>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</si>
  <si>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</si>
  <si>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</si>
  <si>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</si>
  <si>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</si>
  <si>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</si>
  <si>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</si>
  <si>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</si>
  <si>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</si>
  <si>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</si>
  <si>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</si>
  <si>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</si>
  <si>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</si>
  <si>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</si>
  <si>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</si>
  <si>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</si>
  <si>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</si>
  <si>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</si>
  <si>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</si>
  <si>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</si>
  <si>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</si>
  <si>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</si>
  <si>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</si>
  <si>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</si>
  <si>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</si>
  <si>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</si>
  <si>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</si>
  <si>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</si>
  <si>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</si>
  <si>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</si>
  <si>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</si>
  <si>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</si>
  <si>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</si>
  <si>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</si>
  <si>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</si>
  <si>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</si>
  <si>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</si>
  <si>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</si>
  <si>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</si>
  <si>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</si>
  <si>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</si>
  <si>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</si>
  <si>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</si>
  <si>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</si>
  <si>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</si>
  <si>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</si>
  <si>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</si>
  <si>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</si>
  <si>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</si>
  <si>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</si>
  <si>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</si>
  <si>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</si>
  <si>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</si>
  <si>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</si>
  <si>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</si>
  <si>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</si>
  <si>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</si>
  <si>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</si>
  <si>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</si>
  <si>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</si>
  <si>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</si>
  <si>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</si>
  <si>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</si>
  <si>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</si>
  <si>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</si>
  <si>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</si>
  <si>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</si>
  <si>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</si>
  <si>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</si>
  <si>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</si>
  <si>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</si>
  <si>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</si>
  <si>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</si>
  <si>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</si>
  <si>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</si>
  <si>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</si>
  <si>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</si>
  <si>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</si>
  <si>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</si>
  <si>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</si>
  <si>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</si>
  <si>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</si>
  <si>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</si>
  <si>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</si>
  <si>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</si>
  <si>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</si>
  <si>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</si>
  <si>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</si>
  <si>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</si>
  <si>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</si>
  <si>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</si>
  <si>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</si>
  <si>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</si>
  <si>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</si>
  <si>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</si>
  <si>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</si>
  <si>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</si>
  <si>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</si>
  <si>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</si>
  <si>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</si>
  <si>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</si>
  <si>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</si>
  <si>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</si>
  <si>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</si>
  <si>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</si>
  <si>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</si>
  <si>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</si>
  <si>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</si>
  <si>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</si>
  <si>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</si>
  <si>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</si>
  <si>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</si>
  <si>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</si>
  <si>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</si>
  <si>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</si>
  <si>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</si>
  <si>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</si>
  <si>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</si>
  <si>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</si>
  <si>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</si>
  <si>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</si>
  <si>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</si>
  <si>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</si>
  <si>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</si>
  <si>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</si>
  <si>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</si>
  <si>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</si>
  <si>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</si>
  <si>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</si>
  <si>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</si>
  <si>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</si>
  <si>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</si>
  <si>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</si>
  <si>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</si>
  <si>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</si>
  <si>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</si>
  <si>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</si>
  <si>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</si>
  <si>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</si>
  <si>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</si>
  <si>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</si>
  <si>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</si>
  <si>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</si>
  <si>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</si>
  <si>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</si>
  <si>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</si>
  <si>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</si>
  <si>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</si>
  <si>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</si>
  <si>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</si>
  <si>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</si>
  <si>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</si>
  <si>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</si>
  <si>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</si>
  <si>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</si>
  <si>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</si>
  <si>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</si>
  <si>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</si>
  <si>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</si>
  <si>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</si>
  <si>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</si>
  <si>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</si>
  <si>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</si>
  <si>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</si>
  <si>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</si>
  <si>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</si>
  <si>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</si>
  <si>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</si>
  <si>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</si>
  <si>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</si>
  <si>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</si>
  <si>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</si>
  <si>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</si>
  <si>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</si>
  <si>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</si>
  <si>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</si>
  <si>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</si>
  <si>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</si>
  <si>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</si>
  <si>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</si>
  <si>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</si>
  <si>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</si>
  <si>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</si>
  <si>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</si>
  <si>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</si>
  <si>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</si>
  <si>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</si>
  <si>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</si>
  <si>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</si>
  <si>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</si>
  <si>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</si>
  <si>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</si>
  <si>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</si>
  <si>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</si>
  <si>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</si>
  <si>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</si>
  <si>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</si>
  <si>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</si>
  <si>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</si>
  <si>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</si>
  <si>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</si>
  <si>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</si>
  <si>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</si>
  <si>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</si>
  <si>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</si>
  <si>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</si>
  <si>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</si>
  <si>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</si>
  <si>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</si>
  <si>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</si>
  <si>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</si>
  <si>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</si>
  <si>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</si>
  <si>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</si>
  <si>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</si>
  <si>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</si>
  <si>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</si>
  <si>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</si>
  <si>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</si>
  <si>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</si>
  <si>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</si>
  <si>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</si>
  <si>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</si>
  <si>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</si>
  <si>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</si>
  <si>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</si>
  <si>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</si>
  <si>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</si>
  <si>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</si>
  <si>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</si>
  <si>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</si>
  <si>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</si>
  <si>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</si>
  <si>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</si>
  <si>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</si>
  <si>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</si>
  <si>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</si>
  <si>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</si>
  <si>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</si>
  <si>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</si>
  <si>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</si>
  <si>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</si>
  <si>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</si>
  <si>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</si>
  <si>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</si>
  <si>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</si>
  <si>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</si>
  <si>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</si>
  <si>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</si>
  <si>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</si>
  <si>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</si>
  <si>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</si>
  <si>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</si>
  <si>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</si>
  <si>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</si>
  <si>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</si>
  <si>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</si>
  <si>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</si>
  <si>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</si>
  <si>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</si>
  <si>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</si>
  <si>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</si>
  <si>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</si>
  <si>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</si>
  <si>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</si>
  <si>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</si>
  <si>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</si>
  <si>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</si>
  <si>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</si>
  <si>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</si>
  <si>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</si>
  <si>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</si>
  <si>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</si>
  <si>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</si>
  <si>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</si>
  <si>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</si>
  <si>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</si>
  <si>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</si>
  <si>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</si>
  <si>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</si>
  <si>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</si>
  <si>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</si>
  <si>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</si>
  <si>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</si>
  <si>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</si>
  <si>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</si>
  <si>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</si>
  <si>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</si>
  <si>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</si>
  <si>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</si>
  <si>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</si>
  <si>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</si>
  <si>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</si>
  <si>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</si>
  <si>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</si>
  <si>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</si>
  <si>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</si>
  <si>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</si>
  <si>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</si>
  <si>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</si>
  <si>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</si>
  <si>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</si>
  <si>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</si>
  <si>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</si>
  <si>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</si>
  <si>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</si>
  <si>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</si>
  <si>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</si>
  <si>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</si>
  <si>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</si>
  <si>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</si>
  <si>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</si>
  <si>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</si>
  <si>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</si>
  <si>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</si>
  <si>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</si>
  <si>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</si>
  <si>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</si>
  <si>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</si>
  <si>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</si>
  <si>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</si>
  <si>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</si>
  <si>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</si>
  <si>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</si>
  <si>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</si>
  <si>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</si>
  <si>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</si>
  <si>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</si>
  <si>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</si>
  <si>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</si>
  <si>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</si>
  <si>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</si>
  <si>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</si>
  <si>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</si>
  <si>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</si>
  <si>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</si>
  <si>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</si>
  <si>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</si>
  <si>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</si>
  <si>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</si>
  <si>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</si>
  <si>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</si>
  <si>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</si>
  <si>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</si>
  <si>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</si>
  <si>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</si>
  <si>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</si>
  <si>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</si>
  <si>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</si>
  <si>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</si>
  <si>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</si>
  <si>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</si>
  <si>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</si>
  <si>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</si>
  <si>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</si>
  <si>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</si>
  <si>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</si>
  <si>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</si>
  <si>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</si>
  <si>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</si>
  <si>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</si>
  <si>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</si>
  <si>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</si>
  <si>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</si>
  <si>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</si>
  <si>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</si>
  <si>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</si>
  <si>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</si>
  <si>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</si>
  <si>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</si>
  <si>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</si>
  <si>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</si>
  <si>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</si>
  <si>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</si>
  <si>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</si>
  <si>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</si>
  <si>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</si>
  <si>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</si>
  <si>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</si>
  <si>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</si>
  <si>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</si>
  <si>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</si>
  <si>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</si>
  <si>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</si>
  <si>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</si>
  <si>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</si>
  <si>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</si>
  <si>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</si>
  <si>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</si>
  <si>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</si>
  <si>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</si>
  <si>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</si>
  <si>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</si>
  <si>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</si>
  <si>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</si>
  <si>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</si>
  <si>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</si>
  <si>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</si>
  <si>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</si>
  <si>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</si>
  <si>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</si>
  <si>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</si>
  <si>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</si>
  <si>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</si>
  <si>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</si>
  <si>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</si>
  <si>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</si>
  <si>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</si>
  <si>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</si>
  <si>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</si>
  <si>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</si>
  <si>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</si>
  <si>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</si>
  <si>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</si>
  <si>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</si>
  <si>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</si>
  <si>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</si>
  <si>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</si>
  <si>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</si>
  <si>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</si>
  <si>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</si>
  <si>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</si>
  <si>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</si>
  <si>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</si>
  <si>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</si>
  <si>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</si>
  <si>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</si>
  <si>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</si>
  <si>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</si>
  <si>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</si>
  <si>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</si>
  <si>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</si>
  <si>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</si>
  <si>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</si>
  <si>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</si>
  <si>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</si>
  <si>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</si>
  <si>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</si>
  <si>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</si>
  <si>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</si>
  <si>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</si>
  <si>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</si>
  <si>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</si>
  <si>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</si>
  <si>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</si>
  <si>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</si>
  <si>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</si>
  <si>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</si>
  <si>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</si>
  <si>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</si>
  <si>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</si>
  <si>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</si>
  <si>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</si>
  <si>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</si>
  <si>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</si>
  <si>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</si>
  <si>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</si>
  <si>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</si>
  <si>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</si>
  <si>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</si>
  <si>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</si>
  <si>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</si>
  <si>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</si>
  <si>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</si>
  <si>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</si>
  <si>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</si>
  <si>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</si>
  <si>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</si>
  <si>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</si>
  <si>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</si>
  <si>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</si>
  <si>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</si>
  <si>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</si>
  <si>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</si>
  <si>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</si>
  <si>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</si>
  <si>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</si>
  <si>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</si>
  <si>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</si>
  <si>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</si>
  <si>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</si>
  <si>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</si>
  <si>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</si>
  <si>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</si>
  <si>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</si>
  <si>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</si>
  <si>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</si>
  <si>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</si>
  <si>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</si>
  <si>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</si>
  <si>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</si>
  <si>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</si>
  <si>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</si>
  <si>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</si>
  <si>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</si>
  <si>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</si>
  <si>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</si>
  <si>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</si>
  <si>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</si>
  <si>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</si>
  <si>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</si>
  <si>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</si>
  <si>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</si>
  <si>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</si>
  <si>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</si>
  <si>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</si>
  <si>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</si>
  <si>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</si>
  <si>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</si>
  <si>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</si>
  <si>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</si>
  <si>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</si>
  <si>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</si>
  <si>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</si>
  <si>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</si>
  <si>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</si>
  <si>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</si>
  <si>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</si>
  <si>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</si>
  <si>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</si>
  <si>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</si>
  <si>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</si>
  <si>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</si>
  <si>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</si>
  <si>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</si>
  <si>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</si>
  <si>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</si>
  <si>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</si>
  <si>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</si>
  <si>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</si>
  <si>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</si>
  <si>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</si>
  <si>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</si>
  <si>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</si>
  <si>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</si>
  <si>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</si>
  <si>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</si>
  <si>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</si>
  <si>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</si>
  <si>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</si>
  <si>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</si>
  <si>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</si>
  <si>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</si>
  <si>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</si>
  <si>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</si>
  <si>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</si>
  <si>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</si>
  <si>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</si>
  <si>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</si>
  <si>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</si>
  <si>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</si>
  <si>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</si>
  <si>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</si>
  <si>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</si>
  <si>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</si>
  <si>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</si>
  <si>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</si>
  <si>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</si>
  <si>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</si>
  <si>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</si>
  <si>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</si>
  <si>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</si>
  <si>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</si>
  <si>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</si>
  <si>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</si>
  <si>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</si>
  <si>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</si>
  <si>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</si>
  <si>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</si>
  <si>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</si>
  <si>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</si>
  <si>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</si>
  <si>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</si>
  <si>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</si>
  <si>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</si>
  <si>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</si>
  <si>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</si>
  <si>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</si>
  <si>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</si>
  <si>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</si>
  <si>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</si>
  <si>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</si>
  <si>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</si>
  <si>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</si>
  <si>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</si>
  <si>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</si>
  <si>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</si>
  <si>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</si>
  <si>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</si>
  <si>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</si>
  <si>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</si>
  <si>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</si>
  <si>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</si>
  <si>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</si>
  <si>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</si>
  <si>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</si>
  <si>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</si>
  <si>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</si>
  <si>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</si>
  <si>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</si>
  <si>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</si>
  <si>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</si>
  <si>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</si>
  <si>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</si>
  <si>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</si>
  <si>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</si>
  <si>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</si>
  <si>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</si>
  <si>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</si>
  <si>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</si>
  <si>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</si>
  <si>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</si>
  <si>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</si>
  <si>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</si>
  <si>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</si>
  <si>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</si>
  <si>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</si>
  <si>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</si>
  <si>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</si>
  <si>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</si>
  <si>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</si>
  <si>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</si>
  <si>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</si>
  <si>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</si>
  <si>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</si>
  <si>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</si>
  <si>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</si>
  <si>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</si>
  <si>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</si>
  <si>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</si>
  <si>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</si>
  <si>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</si>
  <si>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</si>
  <si>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</si>
  <si>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</si>
  <si>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</si>
  <si>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</si>
  <si>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</si>
  <si>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</si>
  <si>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</si>
  <si>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</si>
  <si>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</si>
  <si>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</si>
  <si>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</si>
  <si>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</si>
  <si>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</si>
  <si>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</si>
  <si>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</si>
  <si>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</si>
  <si>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</si>
  <si>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</si>
  <si>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</si>
  <si>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</si>
  <si>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</si>
  <si>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</si>
  <si>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</si>
  <si>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</si>
  <si>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</si>
  <si>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</si>
  <si>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</si>
  <si>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</si>
  <si>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</si>
  <si>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</si>
  <si>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</si>
  <si>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</si>
  <si>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</si>
  <si>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</si>
  <si>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</si>
  <si>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</si>
  <si>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</si>
  <si>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</si>
  <si>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</si>
  <si>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</si>
  <si>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</si>
  <si>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</si>
  <si>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</si>
  <si>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</si>
  <si>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</si>
  <si>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</si>
  <si>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</si>
  <si>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</si>
  <si>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</si>
  <si>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</si>
  <si>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</si>
  <si>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</si>
  <si>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</si>
  <si>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</si>
  <si>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</si>
  <si>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</si>
  <si>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</si>
  <si>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</si>
  <si>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</si>
  <si>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</si>
  <si>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</si>
  <si>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</si>
  <si>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</si>
  <si>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</si>
  <si>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</si>
  <si>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</si>
  <si>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</si>
  <si>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</si>
  <si>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</si>
  <si>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</si>
  <si>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</si>
  <si>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</si>
  <si>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</si>
  <si>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</si>
  <si>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</si>
  <si>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</si>
  <si>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</si>
  <si>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</si>
  <si>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</si>
  <si>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</si>
  <si>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</si>
  <si>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</si>
  <si>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</si>
  <si>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</si>
  <si>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</si>
  <si>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</si>
  <si>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</si>
  <si>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</si>
  <si>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</si>
  <si>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</si>
  <si>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</si>
  <si>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</si>
  <si>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</si>
  <si>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</si>
  <si>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</si>
  <si>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</si>
  <si>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</si>
  <si>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</si>
  <si>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</si>
  <si>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</si>
  <si>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</si>
  <si>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</si>
  <si>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</si>
  <si>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</si>
  <si>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</si>
  <si>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</si>
  <si>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</si>
  <si>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</si>
  <si>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</si>
  <si>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</si>
  <si>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</si>
  <si>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</si>
  <si>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</si>
  <si>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</si>
  <si>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</si>
  <si>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</si>
  <si>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</si>
  <si>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</si>
  <si>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</si>
  <si>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</si>
  <si>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</si>
  <si>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</si>
  <si>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</si>
  <si>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</si>
  <si>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</si>
  <si>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</si>
  <si>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</si>
  <si>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</si>
  <si>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</si>
  <si>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</si>
  <si>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</si>
  <si>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</si>
  <si>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</si>
  <si>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</si>
  <si>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</si>
  <si>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</si>
  <si>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</si>
  <si>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</si>
  <si>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</si>
  <si>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</si>
  <si>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</si>
  <si>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</si>
  <si>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</si>
  <si>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</si>
  <si>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</si>
  <si>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</si>
  <si>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</si>
  <si>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</si>
  <si>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</si>
  <si>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</si>
  <si>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</si>
  <si>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</si>
  <si>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</si>
  <si>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</si>
  <si>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</si>
  <si>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</si>
  <si>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</si>
  <si>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</si>
  <si>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</si>
  <si>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</si>
  <si>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</si>
  <si>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</si>
  <si>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</si>
  <si>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</si>
  <si>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</si>
  <si>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</si>
  <si>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</si>
  <si>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</si>
  <si>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</si>
  <si>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</si>
  <si>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</si>
  <si>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</si>
  <si>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</si>
  <si>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</si>
  <si>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</si>
  <si>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</si>
  <si>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</si>
  <si>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</si>
  <si>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</si>
  <si>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</si>
  <si>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</si>
  <si>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</si>
  <si>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</si>
  <si>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</si>
  <si>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</si>
  <si>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</si>
  <si>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</si>
  <si>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</si>
  <si>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</si>
  <si>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</si>
  <si>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</si>
  <si>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</si>
  <si>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</si>
  <si>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</si>
  <si>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</si>
  <si>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</si>
  <si>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</si>
  <si>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</si>
  <si>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</si>
  <si>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</si>
  <si>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</si>
  <si>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</si>
  <si>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</si>
  <si>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</si>
  <si>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</si>
  <si>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</si>
  <si>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</si>
  <si>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</si>
  <si>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</si>
  <si>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</si>
  <si>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</si>
  <si>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</si>
  <si>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</si>
  <si>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</si>
  <si>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</si>
  <si>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</si>
  <si>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</si>
  <si>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</si>
  <si>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</si>
  <si>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</si>
  <si>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</si>
  <si>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</si>
  <si>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</si>
  <si>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</si>
  <si>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</si>
  <si>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</si>
  <si>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</si>
  <si>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</si>
  <si>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</si>
  <si>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</si>
  <si>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</si>
  <si>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</si>
  <si>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</si>
  <si>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</si>
  <si>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</si>
  <si>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</si>
  <si>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</si>
  <si>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</si>
  <si>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</si>
  <si>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</si>
  <si>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</si>
  <si>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</si>
  <si>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</si>
  <si>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</si>
  <si>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</si>
  <si>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</si>
  <si>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</si>
  <si>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</si>
  <si>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</si>
  <si>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</si>
  <si>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</si>
  <si>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</si>
  <si>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</si>
  <si>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</si>
  <si>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</si>
  <si>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</si>
  <si>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</si>
  <si>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</si>
  <si>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</si>
  <si>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</si>
  <si>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</si>
  <si>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</si>
  <si>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</si>
  <si>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</si>
  <si>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</si>
  <si>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</si>
  <si>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</si>
  <si>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</si>
  <si>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</si>
  <si>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</si>
  <si>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</si>
  <si>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</si>
  <si>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</si>
  <si>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</si>
  <si>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</si>
  <si>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</si>
  <si>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</si>
  <si>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</si>
  <si>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</si>
  <si>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</si>
  <si>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</si>
  <si>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</si>
  <si>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</si>
  <si>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</si>
  <si>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</si>
  <si>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</si>
  <si>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</si>
  <si>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</si>
  <si>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</si>
  <si>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</si>
  <si>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</si>
  <si>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</si>
  <si>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</si>
  <si>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</si>
  <si>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</si>
  <si>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</si>
  <si>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</si>
  <si>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</si>
  <si>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</si>
  <si>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</si>
  <si>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</si>
  <si>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</si>
  <si>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</si>
  <si>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</si>
  <si>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</si>
  <si>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</si>
  <si>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</si>
  <si>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</si>
  <si>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</si>
  <si>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</si>
  <si>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</si>
  <si>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</si>
  <si>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</si>
  <si>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</si>
  <si>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</si>
  <si>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</si>
  <si>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</si>
  <si>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</si>
  <si>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</si>
  <si>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</si>
  <si>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</si>
  <si>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</si>
  <si>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</si>
  <si>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</si>
  <si>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</si>
  <si>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</si>
  <si>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</si>
  <si>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</si>
  <si>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</si>
  <si>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</si>
  <si>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</si>
  <si>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</si>
  <si>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</si>
  <si>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</si>
  <si>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</si>
  <si>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</si>
  <si>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</si>
  <si>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</si>
  <si>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</si>
  <si>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</si>
  <si>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</si>
  <si>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</si>
  <si>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</si>
  <si>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</si>
  <si>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</si>
  <si>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</si>
  <si>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</si>
  <si>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</si>
  <si>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</si>
  <si>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</si>
  <si>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</si>
  <si>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</si>
  <si>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</si>
  <si>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</si>
  <si>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</si>
  <si>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</si>
  <si>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</si>
  <si>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</si>
  <si>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</si>
  <si>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</si>
  <si>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</si>
  <si>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</si>
  <si>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</si>
  <si>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</si>
  <si>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</si>
  <si>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</si>
  <si>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</si>
  <si>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</si>
  <si>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</si>
  <si>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</si>
  <si>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</si>
  <si>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</si>
  <si>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</si>
  <si>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</si>
  <si>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</si>
  <si>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</si>
  <si>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</si>
  <si>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</si>
  <si>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</si>
  <si>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</si>
  <si>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</si>
  <si>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</si>
  <si>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</si>
  <si>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</si>
  <si>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</si>
  <si>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</si>
  <si>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</si>
  <si>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</si>
  <si>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</si>
  <si>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</si>
  <si>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</si>
  <si>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</si>
  <si>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</si>
  <si>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</si>
  <si>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</si>
  <si>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</si>
  <si>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</si>
  <si>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</si>
  <si>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</si>
  <si>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</si>
  <si>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</si>
  <si>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</si>
  <si>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</si>
  <si>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</si>
  <si>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</si>
  <si>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</si>
  <si>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</si>
  <si>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</si>
  <si>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</si>
  <si>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</si>
  <si>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</si>
  <si>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</si>
  <si>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</si>
  <si>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</si>
  <si>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</si>
  <si>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</si>
  <si>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</si>
  <si>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</si>
  <si>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</si>
  <si>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</si>
  <si>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</si>
  <si>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</si>
  <si>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</si>
  <si>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</si>
  <si>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</si>
  <si>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</si>
  <si>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</si>
  <si>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</si>
  <si>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</si>
  <si>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</si>
  <si>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</si>
  <si>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</si>
  <si>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</si>
  <si>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</si>
  <si>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</si>
  <si>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</si>
  <si>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</si>
  <si>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</si>
  <si>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</si>
  <si>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</si>
  <si>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</si>
  <si>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</si>
  <si>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</si>
  <si>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</si>
  <si>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</si>
  <si>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</si>
  <si>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</si>
  <si>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</si>
  <si>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</si>
  <si>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</si>
  <si>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</si>
  <si>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</si>
  <si>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</si>
  <si>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</si>
  <si>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</si>
  <si>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</si>
  <si>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</si>
  <si>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</si>
  <si>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</si>
  <si>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</si>
  <si>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</si>
  <si>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</si>
  <si>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</si>
  <si>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</si>
  <si>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</si>
  <si>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</si>
  <si>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</si>
  <si>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</si>
  <si>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</si>
  <si>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</si>
  <si>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</si>
  <si>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</si>
  <si>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</si>
  <si>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</si>
  <si>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</si>
  <si>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</si>
  <si>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</si>
  <si>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</si>
  <si>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</si>
  <si>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</si>
  <si>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</si>
  <si>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</si>
  <si>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</si>
  <si>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</si>
  <si>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</si>
  <si>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</si>
  <si>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</si>
  <si>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</si>
  <si>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</si>
  <si>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</si>
  <si>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</si>
  <si>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</si>
  <si>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</si>
  <si>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</si>
  <si>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</si>
  <si>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</si>
  <si>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</si>
  <si>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</si>
  <si>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</si>
  <si>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</si>
  <si>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</si>
  <si>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</si>
  <si>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</si>
  <si>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</si>
  <si>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</si>
  <si>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</si>
  <si>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</si>
  <si>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</si>
  <si>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</si>
  <si>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</si>
  <si>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</si>
  <si>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</si>
  <si>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</si>
  <si>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</si>
  <si>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</si>
  <si>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</si>
  <si>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</si>
  <si>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</si>
  <si>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</si>
  <si>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</si>
  <si>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</si>
  <si>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</si>
  <si>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</si>
  <si>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</si>
  <si>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</si>
  <si>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</si>
  <si>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</si>
  <si>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</si>
  <si>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</si>
  <si>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</si>
  <si>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</si>
  <si>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</si>
  <si>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</si>
  <si>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</si>
  <si>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</si>
  <si>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</si>
  <si>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</si>
  <si>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</si>
  <si>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</si>
  <si>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</si>
  <si>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</si>
  <si>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</si>
  <si>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</si>
  <si>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</si>
  <si>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</si>
  <si>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</si>
  <si>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</si>
  <si>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</si>
  <si>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</si>
  <si>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</si>
  <si>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</si>
  <si>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</si>
  <si>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</si>
  <si>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</si>
  <si>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</si>
  <si>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</si>
  <si>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</si>
  <si>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</si>
  <si>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</si>
  <si>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</si>
  <si>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</si>
  <si>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</si>
  <si>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</si>
  <si>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</si>
  <si>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</si>
  <si>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</si>
  <si>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</si>
  <si>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</si>
  <si>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</si>
  <si>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</si>
  <si>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</si>
  <si>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</si>
  <si>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</si>
  <si>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</si>
  <si>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</si>
  <si>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</si>
  <si>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</si>
  <si>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</si>
  <si>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</si>
  <si>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</si>
  <si>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</si>
  <si>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</si>
  <si>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</si>
  <si>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</si>
  <si>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</si>
  <si>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</si>
  <si>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</si>
  <si>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</si>
  <si>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</si>
  <si>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</si>
  <si>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</si>
  <si>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</si>
  <si>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</si>
  <si>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</si>
  <si>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</si>
  <si>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</si>
  <si>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</si>
  <si>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</si>
  <si>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</si>
  <si>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</si>
  <si>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</si>
  <si>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</si>
  <si>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</si>
  <si>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</si>
  <si>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</si>
  <si>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</si>
  <si>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</si>
  <si>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</si>
  <si>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</si>
  <si>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</si>
  <si>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</si>
  <si>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</si>
  <si>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</si>
  <si>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</si>
  <si>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</si>
  <si>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</si>
  <si>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</si>
  <si>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</si>
  <si>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</si>
  <si>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</si>
  <si>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</si>
  <si>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</si>
  <si>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</si>
  <si>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</si>
  <si>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</si>
  <si>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</si>
  <si>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</si>
  <si>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</si>
  <si>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</si>
  <si>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</si>
  <si>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</si>
  <si>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</si>
  <si>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</si>
  <si>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</si>
  <si>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</si>
  <si>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</si>
  <si>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</si>
  <si>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</si>
  <si>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</si>
  <si>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</si>
  <si>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</si>
  <si>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</si>
  <si>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</si>
  <si>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</si>
  <si>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</si>
  <si>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</si>
  <si>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</si>
  <si>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</si>
  <si>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</si>
  <si>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</si>
  <si>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</si>
  <si>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</si>
  <si>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</si>
  <si>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</si>
  <si>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</si>
  <si>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</si>
  <si>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</si>
  <si>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</si>
  <si>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</si>
  <si>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</si>
  <si>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</si>
  <si>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</si>
  <si>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</si>
  <si>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</si>
  <si>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</si>
  <si>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</si>
  <si>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</si>
  <si>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</si>
  <si>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</si>
  <si>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</si>
  <si>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</si>
  <si>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</si>
  <si>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</si>
  <si>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</si>
  <si>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</si>
  <si>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</si>
  <si>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</si>
  <si>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</si>
  <si>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</si>
  <si>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</si>
  <si>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</si>
  <si>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</si>
  <si>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</si>
  <si>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</si>
  <si>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</si>
  <si>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</si>
  <si>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</si>
  <si>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</si>
  <si>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</si>
  <si>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</si>
  <si>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</si>
  <si>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</si>
  <si>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</si>
  <si>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</si>
  <si>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</si>
  <si>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</si>
  <si>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</si>
  <si>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</si>
  <si>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</si>
  <si>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</si>
  <si>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</si>
  <si>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</si>
  <si>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</si>
  <si>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</si>
  <si>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</si>
  <si>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</si>
  <si>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</si>
  <si>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</si>
  <si>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</si>
  <si>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</si>
  <si>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</si>
  <si>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</si>
  <si>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</si>
  <si>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</si>
  <si>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</si>
  <si>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</si>
  <si>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</si>
  <si>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</si>
  <si>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</si>
  <si>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</si>
  <si>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</si>
  <si>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</si>
  <si>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</si>
  <si>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</si>
  <si>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</si>
  <si>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</si>
  <si>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</si>
  <si>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</si>
  <si>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</si>
  <si>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</si>
  <si>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</si>
  <si>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</si>
  <si>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</si>
  <si>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</si>
  <si>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</si>
  <si>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</si>
  <si>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</si>
  <si>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</si>
  <si>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</si>
  <si>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</si>
  <si>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</si>
  <si>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</si>
  <si>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</si>
  <si>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</si>
  <si>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</si>
  <si>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</si>
  <si>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</si>
  <si>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</si>
  <si>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</si>
  <si>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</si>
  <si>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</si>
  <si>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</si>
  <si>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</si>
  <si>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</si>
  <si>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</si>
  <si>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</si>
  <si>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</si>
  <si>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</si>
  <si>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</si>
  <si>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</si>
  <si>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</si>
  <si>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</si>
  <si>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</si>
  <si>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</si>
  <si>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</si>
  <si>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</si>
  <si>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</si>
  <si>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</si>
  <si>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</si>
  <si>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</si>
  <si>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</si>
  <si>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</si>
  <si>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</si>
  <si>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</si>
  <si>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</si>
  <si>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</si>
  <si>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</si>
  <si>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</si>
  <si>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</si>
  <si>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</si>
  <si>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</si>
  <si>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</si>
  <si>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</si>
  <si>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</si>
  <si>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</si>
  <si>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</si>
  <si>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</si>
  <si>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</si>
  <si>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</si>
  <si>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</si>
  <si>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</si>
  <si>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</si>
  <si>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</si>
  <si>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</si>
  <si>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</si>
  <si>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</si>
  <si>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</si>
  <si>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</si>
  <si>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</si>
  <si>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</si>
  <si>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</si>
  <si>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</si>
  <si>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</si>
  <si>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</si>
  <si>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</si>
  <si>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</si>
  <si>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</si>
  <si>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</si>
  <si>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</si>
  <si>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</si>
  <si>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</si>
  <si>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</si>
  <si>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</si>
  <si>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</si>
  <si>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</si>
  <si>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</si>
  <si>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</si>
  <si>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</si>
  <si>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</si>
  <si>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</si>
  <si>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</si>
  <si>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</si>
  <si>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</si>
  <si>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</si>
  <si>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</si>
  <si>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</si>
  <si>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</si>
  <si>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</si>
  <si>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</si>
  <si>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</si>
  <si>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</si>
  <si>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</si>
  <si>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</si>
  <si>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</si>
  <si>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</si>
  <si>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</si>
  <si>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</si>
  <si>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</si>
  <si>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</si>
  <si>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</si>
  <si>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</si>
  <si>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</si>
  <si>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</si>
  <si>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</si>
  <si>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</si>
  <si>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</si>
  <si>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</si>
  <si>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</si>
  <si>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</si>
  <si>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</si>
  <si>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</si>
  <si>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</si>
  <si>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</si>
  <si>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</si>
  <si>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</si>
  <si>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</si>
  <si>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</si>
  <si>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</si>
  <si>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</si>
  <si>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</si>
  <si>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</si>
  <si>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</si>
  <si>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</si>
  <si>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</si>
  <si>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</si>
  <si>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</si>
  <si>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</si>
  <si>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</si>
  <si>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</si>
  <si>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</si>
  <si>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</si>
  <si>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</si>
  <si>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</si>
  <si>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</si>
  <si>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</si>
  <si>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</si>
  <si>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</si>
  <si>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</si>
  <si>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</si>
  <si>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</si>
  <si>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</si>
  <si>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</si>
  <si>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</si>
  <si>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</si>
  <si>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</si>
  <si>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</si>
  <si>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</si>
  <si>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</si>
  <si>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</si>
  <si>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</si>
  <si>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</si>
  <si>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</si>
  <si>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</si>
  <si>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</si>
  <si>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</si>
  <si>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</si>
  <si>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</si>
  <si>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</si>
  <si>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</si>
  <si>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</si>
  <si>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</si>
  <si>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</si>
  <si>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</si>
  <si>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</si>
  <si>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</si>
  <si>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</si>
  <si>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</si>
  <si>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</si>
  <si>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</si>
  <si>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</si>
  <si>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</si>
  <si>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</si>
  <si>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</si>
  <si>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</si>
  <si>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</si>
  <si>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</si>
  <si>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</si>
  <si>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</si>
  <si>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</si>
  <si>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</si>
  <si>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</si>
  <si>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</si>
  <si>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</si>
  <si>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</si>
  <si>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</si>
  <si>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</si>
  <si>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</si>
  <si>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</si>
  <si>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</si>
  <si>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</si>
  <si>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</si>
  <si>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</si>
  <si>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</si>
  <si>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</si>
  <si>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</si>
  <si>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</si>
  <si>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</si>
  <si>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</si>
  <si>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</si>
  <si>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</si>
  <si>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</si>
  <si>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</si>
  <si>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</si>
  <si>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</si>
  <si>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</si>
  <si>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</si>
  <si>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</si>
  <si>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</si>
  <si>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</si>
  <si>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</si>
  <si>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</si>
  <si>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</si>
  <si>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</si>
  <si>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</si>
  <si>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</si>
  <si>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</si>
  <si>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</si>
  <si>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</si>
  <si>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</si>
  <si>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</si>
  <si>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</si>
  <si>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</si>
  <si>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</si>
  <si>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</si>
  <si>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</si>
  <si>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</si>
  <si>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</si>
  <si>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</si>
  <si>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</si>
  <si>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</si>
  <si>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</si>
  <si>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</si>
  <si>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</si>
  <si>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</si>
  <si>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</si>
  <si>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</si>
  <si>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</si>
  <si>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</si>
  <si>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</si>
  <si>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</si>
  <si>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</si>
  <si>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</si>
  <si>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</si>
  <si>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</si>
  <si>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</si>
  <si>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</si>
  <si>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</si>
  <si>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</si>
  <si>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</si>
  <si>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</si>
  <si>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</si>
  <si>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</si>
  <si>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</si>
  <si>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</si>
  <si>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</si>
  <si>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</si>
  <si>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</si>
  <si>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</si>
  <si>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</si>
  <si>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</si>
  <si>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</si>
  <si>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</si>
  <si>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</si>
  <si>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</si>
  <si>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</si>
  <si>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</si>
  <si>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</si>
  <si>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</si>
  <si>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</si>
  <si>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</si>
  <si>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</si>
  <si>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</si>
  <si>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</si>
  <si>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</si>
  <si>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</si>
  <si>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</si>
  <si>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</si>
  <si>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</si>
  <si>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</si>
  <si>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</si>
  <si>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</si>
  <si>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</si>
  <si>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</si>
  <si>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</si>
  <si>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</si>
  <si>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</si>
  <si>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</si>
  <si>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</si>
  <si>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</si>
  <si>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</si>
  <si>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</si>
  <si>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</si>
  <si>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</si>
  <si>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</si>
  <si>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</si>
  <si>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</si>
  <si>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</si>
  <si>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</si>
  <si>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</si>
  <si>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</si>
  <si>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</si>
  <si>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</si>
  <si>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</si>
  <si>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</si>
  <si>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</si>
  <si>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</si>
  <si>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</si>
  <si>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</si>
  <si>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</si>
  <si>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</si>
  <si>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</si>
  <si>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</si>
  <si>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</si>
  <si>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</si>
  <si>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</si>
  <si>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</si>
  <si>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</si>
  <si>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</si>
  <si>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</si>
  <si>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</si>
  <si>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</si>
  <si>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</si>
  <si>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</si>
  <si>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</si>
  <si>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</si>
  <si>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</si>
  <si>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</si>
  <si>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</si>
  <si>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</si>
  <si>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</si>
  <si>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</si>
  <si>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</si>
  <si>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</si>
  <si>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</si>
  <si>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</si>
  <si>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</si>
  <si>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</si>
  <si>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</si>
  <si>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</si>
  <si>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</si>
  <si>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</si>
  <si>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</si>
  <si>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</si>
  <si>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</si>
  <si>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</si>
  <si>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</si>
  <si>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</si>
  <si>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</si>
  <si>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</si>
  <si>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</si>
  <si>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</si>
  <si>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</si>
  <si>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</si>
  <si>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</si>
  <si>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</si>
  <si>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</si>
  <si>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</si>
  <si>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</si>
  <si>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</si>
  <si>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</si>
  <si>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</si>
  <si>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</si>
  <si>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</si>
  <si>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</si>
  <si>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</si>
  <si>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</si>
  <si>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</si>
  <si>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</si>
  <si>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</si>
  <si>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</si>
  <si>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</si>
  <si>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</si>
  <si>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</si>
  <si>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</si>
  <si>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</si>
  <si>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</si>
  <si>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</si>
  <si>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</si>
  <si>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</si>
  <si>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</si>
  <si>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</si>
  <si>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</si>
  <si>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</si>
  <si>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</si>
  <si>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</si>
  <si>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</si>
  <si>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</si>
  <si>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</si>
  <si>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</si>
  <si>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</si>
  <si>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</si>
  <si>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</si>
  <si>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</si>
  <si>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</si>
  <si>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</si>
  <si>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</si>
  <si>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</si>
  <si>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</si>
  <si>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</si>
  <si>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</si>
  <si>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</si>
  <si>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</si>
  <si>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</si>
  <si>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</si>
  <si>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</si>
  <si>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</si>
  <si>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</si>
  <si>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</si>
  <si>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</si>
  <si>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</si>
  <si>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</si>
  <si>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</si>
  <si>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</si>
  <si>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</si>
  <si>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</si>
  <si>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</si>
  <si>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</si>
  <si>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</si>
  <si>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</si>
  <si>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</si>
  <si>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</si>
  <si>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</si>
  <si>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</si>
  <si>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</si>
  <si>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</si>
  <si>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</si>
  <si>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</si>
  <si>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</si>
  <si>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</si>
  <si>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</si>
  <si>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</si>
  <si>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</si>
  <si>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</si>
  <si>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</si>
  <si>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</si>
  <si>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</si>
  <si>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</si>
  <si>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</si>
  <si>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</si>
  <si>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</si>
  <si>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</si>
  <si>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</si>
  <si>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</si>
  <si>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</si>
  <si>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</si>
  <si>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</si>
  <si>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</si>
  <si>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</si>
  <si>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</si>
  <si>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</si>
  <si>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</si>
  <si>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</si>
  <si>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</si>
  <si>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</si>
  <si>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</si>
  <si>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</si>
  <si>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</si>
  <si>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</si>
  <si>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</si>
  <si>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</si>
  <si>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</si>
  <si>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</si>
  <si>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</si>
  <si>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</si>
  <si>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</si>
  <si>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</si>
  <si>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</si>
  <si>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</si>
  <si>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</si>
  <si>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</si>
  <si>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</si>
  <si>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</si>
  <si>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</si>
  <si>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</si>
  <si>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</si>
  <si>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</si>
  <si>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</si>
  <si>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</si>
  <si>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</si>
  <si>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</si>
  <si>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</si>
  <si>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</si>
  <si>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</si>
  <si>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</si>
  <si>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</si>
  <si>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</si>
  <si>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</si>
  <si>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</si>
  <si>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</si>
  <si>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</si>
  <si>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</si>
  <si>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</si>
  <si>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</si>
  <si>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</si>
  <si>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</si>
  <si>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</si>
  <si>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</si>
  <si>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</si>
  <si>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</si>
  <si>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</si>
  <si>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</si>
  <si>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</si>
  <si>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</si>
  <si>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</si>
  <si>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</si>
  <si>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</si>
  <si>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</si>
  <si>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</si>
  <si>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</si>
  <si>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</si>
  <si>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</si>
  <si>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</si>
  <si>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</si>
  <si>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</si>
  <si>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</si>
  <si>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</si>
  <si>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</si>
  <si>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</si>
  <si>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</si>
  <si>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</si>
  <si>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</si>
  <si>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</si>
  <si>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</si>
  <si>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</si>
  <si>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</si>
  <si>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</si>
  <si>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</si>
  <si>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</si>
  <si>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</si>
  <si>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</si>
  <si>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</si>
  <si>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</si>
  <si>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</si>
  <si>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</si>
  <si>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</si>
  <si>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</si>
  <si>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</si>
  <si>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</si>
  <si>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</si>
  <si>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</si>
  <si>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</si>
  <si>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</si>
  <si>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</si>
  <si>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</si>
  <si>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</si>
  <si>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</si>
  <si>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</si>
  <si>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</si>
  <si>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</si>
  <si>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</si>
  <si>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</si>
  <si>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</si>
  <si>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</si>
  <si>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</si>
  <si>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</si>
  <si>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</si>
  <si>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</si>
  <si>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</si>
  <si>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</si>
  <si>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</si>
  <si>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</si>
  <si>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</si>
  <si>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</si>
  <si>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</si>
  <si>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</si>
  <si>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</si>
  <si>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</si>
  <si>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</si>
  <si>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</si>
  <si>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</si>
  <si>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</si>
  <si>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</si>
  <si>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</si>
  <si>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</si>
  <si>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</si>
  <si>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</si>
  <si>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</si>
  <si>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</si>
  <si>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</si>
  <si>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</si>
  <si>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</si>
  <si>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</si>
  <si>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</si>
  <si>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</si>
  <si>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</si>
  <si>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</si>
  <si>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</si>
  <si>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</si>
  <si>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</si>
  <si>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</si>
  <si>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</si>
  <si>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</si>
  <si>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</si>
  <si>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</si>
  <si>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</si>
  <si>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</si>
  <si>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</si>
  <si>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</si>
  <si>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</si>
  <si>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</si>
  <si>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</si>
  <si>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</si>
  <si>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</si>
  <si>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</si>
  <si>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</si>
  <si>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</si>
  <si>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</si>
  <si>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</si>
  <si>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</si>
  <si>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</si>
  <si>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</si>
  <si>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</si>
  <si>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</si>
  <si>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</si>
  <si>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</si>
  <si>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</si>
  <si>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</si>
  <si>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</si>
  <si>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</si>
  <si>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</si>
  <si>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</si>
  <si>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</si>
  <si>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</si>
  <si>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</si>
  <si>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</si>
  <si>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</si>
  <si>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</si>
  <si>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</si>
  <si>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</si>
  <si>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</si>
  <si>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</si>
  <si>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</si>
  <si>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</si>
  <si>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</si>
  <si>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</si>
  <si>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</si>
  <si>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</si>
  <si>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</si>
  <si>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</si>
  <si>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</si>
  <si>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</si>
  <si>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</si>
  <si>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</si>
  <si>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</si>
  <si>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</si>
  <si>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</si>
  <si>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</si>
  <si>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</si>
  <si>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</si>
  <si>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</si>
  <si>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</si>
  <si>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</si>
  <si>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</si>
  <si>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</si>
  <si>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</si>
  <si>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</si>
  <si>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</si>
  <si>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</si>
  <si>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</si>
  <si>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</si>
  <si>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</si>
  <si>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</si>
  <si>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</si>
  <si>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</si>
  <si>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</si>
  <si>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</si>
  <si>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</si>
  <si>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</si>
  <si>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</si>
  <si>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</si>
  <si>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</si>
  <si>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</si>
  <si>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</si>
  <si>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</si>
  <si>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</si>
  <si>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</si>
  <si>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</si>
  <si>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</si>
  <si>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</si>
  <si>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</si>
  <si>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</si>
  <si>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</si>
  <si>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</si>
  <si>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</si>
  <si>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</si>
  <si>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</si>
  <si>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</si>
  <si>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</si>
  <si>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</si>
  <si>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</si>
  <si>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</si>
  <si>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</si>
  <si>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</si>
  <si>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</si>
  <si>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</si>
  <si>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</si>
  <si>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</si>
  <si>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</si>
  <si>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</si>
  <si>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</si>
  <si>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</si>
  <si>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</si>
  <si>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</si>
  <si>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</si>
  <si>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</si>
  <si>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</si>
  <si>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</si>
  <si>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</si>
  <si>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</si>
  <si>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</si>
  <si>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</si>
  <si>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</si>
  <si>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</si>
  <si>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</si>
  <si>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</si>
  <si>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</si>
  <si>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</si>
  <si>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</si>
  <si>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</si>
  <si>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</si>
  <si>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</si>
  <si>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</si>
  <si>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</si>
  <si>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</si>
  <si>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</si>
  <si>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</si>
  <si>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</si>
  <si>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</si>
  <si>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</si>
  <si>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</si>
  <si>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</si>
  <si>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</si>
  <si>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</si>
  <si>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</si>
  <si>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</si>
  <si>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</si>
  <si>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</si>
  <si>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</si>
  <si>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</si>
  <si>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</si>
  <si>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</si>
  <si>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</si>
  <si>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</si>
  <si>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</si>
  <si>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</si>
  <si>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</si>
  <si>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</si>
  <si>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</si>
  <si>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</si>
  <si>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</si>
  <si>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</si>
  <si>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</si>
  <si>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</si>
  <si>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</si>
  <si>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</si>
  <si>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</si>
  <si>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</si>
  <si>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</si>
  <si>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</si>
  <si>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</si>
  <si>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</si>
  <si>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</si>
  <si>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</si>
  <si>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</si>
  <si>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</si>
  <si>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</si>
  <si>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</si>
  <si>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</si>
  <si>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</si>
  <si>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</si>
  <si>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</si>
  <si>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</si>
  <si>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</si>
  <si>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</si>
  <si>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</si>
  <si>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</si>
  <si>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</si>
  <si>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</si>
  <si>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</si>
  <si>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</si>
  <si>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</si>
  <si>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</si>
  <si>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</si>
  <si>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</si>
  <si>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</si>
  <si>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</si>
  <si>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</si>
  <si>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</si>
  <si>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</si>
  <si>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</si>
  <si>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</si>
  <si>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</si>
  <si>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</si>
  <si>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</si>
  <si>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</si>
  <si>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</si>
  <si>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</si>
  <si>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</si>
  <si>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</si>
  <si>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</si>
  <si>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</si>
  <si>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</si>
  <si>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</si>
  <si>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</si>
  <si>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</si>
  <si>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</si>
  <si>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</si>
  <si>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</si>
  <si>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</si>
  <si>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</si>
  <si>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</si>
  <si>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</si>
  <si>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</si>
  <si>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</si>
  <si>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</si>
  <si>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</si>
  <si>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</si>
  <si>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</si>
  <si>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</si>
  <si>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</si>
  <si>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</si>
  <si>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</si>
  <si>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</si>
  <si>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</si>
  <si>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</si>
  <si>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</si>
  <si>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</si>
  <si>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</si>
  <si>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</si>
  <si>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</si>
  <si>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</si>
  <si>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</si>
  <si>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</si>
  <si>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</si>
  <si>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</si>
  <si>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</si>
  <si>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</si>
  <si>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</si>
  <si>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</si>
  <si>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</si>
  <si>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</si>
  <si>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</si>
  <si>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</si>
  <si>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</si>
  <si>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</si>
  <si>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</si>
  <si>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</si>
  <si>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</si>
  <si>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</si>
  <si>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</si>
  <si>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</si>
  <si>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</si>
  <si>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</si>
  <si>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</si>
  <si>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</si>
  <si>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</si>
  <si>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</si>
  <si>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</si>
  <si>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</si>
  <si>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</si>
  <si>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</si>
  <si>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</si>
  <si>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</si>
  <si>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</si>
  <si>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</si>
  <si>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</si>
  <si>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</si>
  <si>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</si>
  <si>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</si>
  <si>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</si>
  <si>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</si>
  <si>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</si>
  <si>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</si>
  <si>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</si>
  <si>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</si>
  <si>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</si>
  <si>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</si>
  <si>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</si>
  <si>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</si>
  <si>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</si>
  <si>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</si>
  <si>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</si>
  <si>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</si>
  <si>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</si>
  <si>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</si>
  <si>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</si>
  <si>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</si>
  <si>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</si>
  <si>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</si>
  <si>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</si>
  <si>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</si>
  <si>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</si>
  <si>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</si>
  <si>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</si>
  <si>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</si>
  <si>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</si>
  <si>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</si>
  <si>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</si>
  <si>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</si>
  <si>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</si>
  <si>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</si>
  <si>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</si>
  <si>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</si>
  <si>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</si>
  <si>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</si>
  <si>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</si>
  <si>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</si>
  <si>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</si>
  <si>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</si>
  <si>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</si>
  <si>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</si>
  <si>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</si>
  <si>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</si>
  <si>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</si>
  <si>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</si>
  <si>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</si>
  <si>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</si>
  <si>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</si>
  <si>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</si>
  <si>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</si>
  <si>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</si>
  <si>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</si>
  <si>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</si>
  <si>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</si>
  <si>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</si>
  <si>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</si>
  <si>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</si>
  <si>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</si>
  <si>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</si>
  <si>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</si>
  <si>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</si>
  <si>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</si>
  <si>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</si>
  <si>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</si>
  <si>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</si>
  <si>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</si>
  <si>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</si>
  <si>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</si>
  <si>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</si>
  <si>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</si>
  <si>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</si>
  <si>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</si>
  <si>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</si>
  <si>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</si>
  <si>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</si>
  <si>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</si>
  <si>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</si>
  <si>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</si>
  <si>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</si>
  <si>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</si>
  <si>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</si>
  <si>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</si>
  <si>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</si>
  <si>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</si>
  <si>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</si>
  <si>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</si>
  <si>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</si>
  <si>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</si>
  <si>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</si>
  <si>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</si>
  <si>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</si>
  <si>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</si>
  <si>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</si>
  <si>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</si>
  <si>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</si>
  <si>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</si>
  <si>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</si>
  <si>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</si>
  <si>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</si>
  <si>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</si>
  <si>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</si>
  <si>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</si>
  <si>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</si>
  <si>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</si>
  <si>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</si>
  <si>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</si>
  <si>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</si>
  <si>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</si>
  <si>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</si>
  <si>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</si>
  <si>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</si>
  <si>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</si>
  <si>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</si>
  <si>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</si>
  <si>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</si>
  <si>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</si>
  <si>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</si>
  <si>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</si>
  <si>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</si>
  <si>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</si>
  <si>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</si>
  <si>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</si>
  <si>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</si>
  <si>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</si>
  <si>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</si>
  <si>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</si>
  <si>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</si>
  <si>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</si>
  <si>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</si>
  <si>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</si>
  <si>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</si>
  <si>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</si>
  <si>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</si>
  <si>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</si>
  <si>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</si>
  <si>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</si>
  <si>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</si>
  <si>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</si>
  <si>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</si>
  <si>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</si>
  <si>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</si>
  <si>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</si>
  <si>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</si>
  <si>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</si>
  <si>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</si>
  <si>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</si>
  <si>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</si>
  <si>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</si>
  <si>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</si>
  <si>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</si>
  <si>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</si>
  <si>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</si>
  <si>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</si>
  <si>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</si>
  <si>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</si>
  <si>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</si>
  <si>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</si>
  <si>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</si>
  <si>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</si>
  <si>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</si>
  <si>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</si>
  <si>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</si>
  <si>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</si>
  <si>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</si>
  <si>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</si>
  <si>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</si>
  <si>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</si>
  <si>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</si>
  <si>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</si>
  <si>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</si>
  <si>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</si>
  <si>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</si>
  <si>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</si>
  <si>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</si>
  <si>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</si>
  <si>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</si>
  <si>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</si>
  <si>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</si>
  <si>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</si>
  <si>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</si>
  <si>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</si>
  <si>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</si>
  <si>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</si>
  <si>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отгружен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</si>
  <si>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</si>
  <si>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</si>
  <si>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</si>
  <si>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</si>
  <si>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</si>
  <si>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</si>
  <si>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</si>
  <si>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</si>
  <si>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</si>
  <si>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</si>
  <si>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</si>
  <si>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</si>
  <si>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</si>
  <si>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</si>
  <si>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</si>
  <si>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</si>
  <si>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</si>
  <si>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</si>
  <si>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</si>
  <si>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</si>
  <si>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</si>
  <si>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</si>
  <si>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</si>
  <si>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</si>
  <si>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Тс188990-26 05.09.2026 Луганск 8526кг (Решетников)</t>
  </si>
  <si>
    <t>ООО НВ Тс189021-26 05.09.2026 Горняк-Луганск 6769кг (Решетников)</t>
  </si>
  <si>
    <t>ООО НВ Тс191464-26 05.09.2026 Луганск(2) 1836кг (Решетников)</t>
  </si>
  <si>
    <t>TSO001118037</t>
  </si>
  <si>
    <t>TSO001118038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</si>
</sst>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9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45" fillId="0" borderId="0" xfId="0" applyFont="1" applyFill="1" applyAlignment="1">
      <alignment horizontal="left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11"/>
  <sheetViews>
    <sheetView tabSelected="1" zoomScale="70" zoomScaleNormal="70" workbookViewId="0">
      <pane ySplit="2" topLeftCell="A7181" activePane="bottomLeft" state="frozen"/>
      <selection pane="bottomLeft" activeCell="P7206" sqref="P720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58" t="s">
        <v>0</v>
      </c>
      <c r="B1" s="1058"/>
      <c r="C1" s="1058"/>
      <c r="D1" s="1058"/>
      <c r="E1" s="1058"/>
      <c r="F1" s="1058"/>
      <c r="G1" s="1058"/>
      <c r="H1" s="1058"/>
      <c r="I1" s="1058"/>
      <c r="J1" s="105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59">
        <v>1</v>
      </c>
      <c r="B3" s="105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59"/>
      <c r="B4" s="105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0">
        <v>3</v>
      </c>
      <c r="B6" s="106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0"/>
      <c r="B7" s="106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0"/>
      <c r="B8" s="106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0">
        <v>5</v>
      </c>
      <c r="B10" s="106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0"/>
      <c r="B11" s="106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1">
        <v>8</v>
      </c>
      <c r="B14" s="106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1"/>
      <c r="B15" s="106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0">
        <v>11</v>
      </c>
      <c r="B18" s="106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0"/>
      <c r="B19" s="106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0"/>
      <c r="B20" s="106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0"/>
      <c r="B21" s="106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0">
        <v>13</v>
      </c>
      <c r="B23" s="106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0"/>
      <c r="B24" s="106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1">
        <v>14</v>
      </c>
      <c r="B25" s="106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1"/>
      <c r="B26" s="106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0">
        <v>15</v>
      </c>
      <c r="B27" s="106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0"/>
      <c r="B28" s="106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0"/>
      <c r="B29" s="106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0"/>
      <c r="B30" s="106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1">
        <v>16</v>
      </c>
      <c r="B31" s="106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1"/>
      <c r="B32" s="106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1"/>
      <c r="B33" s="106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1"/>
      <c r="B34" s="106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0">
        <v>17</v>
      </c>
      <c r="B35" s="106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0"/>
      <c r="B36" s="106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0">
        <v>21</v>
      </c>
      <c r="B40" s="106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0"/>
      <c r="B41" s="106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0">
        <v>23</v>
      </c>
      <c r="B43" s="106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0"/>
      <c r="B44" s="106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0"/>
      <c r="B45" s="106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1">
        <v>24</v>
      </c>
      <c r="B46" s="106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1"/>
      <c r="B47" s="106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0">
        <v>25</v>
      </c>
      <c r="B48" s="106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0"/>
      <c r="B49" s="106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0"/>
      <c r="B50" s="106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1">
        <v>26</v>
      </c>
      <c r="B51" s="106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1"/>
      <c r="B52" s="106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0">
        <v>29</v>
      </c>
      <c r="B55" s="106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0"/>
      <c r="B56" s="106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1">
        <v>32</v>
      </c>
      <c r="B59" s="106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1"/>
      <c r="B60" s="106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1">
        <v>34</v>
      </c>
      <c r="B62" s="106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1"/>
      <c r="B63" s="106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1"/>
      <c r="B64" s="106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1"/>
      <c r="B65" s="106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1"/>
      <c r="B66" s="106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0">
        <v>35</v>
      </c>
      <c r="B67" s="106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0"/>
      <c r="B68" s="106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4">
        <v>40</v>
      </c>
      <c r="B73" s="106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4"/>
      <c r="B74" s="106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5">
        <v>41</v>
      </c>
      <c r="B75" s="106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5"/>
      <c r="B76" s="106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5"/>
      <c r="B77" s="106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4">
        <v>42</v>
      </c>
      <c r="B78" s="106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4"/>
      <c r="B79" s="106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5">
        <v>49</v>
      </c>
      <c r="B86" s="106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5"/>
      <c r="B87" s="106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5"/>
      <c r="B88" s="106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4">
        <v>50</v>
      </c>
      <c r="B89" s="106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4"/>
      <c r="B90" s="106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5">
        <v>51</v>
      </c>
      <c r="B91" s="106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5"/>
      <c r="B92" s="106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5">
        <v>53</v>
      </c>
      <c r="B94" s="106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5"/>
      <c r="B95" s="106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4">
        <v>54</v>
      </c>
      <c r="B96" s="106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4"/>
      <c r="B97" s="106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4"/>
      <c r="B98" s="106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4">
        <v>58</v>
      </c>
      <c r="B102" s="106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4"/>
      <c r="B103" s="106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4">
        <v>60</v>
      </c>
      <c r="B105" s="106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4"/>
      <c r="B106" s="106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4"/>
      <c r="B107" s="106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5">
        <v>61</v>
      </c>
      <c r="B108" s="106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5"/>
      <c r="B109" s="106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5"/>
      <c r="B110" s="106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4">
        <v>64</v>
      </c>
      <c r="B113" s="106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4"/>
      <c r="B114" s="106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4">
        <v>66</v>
      </c>
      <c r="B116" s="106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4"/>
      <c r="B117" s="106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5">
        <v>67</v>
      </c>
      <c r="B118" s="106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5"/>
      <c r="B119" s="106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5"/>
      <c r="B120" s="106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4">
        <v>68</v>
      </c>
      <c r="B121" s="106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4"/>
      <c r="B122" s="106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5">
        <v>69</v>
      </c>
      <c r="B123" s="106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5"/>
      <c r="B124" s="106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4">
        <v>72</v>
      </c>
      <c r="B127" s="1061" t="s">
        <v>65</v>
      </c>
      <c r="C127" s="119" t="s">
        <v>26</v>
      </c>
      <c r="D127" s="120">
        <v>3.3</v>
      </c>
      <c r="E127" s="121"/>
      <c r="F127" s="122" t="s">
        <v>30</v>
      </c>
      <c r="G127" s="1055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4"/>
      <c r="B128" s="1061"/>
      <c r="C128" s="103" t="s">
        <v>26</v>
      </c>
      <c r="D128" s="88">
        <v>12.9</v>
      </c>
      <c r="E128" s="106"/>
      <c r="F128" s="107" t="s">
        <v>16</v>
      </c>
      <c r="G128" s="1055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4">
        <v>76</v>
      </c>
      <c r="B132" s="106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4"/>
      <c r="B133" s="106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4"/>
      <c r="B134" s="106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4"/>
      <c r="B135" s="106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4">
        <v>78</v>
      </c>
      <c r="B137" s="105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4"/>
      <c r="B138" s="105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5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5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5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5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4" t="s">
        <v>133</v>
      </c>
      <c r="J420" s="105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6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6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6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6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6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6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6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6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6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6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6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6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8" t="s">
        <v>467</v>
      </c>
      <c r="H2160" s="414" t="s">
        <v>515</v>
      </c>
      <c r="I2160" s="415" t="s">
        <v>516</v>
      </c>
      <c r="J2160" s="104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8"/>
      <c r="H2161" s="421" t="s">
        <v>515</v>
      </c>
      <c r="I2161" s="422" t="s">
        <v>516</v>
      </c>
      <c r="J2161" s="104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8"/>
      <c r="H2162" s="429" t="s">
        <v>515</v>
      </c>
      <c r="I2162" s="430" t="s">
        <v>516</v>
      </c>
      <c r="J2162" s="104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8" t="s">
        <v>467</v>
      </c>
      <c r="H2165" s="414" t="s">
        <v>516</v>
      </c>
      <c r="I2165" s="415" t="s">
        <v>516</v>
      </c>
      <c r="J2165" s="104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8"/>
      <c r="H2166" s="429" t="s">
        <v>516</v>
      </c>
      <c r="I2166" s="430" t="s">
        <v>516</v>
      </c>
      <c r="J2166" s="104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3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3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3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3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3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3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3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3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3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3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3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0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3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0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3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0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3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0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3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0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3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0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3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0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0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3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0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3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0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3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0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3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0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0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3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0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3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0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3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0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3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0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3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0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3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0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3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0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3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0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0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3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0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0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0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3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0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3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0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3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0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0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3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0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3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0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0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3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0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3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5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0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3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0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3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0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0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3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0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3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0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3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0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3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0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3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0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3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0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3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0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3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0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3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0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0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0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3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0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0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3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0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3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0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3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0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0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0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0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0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0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0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0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0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0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0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0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0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0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0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0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0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0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0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0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0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0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0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0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0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0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0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0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0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0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0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0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0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0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0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0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0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0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0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0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0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0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0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0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0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0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0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0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0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0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0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0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0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0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0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0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0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0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0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0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0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0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0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0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0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0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0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0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0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0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0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0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0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0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0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0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0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0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0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0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0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0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0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0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0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0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0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0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0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0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0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0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0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0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0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0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0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0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0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0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0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0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0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0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0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0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0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0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0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0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0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0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0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0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0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0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0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0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0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0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0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0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0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0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0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0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0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0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0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0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0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0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0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0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0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0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0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0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0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0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0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0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0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0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0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0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0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0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0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0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0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0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0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0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0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0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0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0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0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0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0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0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0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0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0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0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0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0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0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0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0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0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0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0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0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0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0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0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0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0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0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0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0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0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0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0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0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0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0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0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0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0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0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0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0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0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0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0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0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0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0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0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0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0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0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0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0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0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0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0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0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0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0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0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0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0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0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0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0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0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0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0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0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0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0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0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0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0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0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0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0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0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0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0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0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0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0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0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0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0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0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0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0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0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0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2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0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0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0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0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0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0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0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0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0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0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0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0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0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0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0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0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0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0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0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0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0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0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0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0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0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0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0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0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0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0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0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0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0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0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0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0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0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0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0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0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0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0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0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0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0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0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0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0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0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0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0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0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0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0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0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0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0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0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0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0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0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0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0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0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0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0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0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0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0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0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0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0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0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0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0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0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0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0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0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0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0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0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0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0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0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0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0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0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0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0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0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0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0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0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0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0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0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0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0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0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0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0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0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0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0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0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0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0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0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0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0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0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0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0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0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0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0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0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0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0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0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0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0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0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0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0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0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0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0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0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0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0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0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0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0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0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0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0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0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0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0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0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0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2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0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6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6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0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0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0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0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0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0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0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1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0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0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0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0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0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0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0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0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0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0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0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0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0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0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0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0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0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5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5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0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0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0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0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0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0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5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0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0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5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0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0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0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0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5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0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0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0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5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0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5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5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0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5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5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0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0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5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5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5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0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0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0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0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0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0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5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5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5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70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0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5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5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5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0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0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5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5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5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0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5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0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8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0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5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0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0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5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0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8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02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9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0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5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5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0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8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5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8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5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16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9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3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03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05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05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04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0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0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9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6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9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0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0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9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0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0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9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0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05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05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05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05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0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99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99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0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0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6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99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99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99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99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997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99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100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01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x14ac:dyDescent="0.25">
      <c r="A7116" s="1005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4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x14ac:dyDescent="0.25">
      <c r="A7117" s="1005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4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thickBot="1" x14ac:dyDescent="0.3">
      <c r="A7118" s="100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02"/>
      <c r="H7118" s="829" t="s">
        <v>2329</v>
      </c>
      <c r="I7118" s="829" t="s">
        <v>2423</v>
      </c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2515</v>
      </c>
      <c r="Q7119" s="2">
        <v>5002</v>
      </c>
      <c r="R7119" s="2" t="s">
        <v>2507</v>
      </c>
    </row>
    <row r="7120" spans="1:18" ht="56.25" x14ac:dyDescent="0.25">
      <c r="A7120" s="100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1005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1005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83" t="s">
        <v>2414</v>
      </c>
    </row>
    <row r="7123" spans="1:18" ht="19.5" thickBot="1" x14ac:dyDescent="0.3">
      <c r="A7123" s="1005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983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100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01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thickBot="1" x14ac:dyDescent="0.3">
      <c r="A7128" s="100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02"/>
      <c r="H7128" s="873" t="s">
        <v>2347</v>
      </c>
      <c r="I7128" s="788" t="s">
        <v>2423</v>
      </c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x14ac:dyDescent="0.25">
      <c r="A7129" s="99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9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thickBot="1" x14ac:dyDescent="0.3">
      <c r="A7130" s="998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00"/>
      <c r="H7130" s="979" t="s">
        <v>2405</v>
      </c>
      <c r="I7130" s="979" t="s">
        <v>2405</v>
      </c>
      <c r="J7130" s="845"/>
      <c r="K7130" s="886"/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x14ac:dyDescent="0.25">
      <c r="A7131" s="100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x14ac:dyDescent="0.25">
      <c r="A7132" s="1005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x14ac:dyDescent="0.25">
      <c r="A7133" s="1005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980"/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thickBot="1" x14ac:dyDescent="0.3">
      <c r="A7134" s="100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x14ac:dyDescent="0.25">
      <c r="A7135" s="996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6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997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6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99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7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100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thickBot="1" x14ac:dyDescent="0.3">
      <c r="A7139" s="100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99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thickBot="1" x14ac:dyDescent="0.3">
      <c r="A7143" s="99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100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x14ac:dyDescent="0.25">
      <c r="A7145" s="1005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1005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thickBot="1" x14ac:dyDescent="0.3">
      <c r="A7147" s="100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x14ac:dyDescent="0.25">
      <c r="A7148" s="99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06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997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07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99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07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99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8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99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2525</v>
      </c>
      <c r="Q7157" s="847">
        <v>17501</v>
      </c>
      <c r="R7157" s="833" t="s">
        <v>2507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x14ac:dyDescent="0.25">
      <c r="A7161" s="992">
        <f t="shared" si="216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993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99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991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100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thickBot="1" x14ac:dyDescent="0.3">
      <c r="A7166" s="100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x14ac:dyDescent="0.25">
      <c r="A7167" s="99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981"/>
      <c r="H7167" s="483" t="s">
        <v>2424</v>
      </c>
      <c r="I7167" s="484" t="s">
        <v>2424</v>
      </c>
      <c r="J7167" s="485"/>
      <c r="K7167" s="479"/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2520</v>
      </c>
      <c r="Q7167" s="847">
        <v>16926</v>
      </c>
      <c r="R7167" s="833" t="s">
        <v>2507</v>
      </c>
    </row>
    <row r="7168" spans="1:18" ht="19.5" thickBot="1" x14ac:dyDescent="0.3">
      <c r="A7168" s="991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87"/>
      <c r="L7168" s="808" t="s">
        <v>265</v>
      </c>
      <c r="M7168" s="808">
        <v>765</v>
      </c>
      <c r="N7168" s="778">
        <v>0.375</v>
      </c>
      <c r="O7168" s="897" t="s">
        <v>2509</v>
      </c>
      <c r="P7168" s="867" t="s">
        <v>2521</v>
      </c>
      <c r="Q7168" s="847">
        <v>767</v>
      </c>
      <c r="R7168" s="833" t="s">
        <v>2507</v>
      </c>
    </row>
    <row r="7169" spans="1:18" x14ac:dyDescent="0.25">
      <c r="A7169" s="100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6.7690000000000001</v>
      </c>
      <c r="F7169" s="535" t="s">
        <v>16</v>
      </c>
      <c r="G7169" s="536" t="s">
        <v>47</v>
      </c>
      <c r="H7169" s="535" t="s">
        <v>2424</v>
      </c>
      <c r="I7169" s="537"/>
      <c r="J7169" s="538"/>
      <c r="K7169" s="531"/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867" t="s">
        <v>2533</v>
      </c>
      <c r="Q7169" s="847">
        <v>6769</v>
      </c>
      <c r="R7169" s="833" t="s">
        <v>2507</v>
      </c>
    </row>
    <row r="7170" spans="1:18" x14ac:dyDescent="0.25">
      <c r="A7170" s="1005"/>
      <c r="B7170" s="824" t="s">
        <v>2405</v>
      </c>
      <c r="C7170" s="820" t="s">
        <v>47</v>
      </c>
      <c r="D7170" s="821">
        <v>8.657</v>
      </c>
      <c r="E7170" s="822">
        <v>8.5259999999999998</v>
      </c>
      <c r="F7170" s="819" t="s">
        <v>16</v>
      </c>
      <c r="G7170" s="823"/>
      <c r="H7170" s="819" t="s">
        <v>2424</v>
      </c>
      <c r="I7170" s="782"/>
      <c r="J7170" s="825"/>
      <c r="K7170" s="849"/>
      <c r="L7170" s="819" t="s">
        <v>28</v>
      </c>
      <c r="M7170" s="819">
        <v>8766.5400000000009</v>
      </c>
      <c r="N7170" s="811">
        <v>0.41666666666666669</v>
      </c>
      <c r="O7170" s="897" t="s">
        <v>2436</v>
      </c>
      <c r="P7170" s="867" t="s">
        <v>2532</v>
      </c>
      <c r="Q7170" s="847">
        <v>8526</v>
      </c>
      <c r="R7170" s="833" t="s">
        <v>2507</v>
      </c>
    </row>
    <row r="7171" spans="1:18" ht="19.5" thickBot="1" x14ac:dyDescent="0.3">
      <c r="A7171" s="1005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/>
      <c r="J7171" s="840"/>
      <c r="K7171" s="836"/>
      <c r="L7171" s="839" t="s">
        <v>28</v>
      </c>
      <c r="M7171" s="839">
        <v>1830</v>
      </c>
      <c r="N7171" s="598">
        <v>0.41666666666666669</v>
      </c>
      <c r="O7171" s="897" t="s">
        <v>2508</v>
      </c>
      <c r="P7171" s="867" t="s">
        <v>2534</v>
      </c>
      <c r="Q7171" s="847">
        <v>1837</v>
      </c>
      <c r="R7171" s="833" t="s">
        <v>2507</v>
      </c>
    </row>
    <row r="7172" spans="1:18" ht="19.5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4"/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2514</v>
      </c>
      <c r="Q7172" s="847">
        <v>16049</v>
      </c>
      <c r="R7172" s="833" t="s">
        <v>2507</v>
      </c>
    </row>
    <row r="7173" spans="1:18" x14ac:dyDescent="0.25">
      <c r="A7173" s="1003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994" t="s">
        <v>2498</v>
      </c>
      <c r="H7173" s="535" t="s">
        <v>2424</v>
      </c>
      <c r="I7173" s="537" t="s">
        <v>2424</v>
      </c>
      <c r="J7173" s="538"/>
      <c r="K7173" s="531"/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2516</v>
      </c>
      <c r="Q7173" s="847">
        <v>5548</v>
      </c>
      <c r="R7173" s="833" t="s">
        <v>2507</v>
      </c>
    </row>
    <row r="7174" spans="1:18" x14ac:dyDescent="0.25">
      <c r="A7174" s="1005"/>
      <c r="B7174" s="760" t="s">
        <v>2416</v>
      </c>
      <c r="C7174" s="564" t="s">
        <v>981</v>
      </c>
      <c r="D7174" s="565">
        <v>0.312</v>
      </c>
      <c r="E7174" s="566"/>
      <c r="F7174" s="567" t="s">
        <v>16</v>
      </c>
      <c r="G7174" s="995"/>
      <c r="H7174" s="567" t="s">
        <v>2424</v>
      </c>
      <c r="I7174" s="569"/>
      <c r="J7174" s="677" t="s">
        <v>844</v>
      </c>
      <c r="K7174" s="563"/>
      <c r="L7174" s="567" t="s">
        <v>266</v>
      </c>
      <c r="M7174" s="567">
        <v>312</v>
      </c>
      <c r="N7174" s="571">
        <v>0.45833333333333331</v>
      </c>
      <c r="O7174" s="897" t="s">
        <v>2455</v>
      </c>
    </row>
    <row r="7175" spans="1:18" x14ac:dyDescent="0.25">
      <c r="A7175" s="1005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995"/>
      <c r="H7175" s="567" t="s">
        <v>2424</v>
      </c>
      <c r="I7175" s="569" t="s">
        <v>2424</v>
      </c>
      <c r="J7175" s="677" t="s">
        <v>845</v>
      </c>
      <c r="K7175" s="563"/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2517</v>
      </c>
      <c r="Q7175" s="847">
        <v>2080</v>
      </c>
      <c r="R7175" s="833" t="s">
        <v>2507</v>
      </c>
    </row>
    <row r="7176" spans="1:18" ht="19.5" thickBot="1" x14ac:dyDescent="0.3">
      <c r="A7176" s="1004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995"/>
      <c r="H7176" s="594" t="s">
        <v>2424</v>
      </c>
      <c r="I7176" s="596" t="s">
        <v>2424</v>
      </c>
      <c r="J7176" s="984" t="s">
        <v>1702</v>
      </c>
      <c r="K7176" s="590"/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2518</v>
      </c>
      <c r="Q7176" s="847">
        <v>2636</v>
      </c>
      <c r="R7176" s="833" t="s">
        <v>2507</v>
      </c>
    </row>
    <row r="7177" spans="1:18" x14ac:dyDescent="0.25">
      <c r="A7177" s="990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981"/>
      <c r="H7177" s="483" t="s">
        <v>2453</v>
      </c>
      <c r="I7177" s="484" t="s">
        <v>2453</v>
      </c>
      <c r="J7177" s="485"/>
      <c r="K7177" s="479"/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2522</v>
      </c>
      <c r="Q7177" s="847">
        <v>14921</v>
      </c>
      <c r="R7177" s="833" t="s">
        <v>2507</v>
      </c>
    </row>
    <row r="7178" spans="1:18" x14ac:dyDescent="0.25">
      <c r="A7178" s="1009"/>
      <c r="B7178" s="769" t="s">
        <v>2416</v>
      </c>
      <c r="C7178" s="764" t="s">
        <v>952</v>
      </c>
      <c r="D7178" s="765">
        <v>2.4489999999999998</v>
      </c>
      <c r="E7178" s="766">
        <v>2.6349999999999998</v>
      </c>
      <c r="F7178" s="763" t="s">
        <v>16</v>
      </c>
      <c r="G7178" s="982"/>
      <c r="H7178" s="763" t="s">
        <v>2453</v>
      </c>
      <c r="I7178" s="768" t="s">
        <v>2453</v>
      </c>
      <c r="J7178" s="779"/>
      <c r="K7178" s="791"/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2523</v>
      </c>
      <c r="Q7178" s="847">
        <v>2103</v>
      </c>
      <c r="R7178" s="833" t="s">
        <v>2507</v>
      </c>
    </row>
    <row r="7179" spans="1:18" ht="19.5" thickBot="1" x14ac:dyDescent="0.3">
      <c r="A7179" s="991"/>
      <c r="B7179" s="805" t="s">
        <v>2453</v>
      </c>
      <c r="C7179" s="806" t="s">
        <v>26</v>
      </c>
      <c r="D7179" s="807">
        <v>0.5</v>
      </c>
      <c r="E7179" s="807">
        <v>2.1019999999999999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87"/>
      <c r="L7179" s="808" t="s">
        <v>265</v>
      </c>
      <c r="M7179" s="808">
        <v>525</v>
      </c>
      <c r="N7179" s="778">
        <v>0.375</v>
      </c>
      <c r="O7179" s="897" t="s">
        <v>2510</v>
      </c>
      <c r="P7179" s="867" t="s">
        <v>2524</v>
      </c>
      <c r="Q7179" s="847">
        <v>524</v>
      </c>
      <c r="R7179" s="833" t="s">
        <v>2507</v>
      </c>
    </row>
    <row r="7180" spans="1:18" x14ac:dyDescent="0.25">
      <c r="A7180" s="1003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2530</v>
      </c>
      <c r="Q7180" s="847">
        <v>776</v>
      </c>
      <c r="R7180" s="833" t="s">
        <v>2507</v>
      </c>
    </row>
    <row r="7181" spans="1:18" x14ac:dyDescent="0.25">
      <c r="A7181" s="1005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2529</v>
      </c>
      <c r="Q7181" s="847">
        <v>15774</v>
      </c>
      <c r="R7181" s="833" t="s">
        <v>2507</v>
      </c>
    </row>
    <row r="7182" spans="1:18" ht="19.5" thickBot="1" x14ac:dyDescent="0.3">
      <c r="A7182" s="1005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2511</v>
      </c>
      <c r="P7182" s="867" t="s">
        <v>2531</v>
      </c>
      <c r="Q7182" s="847">
        <v>1218</v>
      </c>
      <c r="R7182" s="833" t="s">
        <v>2507</v>
      </c>
    </row>
    <row r="7183" spans="1:18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2519</v>
      </c>
      <c r="Q7183" s="847">
        <v>16669</v>
      </c>
      <c r="R7183" s="833" t="s">
        <v>2507</v>
      </c>
    </row>
    <row r="7184" spans="1:18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/>
      <c r="F7184" s="508" t="s">
        <v>30</v>
      </c>
      <c r="G7184" s="509" t="s">
        <v>2472</v>
      </c>
      <c r="H7184" s="508" t="s">
        <v>2471</v>
      </c>
      <c r="I7184" s="510"/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</row>
    <row r="7185" spans="1:15" x14ac:dyDescent="0.25">
      <c r="A7185" s="990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/>
      <c r="F7185" s="483" t="s">
        <v>16</v>
      </c>
      <c r="G7185" s="981"/>
      <c r="H7185" s="483" t="s">
        <v>2471</v>
      </c>
      <c r="I7185" s="484"/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</row>
    <row r="7186" spans="1:15" ht="19.5" thickBot="1" x14ac:dyDescent="0.3">
      <c r="A7186" s="991"/>
      <c r="B7186" s="805" t="s">
        <v>2453</v>
      </c>
      <c r="C7186" s="806" t="s">
        <v>26</v>
      </c>
      <c r="D7186" s="807">
        <v>2.5</v>
      </c>
      <c r="E7186" s="807"/>
      <c r="F7186" s="808" t="s">
        <v>16</v>
      </c>
      <c r="G7186" s="809" t="s">
        <v>76</v>
      </c>
      <c r="H7186" s="808" t="s">
        <v>2471</v>
      </c>
      <c r="I7186" s="808"/>
      <c r="J7186" s="810"/>
      <c r="K7186" s="887"/>
      <c r="L7186" s="808" t="s">
        <v>265</v>
      </c>
      <c r="M7186" s="808">
        <v>2550</v>
      </c>
      <c r="N7186" s="778">
        <v>0.375</v>
      </c>
      <c r="O7186" s="897" t="s">
        <v>2512</v>
      </c>
    </row>
    <row r="7187" spans="1:15" x14ac:dyDescent="0.25">
      <c r="A7187" s="992">
        <f>MAX(A7027:A7185)+1</f>
        <v>4429</v>
      </c>
      <c r="B7187" s="759" t="s">
        <v>2423</v>
      </c>
      <c r="C7187" s="532" t="s">
        <v>26</v>
      </c>
      <c r="D7187" s="533">
        <v>17.744</v>
      </c>
      <c r="E7187" s="534"/>
      <c r="F7187" s="535" t="s">
        <v>16</v>
      </c>
      <c r="G7187" s="536"/>
      <c r="H7187" s="535" t="s">
        <v>2471</v>
      </c>
      <c r="I7187" s="537"/>
      <c r="J7187" s="538"/>
      <c r="K7187" s="531"/>
      <c r="L7187" s="535" t="s">
        <v>265</v>
      </c>
      <c r="M7187" s="535">
        <v>17908.080000000002</v>
      </c>
      <c r="N7187" s="539">
        <v>0.41666666666666669</v>
      </c>
      <c r="O7187" s="897" t="s">
        <v>2477</v>
      </c>
    </row>
    <row r="7188" spans="1:15" ht="19.5" thickBot="1" x14ac:dyDescent="0.3">
      <c r="A7188" s="993"/>
      <c r="B7188" s="798" t="s">
        <v>2453</v>
      </c>
      <c r="C7188" s="799" t="s">
        <v>26</v>
      </c>
      <c r="D7188" s="800">
        <v>1.7</v>
      </c>
      <c r="E7188" s="800"/>
      <c r="F7188" s="801" t="s">
        <v>16</v>
      </c>
      <c r="G7188" s="802" t="s">
        <v>76</v>
      </c>
      <c r="H7188" s="801" t="s">
        <v>2471</v>
      </c>
      <c r="I7188" s="801"/>
      <c r="J7188" s="803"/>
      <c r="K7188" s="848"/>
      <c r="L7188" s="801" t="s">
        <v>265</v>
      </c>
      <c r="M7188" s="801">
        <v>1725</v>
      </c>
      <c r="N7188" s="804">
        <v>0.41666666666666669</v>
      </c>
      <c r="O7188" s="897" t="s">
        <v>2513</v>
      </c>
    </row>
    <row r="7189" spans="1:15" x14ac:dyDescent="0.25">
      <c r="A7189" s="990">
        <f>MAX(A7030:A7187)+1</f>
        <v>4430</v>
      </c>
      <c r="B7189" s="610" t="s">
        <v>2423</v>
      </c>
      <c r="C7189" s="480" t="s">
        <v>15</v>
      </c>
      <c r="D7189" s="481">
        <v>8.6010000000000009</v>
      </c>
      <c r="E7189" s="482"/>
      <c r="F7189" s="483" t="s">
        <v>16</v>
      </c>
      <c r="G7189" s="1010" t="s">
        <v>2475</v>
      </c>
      <c r="H7189" s="483" t="s">
        <v>2471</v>
      </c>
      <c r="I7189" s="484"/>
      <c r="J7189" s="485"/>
      <c r="K7189" s="479"/>
      <c r="L7189" s="483" t="s">
        <v>28</v>
      </c>
      <c r="M7189" s="483">
        <v>8730.48</v>
      </c>
      <c r="N7189" s="486">
        <v>0.5</v>
      </c>
      <c r="O7189" s="897" t="s">
        <v>2480</v>
      </c>
    </row>
    <row r="7190" spans="1:15" x14ac:dyDescent="0.25">
      <c r="A7190" s="1009"/>
      <c r="B7190" s="769" t="s">
        <v>2423</v>
      </c>
      <c r="C7190" s="764" t="s">
        <v>24</v>
      </c>
      <c r="D7190" s="765">
        <v>6.9950000000000001</v>
      </c>
      <c r="E7190" s="766"/>
      <c r="F7190" s="763" t="s">
        <v>16</v>
      </c>
      <c r="G7190" s="1011"/>
      <c r="H7190" s="763" t="s">
        <v>2471</v>
      </c>
      <c r="I7190" s="768"/>
      <c r="J7190" s="779"/>
      <c r="K7190" s="791"/>
      <c r="L7190" s="763" t="s">
        <v>28</v>
      </c>
      <c r="M7190" s="763">
        <v>7135.9200000000019</v>
      </c>
      <c r="N7190" s="770">
        <v>0.5</v>
      </c>
      <c r="O7190" s="897" t="s">
        <v>2479</v>
      </c>
    </row>
    <row r="7191" spans="1:15" x14ac:dyDescent="0.25">
      <c r="A7191" s="1009"/>
      <c r="B7191" s="864" t="s">
        <v>2471</v>
      </c>
      <c r="C7191" s="861" t="s">
        <v>15</v>
      </c>
      <c r="D7191" s="862">
        <v>0.86</v>
      </c>
      <c r="E7191" s="862"/>
      <c r="F7191" s="860" t="s">
        <v>16</v>
      </c>
      <c r="G7191" s="1011"/>
      <c r="H7191" s="860" t="s">
        <v>2471</v>
      </c>
      <c r="I7191" s="860"/>
      <c r="J7191" s="865"/>
      <c r="K7191" s="976"/>
      <c r="L7191" s="860" t="s">
        <v>28</v>
      </c>
      <c r="M7191" s="860">
        <v>870</v>
      </c>
      <c r="N7191" s="988">
        <v>0.5</v>
      </c>
      <c r="O7191" s="897" t="s">
        <v>2536</v>
      </c>
    </row>
    <row r="7192" spans="1:15" ht="19.5" thickBot="1" x14ac:dyDescent="0.3">
      <c r="A7192" s="991"/>
      <c r="B7192" s="805" t="s">
        <v>2471</v>
      </c>
      <c r="C7192" s="806" t="s">
        <v>24</v>
      </c>
      <c r="D7192" s="807">
        <v>0.78</v>
      </c>
      <c r="E7192" s="807"/>
      <c r="F7192" s="808" t="s">
        <v>16</v>
      </c>
      <c r="G7192" s="1012"/>
      <c r="H7192" s="808" t="s">
        <v>2471</v>
      </c>
      <c r="I7192" s="808"/>
      <c r="J7192" s="810"/>
      <c r="K7192" s="887"/>
      <c r="L7192" s="808" t="s">
        <v>28</v>
      </c>
      <c r="M7192" s="808">
        <v>795</v>
      </c>
      <c r="N7192" s="989">
        <v>0.5</v>
      </c>
      <c r="O7192" s="897" t="s">
        <v>2535</v>
      </c>
    </row>
    <row r="7193" spans="1:15" ht="19.5" thickBot="1" x14ac:dyDescent="0.3">
      <c r="A7193" s="503">
        <f>MAX(A7032:A7192)+1</f>
        <v>4431</v>
      </c>
      <c r="B7193" s="636" t="s">
        <v>2423</v>
      </c>
      <c r="C7193" s="637" t="s">
        <v>587</v>
      </c>
      <c r="D7193" s="638">
        <v>8.6890000000000001</v>
      </c>
      <c r="E7193" s="639"/>
      <c r="F7193" s="640" t="s">
        <v>30</v>
      </c>
      <c r="G7193" s="987" t="s">
        <v>23</v>
      </c>
      <c r="H7193" s="640" t="s">
        <v>2471</v>
      </c>
      <c r="I7193" s="642"/>
      <c r="J7193" s="643"/>
      <c r="K7193" s="636"/>
      <c r="L7193" s="640" t="s">
        <v>28</v>
      </c>
      <c r="M7193" s="640">
        <v>8689.0400000000009</v>
      </c>
      <c r="N7193" s="644">
        <v>0.45833333333333331</v>
      </c>
      <c r="O7193" s="897" t="s">
        <v>2487</v>
      </c>
    </row>
    <row r="7194" spans="1:15" x14ac:dyDescent="0.25">
      <c r="A7194" s="996">
        <f>MAX(A7033:A7193)+1</f>
        <v>4432</v>
      </c>
      <c r="B7194" s="479" t="s">
        <v>2423</v>
      </c>
      <c r="C7194" s="480" t="s">
        <v>320</v>
      </c>
      <c r="D7194" s="481">
        <v>2.0259999999999998</v>
      </c>
      <c r="E7194" s="482"/>
      <c r="F7194" s="483" t="s">
        <v>30</v>
      </c>
      <c r="G7194" s="549"/>
      <c r="H7194" s="483" t="s">
        <v>2471</v>
      </c>
      <c r="I7194" s="484"/>
      <c r="J7194" s="485"/>
      <c r="K7194" s="479"/>
      <c r="L7194" s="483" t="s">
        <v>266</v>
      </c>
      <c r="M7194" s="483">
        <v>2026.08</v>
      </c>
      <c r="N7194" s="486">
        <v>0.41666666666666669</v>
      </c>
      <c r="O7194" s="897" t="s">
        <v>2486</v>
      </c>
    </row>
    <row r="7195" spans="1:15" x14ac:dyDescent="0.25">
      <c r="A7195" s="997"/>
      <c r="B7195" s="523" t="s">
        <v>2423</v>
      </c>
      <c r="C7195" s="524" t="s">
        <v>587</v>
      </c>
      <c r="D7195" s="525">
        <v>9.7870000000000008</v>
      </c>
      <c r="E7195" s="526"/>
      <c r="F7195" s="527" t="s">
        <v>30</v>
      </c>
      <c r="G7195" s="561" t="s">
        <v>47</v>
      </c>
      <c r="H7195" s="527" t="s">
        <v>2471</v>
      </c>
      <c r="I7195" s="528"/>
      <c r="J7195" s="529"/>
      <c r="K7195" s="523"/>
      <c r="L7195" s="527" t="s">
        <v>28</v>
      </c>
      <c r="M7195" s="527">
        <v>9787.68</v>
      </c>
      <c r="N7195" s="530">
        <v>0.41666666666666669</v>
      </c>
      <c r="O7195" s="897" t="s">
        <v>2488</v>
      </c>
    </row>
    <row r="7196" spans="1:15" ht="19.5" thickBot="1" x14ac:dyDescent="0.3">
      <c r="A7196" s="998"/>
      <c r="B7196" s="645" t="s">
        <v>2423</v>
      </c>
      <c r="C7196" s="646" t="s">
        <v>47</v>
      </c>
      <c r="D7196" s="647">
        <v>1.2569999999999999</v>
      </c>
      <c r="E7196" s="648"/>
      <c r="F7196" s="649" t="s">
        <v>30</v>
      </c>
      <c r="G7196" s="650"/>
      <c r="H7196" s="649" t="s">
        <v>2471</v>
      </c>
      <c r="I7196" s="651"/>
      <c r="J7196" s="652"/>
      <c r="K7196" s="645"/>
      <c r="L7196" s="649" t="s">
        <v>28</v>
      </c>
      <c r="M7196" s="649">
        <v>1257.5999999999999</v>
      </c>
      <c r="N7196" s="653">
        <v>0.41666666666666669</v>
      </c>
      <c r="O7196" s="897" t="s">
        <v>2485</v>
      </c>
    </row>
    <row r="7197" spans="1:15" ht="19.5" thickBot="1" x14ac:dyDescent="0.3">
      <c r="A7197" s="503">
        <f t="shared" ref="A7197:A7202" si="217">MAX(A7036:A7196)+1</f>
        <v>4433</v>
      </c>
      <c r="B7197" s="504" t="s">
        <v>2423</v>
      </c>
      <c r="C7197" s="505" t="s">
        <v>26</v>
      </c>
      <c r="D7197" s="506">
        <v>17.440000000000001</v>
      </c>
      <c r="E7197" s="507"/>
      <c r="F7197" s="508" t="s">
        <v>16</v>
      </c>
      <c r="G7197" s="509"/>
      <c r="H7197" s="508" t="s">
        <v>2476</v>
      </c>
      <c r="I7197" s="510"/>
      <c r="J7197" s="511"/>
      <c r="K7197" s="504"/>
      <c r="L7197" s="508" t="s">
        <v>265</v>
      </c>
      <c r="M7197" s="508">
        <v>17575.240000000002</v>
      </c>
      <c r="N7197" s="512">
        <v>0.375</v>
      </c>
      <c r="O7197" s="897" t="s">
        <v>2481</v>
      </c>
    </row>
    <row r="7198" spans="1:15" ht="19.5" thickBot="1" x14ac:dyDescent="0.3">
      <c r="A7198" s="513">
        <f t="shared" si="217"/>
        <v>4434</v>
      </c>
      <c r="B7198" s="514" t="s">
        <v>2423</v>
      </c>
      <c r="C7198" s="515" t="s">
        <v>26</v>
      </c>
      <c r="D7198" s="516">
        <v>17.748999999999999</v>
      </c>
      <c r="E7198" s="517"/>
      <c r="F7198" s="518" t="s">
        <v>16</v>
      </c>
      <c r="G7198" s="519"/>
      <c r="H7198" s="518" t="s">
        <v>2476</v>
      </c>
      <c r="I7198" s="520"/>
      <c r="J7198" s="521"/>
      <c r="K7198" s="514"/>
      <c r="L7198" s="518" t="s">
        <v>265</v>
      </c>
      <c r="M7198" s="518">
        <v>17884.45</v>
      </c>
      <c r="N7198" s="522">
        <v>0.41666666666666669</v>
      </c>
      <c r="O7198" s="897" t="s">
        <v>2482</v>
      </c>
    </row>
    <row r="7199" spans="1:15" ht="38.25" thickBot="1" x14ac:dyDescent="0.3">
      <c r="A7199" s="503">
        <f t="shared" si="217"/>
        <v>4435</v>
      </c>
      <c r="B7199" s="504" t="s">
        <v>2423</v>
      </c>
      <c r="C7199" s="505" t="s">
        <v>23</v>
      </c>
      <c r="D7199" s="506">
        <v>17.199000000000002</v>
      </c>
      <c r="E7199" s="507"/>
      <c r="F7199" s="508" t="s">
        <v>16</v>
      </c>
      <c r="G7199" s="509" t="s">
        <v>1634</v>
      </c>
      <c r="H7199" s="508" t="s">
        <v>2476</v>
      </c>
      <c r="I7199" s="510"/>
      <c r="J7199" s="511"/>
      <c r="K7199" s="504"/>
      <c r="L7199" s="508" t="s">
        <v>28</v>
      </c>
      <c r="M7199" s="508">
        <v>17311.98</v>
      </c>
      <c r="N7199" s="512">
        <v>0.45833333333333331</v>
      </c>
      <c r="O7199" s="897" t="s">
        <v>2483</v>
      </c>
    </row>
    <row r="7200" spans="1:15" ht="38.25" thickBot="1" x14ac:dyDescent="0.3">
      <c r="A7200" s="513">
        <f t="shared" si="217"/>
        <v>4436</v>
      </c>
      <c r="B7200" s="514" t="s">
        <v>2423</v>
      </c>
      <c r="C7200" s="515" t="s">
        <v>47</v>
      </c>
      <c r="D7200" s="516">
        <v>17.166</v>
      </c>
      <c r="E7200" s="517"/>
      <c r="F7200" s="518" t="s">
        <v>16</v>
      </c>
      <c r="G7200" s="519" t="s">
        <v>1634</v>
      </c>
      <c r="H7200" s="518" t="s">
        <v>2476</v>
      </c>
      <c r="I7200" s="520"/>
      <c r="J7200" s="521"/>
      <c r="K7200" s="514"/>
      <c r="L7200" s="518" t="s">
        <v>28</v>
      </c>
      <c r="M7200" s="518">
        <v>17304.93</v>
      </c>
      <c r="N7200" s="522">
        <v>0.5</v>
      </c>
      <c r="O7200" s="897" t="s">
        <v>2484</v>
      </c>
    </row>
    <row r="7201" spans="1:15" ht="19.5" thickBot="1" x14ac:dyDescent="0.3">
      <c r="A7201" s="503">
        <f t="shared" si="217"/>
        <v>4437</v>
      </c>
      <c r="B7201" s="504" t="s">
        <v>2423</v>
      </c>
      <c r="C7201" s="505" t="s">
        <v>23</v>
      </c>
      <c r="D7201" s="506">
        <v>12.076000000000001</v>
      </c>
      <c r="E7201" s="507"/>
      <c r="F7201" s="508" t="s">
        <v>30</v>
      </c>
      <c r="G7201" s="509"/>
      <c r="H7201" s="508" t="s">
        <v>2476</v>
      </c>
      <c r="I7201" s="510"/>
      <c r="J7201" s="511"/>
      <c r="K7201" s="504"/>
      <c r="L7201" s="508" t="s">
        <v>28</v>
      </c>
      <c r="M7201" s="508">
        <v>12076.199999999999</v>
      </c>
      <c r="N7201" s="512">
        <v>0.41666666666666669</v>
      </c>
      <c r="O7201" s="897" t="s">
        <v>2489</v>
      </c>
    </row>
    <row r="7202" spans="1:15" x14ac:dyDescent="0.25">
      <c r="A7202" s="996">
        <f t="shared" si="217"/>
        <v>4438</v>
      </c>
      <c r="B7202" s="479" t="s">
        <v>2471</v>
      </c>
      <c r="C7202" s="480" t="s">
        <v>55</v>
      </c>
      <c r="D7202" s="481">
        <v>2.87</v>
      </c>
      <c r="E7202" s="482"/>
      <c r="F7202" s="483" t="s">
        <v>16</v>
      </c>
      <c r="G7202" s="985" t="s">
        <v>844</v>
      </c>
      <c r="H7202" s="483" t="s">
        <v>2526</v>
      </c>
      <c r="I7202" s="484"/>
      <c r="J7202" s="485"/>
      <c r="K7202" s="479"/>
      <c r="L7202" s="483" t="s">
        <v>266</v>
      </c>
      <c r="M7202" s="483">
        <v>2937.4599999999996</v>
      </c>
      <c r="N7202" s="486">
        <v>0.5</v>
      </c>
      <c r="O7202" s="897" t="s">
        <v>2527</v>
      </c>
    </row>
    <row r="7203" spans="1:15" ht="19.5" thickBot="1" x14ac:dyDescent="0.3">
      <c r="A7203" s="998"/>
      <c r="B7203" s="645" t="s">
        <v>2471</v>
      </c>
      <c r="C7203" s="646" t="s">
        <v>55</v>
      </c>
      <c r="D7203" s="647">
        <v>14.9</v>
      </c>
      <c r="E7203" s="648"/>
      <c r="F7203" s="649" t="s">
        <v>16</v>
      </c>
      <c r="G7203" s="986" t="s">
        <v>845</v>
      </c>
      <c r="H7203" s="649" t="s">
        <v>2526</v>
      </c>
      <c r="I7203" s="651"/>
      <c r="J7203" s="652"/>
      <c r="K7203" s="645"/>
      <c r="L7203" s="649" t="s">
        <v>266</v>
      </c>
      <c r="M7203" s="649">
        <v>15070.84</v>
      </c>
      <c r="N7203" s="653">
        <v>0.5</v>
      </c>
      <c r="O7203" s="897" t="s">
        <v>2528</v>
      </c>
    </row>
    <row r="7204" spans="1:15" x14ac:dyDescent="0.25">
      <c r="A7204" s="676">
        <f t="shared" ref="A7204:A7211" si="218">MAX(A7043:A7203)+1</f>
        <v>4439</v>
      </c>
      <c r="B7204" s="676"/>
      <c r="C7204" s="473"/>
      <c r="D7204" s="474"/>
      <c r="E7204" s="475"/>
      <c r="F7204" s="676"/>
      <c r="G7204" s="476"/>
      <c r="H7204" s="676"/>
      <c r="I7204" s="477"/>
      <c r="J7204" s="478"/>
      <c r="K7204" s="676"/>
      <c r="L7204" s="676"/>
      <c r="M7204" s="676"/>
      <c r="N7204" s="676"/>
    </row>
    <row r="7205" spans="1:15" x14ac:dyDescent="0.25">
      <c r="A7205" s="676">
        <f t="shared" si="218"/>
        <v>4440</v>
      </c>
      <c r="B7205" s="676"/>
      <c r="C7205" s="473"/>
      <c r="D7205" s="474"/>
      <c r="E7205" s="475"/>
      <c r="F7205" s="676"/>
      <c r="G7205" s="476"/>
      <c r="H7205" s="676"/>
      <c r="I7205" s="477"/>
      <c r="J7205" s="478"/>
      <c r="K7205" s="676"/>
      <c r="L7205" s="676"/>
      <c r="M7205" s="676"/>
      <c r="N7205" s="676"/>
    </row>
    <row r="7206" spans="1:15" x14ac:dyDescent="0.25">
      <c r="A7206" s="676">
        <f t="shared" si="218"/>
        <v>4441</v>
      </c>
      <c r="B7206" s="676"/>
      <c r="C7206" s="473"/>
      <c r="D7206" s="474"/>
      <c r="E7206" s="475"/>
      <c r="F7206" s="676"/>
      <c r="G7206" s="476"/>
      <c r="H7206" s="676"/>
      <c r="I7206" s="477"/>
      <c r="J7206" s="478"/>
      <c r="K7206" s="676"/>
      <c r="L7206" s="676"/>
      <c r="M7206" s="676"/>
      <c r="N7206" s="676"/>
    </row>
    <row r="7207" spans="1:15" x14ac:dyDescent="0.25">
      <c r="A7207" s="676">
        <f t="shared" si="218"/>
        <v>4442</v>
      </c>
      <c r="B7207" s="676"/>
      <c r="C7207" s="473"/>
      <c r="D7207" s="474"/>
      <c r="E7207" s="475"/>
      <c r="F7207" s="676"/>
      <c r="G7207" s="476"/>
      <c r="H7207" s="676"/>
      <c r="I7207" s="477"/>
      <c r="J7207" s="478"/>
      <c r="K7207" s="676"/>
      <c r="L7207" s="676"/>
      <c r="M7207" s="676"/>
      <c r="N7207" s="676"/>
    </row>
    <row r="7208" spans="1:15" x14ac:dyDescent="0.25">
      <c r="A7208" s="676">
        <f t="shared" si="218"/>
        <v>4443</v>
      </c>
      <c r="B7208" s="676"/>
      <c r="C7208" s="473"/>
      <c r="D7208" s="474"/>
      <c r="E7208" s="475"/>
      <c r="F7208" s="676"/>
      <c r="G7208" s="476"/>
      <c r="H7208" s="676"/>
      <c r="I7208" s="477"/>
      <c r="J7208" s="478"/>
      <c r="K7208" s="676"/>
      <c r="L7208" s="676"/>
      <c r="M7208" s="676"/>
      <c r="N7208" s="676"/>
    </row>
    <row r="7209" spans="1:15" x14ac:dyDescent="0.25">
      <c r="A7209" s="676">
        <f t="shared" si="218"/>
        <v>4444</v>
      </c>
      <c r="B7209" s="676"/>
      <c r="C7209" s="473"/>
      <c r="D7209" s="474"/>
      <c r="E7209" s="475"/>
      <c r="F7209" s="676"/>
      <c r="G7209" s="476"/>
      <c r="H7209" s="676"/>
      <c r="I7209" s="477"/>
      <c r="J7209" s="478"/>
      <c r="K7209" s="676"/>
      <c r="L7209" s="676"/>
      <c r="M7209" s="676"/>
      <c r="N7209" s="676"/>
    </row>
    <row r="7210" spans="1:15" x14ac:dyDescent="0.25">
      <c r="A7210" s="676">
        <f t="shared" si="218"/>
        <v>4445</v>
      </c>
      <c r="B7210" s="676"/>
      <c r="C7210" s="473"/>
      <c r="D7210" s="474"/>
      <c r="E7210" s="475"/>
      <c r="F7210" s="676"/>
      <c r="G7210" s="476"/>
      <c r="H7210" s="676"/>
      <c r="I7210" s="477"/>
      <c r="J7210" s="478"/>
      <c r="K7210" s="676"/>
      <c r="L7210" s="676"/>
      <c r="M7210" s="676"/>
      <c r="N7210" s="676"/>
    </row>
    <row r="7211" spans="1:15" x14ac:dyDescent="0.25">
      <c r="A7211" s="676">
        <f t="shared" si="218"/>
        <v>4446</v>
      </c>
      <c r="B7211" s="676"/>
      <c r="C7211" s="473"/>
      <c r="D7211" s="474"/>
      <c r="E7211" s="475"/>
      <c r="F7211" s="676"/>
      <c r="G7211" s="476"/>
      <c r="H7211" s="676"/>
      <c r="I7211" s="477"/>
      <c r="J7211" s="478"/>
      <c r="K7211" s="676"/>
      <c r="L7211" s="676"/>
      <c r="M7211" s="676"/>
      <c r="N7211" s="676"/>
    </row>
  </sheetData>
  <autoFilter ref="A2:R7211" xr:uid="{9E4C531E-AD50-422A-AC7C-8C5AF4C19268}">
    <filterColumn colId="10">
      <filters blank="1"/>
    </filterColumn>
  </autoFilter>
  <mergeCells count="1901">
    <mergeCell ref="A7202:A720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6"/>
    <mergeCell ref="A7187:A7188"/>
    <mergeCell ref="G7173:G7176"/>
    <mergeCell ref="A7194:A7196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89:A7192"/>
    <mergeCell ref="G7189:G7192"/>
    <mergeCell ref="A7173:A7176"/>
    <mergeCell ref="A7177:A7179"/>
    <mergeCell ref="A7180:A7182"/>
    <mergeCell ref="A7165:A7166"/>
    <mergeCell ref="A7169:A7171"/>
    <mergeCell ref="A7142:A714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2026-09-07T13:53:20Z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