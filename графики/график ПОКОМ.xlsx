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C13DA59A-209C-44ED-969B-5CFA4BA90660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Лист1!$A$2:$R$7457</definedName>
    <definedName name="_xlnm.Print_Area" localSheetId="0">Лист1!$A$1:$J$5690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7449" i="1" l="1"/>
  <c r="K7349" i="1" l="1"/>
  <c r="K7350" i="1"/>
  <c r="K7351" i="1"/>
  <c r="K7352" i="1"/>
  <c r="K7353" i="1"/>
  <c r="K7354" i="1"/>
  <c r="K7355" i="1"/>
  <c r="K7356" i="1"/>
  <c r="K7357" i="1"/>
  <c r="K7358" i="1"/>
  <c r="K7359" i="1"/>
  <c r="K7360" i="1"/>
  <c r="K7361" i="1"/>
  <c r="K7362" i="1"/>
  <c r="K7363" i="1"/>
  <c r="K7348" i="1"/>
  <c r="K7323" i="1"/>
  <c r="K7324" i="1"/>
  <c r="K7325" i="1"/>
  <c r="K7326" i="1"/>
  <c r="K7327" i="1"/>
  <c r="K7328" i="1"/>
  <c r="K7329" i="1"/>
  <c r="K7330" i="1"/>
  <c r="K7331" i="1"/>
  <c r="K7332" i="1"/>
  <c r="K7333" i="1"/>
  <c r="K7334" i="1"/>
  <c r="K7335" i="1"/>
  <c r="K7336" i="1"/>
  <c r="K7337" i="1"/>
  <c r="K7338" i="1"/>
  <c r="K7339" i="1"/>
  <c r="K7340" i="1"/>
  <c r="K7341" i="1"/>
  <c r="K7342" i="1"/>
  <c r="K7343" i="1"/>
  <c r="K7344" i="1"/>
  <c r="K7345" i="1"/>
  <c r="K7346" i="1"/>
  <c r="K7347" i="1"/>
  <c r="K7322" i="1"/>
  <c r="K7321" i="1"/>
  <c r="E7357" i="1" l="1"/>
  <c r="K7302" i="1" l="1"/>
  <c r="K7303" i="1"/>
  <c r="K7304" i="1"/>
  <c r="K7305" i="1"/>
  <c r="K7306" i="1"/>
  <c r="K7307" i="1"/>
  <c r="K7308" i="1"/>
  <c r="K7309" i="1"/>
  <c r="K7310" i="1"/>
  <c r="K7311" i="1"/>
  <c r="K7312" i="1"/>
  <c r="K7313" i="1"/>
  <c r="K7314" i="1"/>
  <c r="K7315" i="1"/>
  <c r="K7316" i="1"/>
  <c r="K7317" i="1"/>
  <c r="K7318" i="1"/>
  <c r="K7319" i="1"/>
  <c r="K7320" i="1"/>
  <c r="K7301" i="1"/>
  <c r="E7332" i="1"/>
  <c r="K7286" i="1" l="1"/>
  <c r="K7287" i="1"/>
  <c r="K7288" i="1"/>
  <c r="K7289" i="1"/>
  <c r="K7290" i="1"/>
  <c r="K7291" i="1"/>
  <c r="K7292" i="1"/>
  <c r="K7293" i="1"/>
  <c r="K7294" i="1"/>
  <c r="K7295" i="1"/>
  <c r="K7296" i="1"/>
  <c r="K7297" i="1"/>
  <c r="K7298" i="1"/>
  <c r="K7299" i="1"/>
  <c r="K7300" i="1"/>
  <c r="K7285" i="1"/>
  <c r="K7276" i="1"/>
  <c r="K7277" i="1"/>
  <c r="K7278" i="1"/>
  <c r="K7279" i="1"/>
  <c r="K7280" i="1"/>
  <c r="K7281" i="1"/>
  <c r="K7282" i="1"/>
  <c r="K7283" i="1"/>
  <c r="K7284" i="1"/>
  <c r="K7275" i="1"/>
  <c r="K7243" i="1"/>
  <c r="K7244" i="1"/>
  <c r="K7245" i="1"/>
  <c r="K7246" i="1"/>
  <c r="K7247" i="1"/>
  <c r="K7248" i="1"/>
  <c r="K7249" i="1"/>
  <c r="K7250" i="1"/>
  <c r="K7251" i="1"/>
  <c r="K7252" i="1"/>
  <c r="K7253" i="1"/>
  <c r="K7254" i="1"/>
  <c r="K7255" i="1"/>
  <c r="K7256" i="1"/>
  <c r="K7257" i="1"/>
  <c r="K7258" i="1"/>
  <c r="K7259" i="1"/>
  <c r="K7260" i="1"/>
  <c r="K7261" i="1"/>
  <c r="K7262" i="1"/>
  <c r="K7263" i="1"/>
  <c r="K7264" i="1"/>
  <c r="K7265" i="1"/>
  <c r="K7266" i="1"/>
  <c r="K7267" i="1"/>
  <c r="K7268" i="1"/>
  <c r="K7269" i="1"/>
  <c r="K7270" i="1"/>
  <c r="K7271" i="1"/>
  <c r="K7272" i="1"/>
  <c r="K7273" i="1"/>
  <c r="K7274" i="1"/>
  <c r="K7242" i="1"/>
  <c r="K7217" i="1" l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16" i="1"/>
  <c r="E7223" i="1" l="1"/>
  <c r="K7215" i="1" l="1"/>
  <c r="K7214" i="1"/>
  <c r="K7213" i="1"/>
  <c r="K7212" i="1"/>
  <c r="K7211" i="1"/>
  <c r="K7210" i="1"/>
  <c r="K7209" i="1"/>
  <c r="K7208" i="1"/>
  <c r="K7207" i="1"/>
  <c r="K7206" i="1"/>
  <c r="K7205" i="1"/>
  <c r="K7204" i="1"/>
  <c r="K7203" i="1"/>
  <c r="K7202" i="1"/>
  <c r="K7201" i="1"/>
  <c r="K7200" i="1"/>
  <c r="K7199" i="1"/>
  <c r="K7198" i="1"/>
  <c r="K7197" i="1"/>
  <c r="K7196" i="1"/>
  <c r="K7195" i="1"/>
  <c r="K7194" i="1"/>
  <c r="K7193" i="1"/>
  <c r="K7192" i="1"/>
  <c r="K7191" i="1"/>
  <c r="K7190" i="1"/>
  <c r="K7189" i="1"/>
  <c r="K7188" i="1"/>
  <c r="K7187" i="1"/>
  <c r="K7186" i="1"/>
  <c r="K7185" i="1"/>
  <c r="K7184" i="1"/>
  <c r="K7183" i="1"/>
  <c r="K7182" i="1"/>
  <c r="K7181" i="1"/>
  <c r="K7180" i="1"/>
  <c r="K7154" i="1"/>
  <c r="E7218" i="1" l="1"/>
  <c r="E7216" i="1"/>
  <c r="K7145" i="1"/>
  <c r="K7146" i="1"/>
  <c r="K7147" i="1"/>
  <c r="K7148" i="1"/>
  <c r="K7149" i="1"/>
  <c r="K7150" i="1"/>
  <c r="K7151" i="1"/>
  <c r="K7152" i="1"/>
  <c r="K7153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44" i="1"/>
  <c r="K7104" i="1" l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03" i="1"/>
  <c r="E7142" i="1" l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069" i="1"/>
  <c r="K7057" i="1" l="1"/>
  <c r="K7058" i="1"/>
  <c r="K7059" i="1"/>
  <c r="K7060" i="1"/>
  <c r="K7061" i="1"/>
  <c r="K7062" i="1"/>
  <c r="K7063" i="1"/>
  <c r="K7064" i="1"/>
  <c r="K7065" i="1"/>
  <c r="K7066" i="1"/>
  <c r="K7067" i="1"/>
  <c r="K7068" i="1"/>
  <c r="K7056" i="1"/>
  <c r="E7114" i="1" l="1"/>
  <c r="E7083" i="1" l="1"/>
  <c r="K7027" i="1" l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26" i="1"/>
  <c r="E7076" i="1" l="1"/>
  <c r="K6990" i="1" l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6989" i="1"/>
  <c r="E7052" i="1" l="1"/>
  <c r="E7039" i="1"/>
  <c r="E7035" i="1" l="1"/>
  <c r="K6981" i="1" l="1"/>
  <c r="K6982" i="1"/>
  <c r="K6983" i="1"/>
  <c r="K6984" i="1"/>
  <c r="K6985" i="1"/>
  <c r="K6986" i="1"/>
  <c r="K6987" i="1"/>
  <c r="K6988" i="1"/>
  <c r="K6980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63" i="1"/>
  <c r="K6962" i="1" l="1"/>
  <c r="K6961" i="1"/>
  <c r="K6960" i="1"/>
  <c r="K6959" i="1"/>
  <c r="K6958" i="1"/>
  <c r="K6957" i="1"/>
  <c r="K6956" i="1"/>
  <c r="K6955" i="1"/>
  <c r="K6954" i="1"/>
  <c r="K6953" i="1"/>
  <c r="K6952" i="1"/>
  <c r="K6951" i="1"/>
  <c r="K6950" i="1"/>
  <c r="K6949" i="1"/>
  <c r="K6948" i="1"/>
  <c r="K6947" i="1"/>
  <c r="K6946" i="1"/>
  <c r="K6945" i="1"/>
  <c r="K6944" i="1"/>
  <c r="K6943" i="1"/>
  <c r="K6942" i="1"/>
  <c r="K6941" i="1"/>
  <c r="K6940" i="1"/>
  <c r="K6939" i="1"/>
  <c r="K6938" i="1"/>
  <c r="K6907" i="1"/>
  <c r="K6937" i="1" l="1"/>
  <c r="K6936" i="1"/>
  <c r="K6935" i="1"/>
  <c r="K6934" i="1"/>
  <c r="K6933" i="1"/>
  <c r="K6932" i="1"/>
  <c r="K6931" i="1"/>
  <c r="K6930" i="1"/>
  <c r="K6929" i="1"/>
  <c r="K6928" i="1"/>
  <c r="K6927" i="1"/>
  <c r="K6926" i="1"/>
  <c r="K6925" i="1"/>
  <c r="K6924" i="1"/>
  <c r="K6923" i="1"/>
  <c r="K6908" i="1" l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897" i="1" l="1"/>
  <c r="K6898" i="1"/>
  <c r="K6899" i="1"/>
  <c r="K6900" i="1"/>
  <c r="K6901" i="1"/>
  <c r="K6902" i="1"/>
  <c r="K6903" i="1"/>
  <c r="K6904" i="1"/>
  <c r="K6905" i="1"/>
  <c r="K6906" i="1"/>
  <c r="K6896" i="1"/>
  <c r="K6867" i="1" l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66" i="1"/>
  <c r="E6899" i="1" l="1"/>
  <c r="E6896" i="1"/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l="1"/>
  <c r="A6861" i="1" l="1"/>
  <c r="A6864" i="1" s="1"/>
  <c r="A6866" i="1" l="1"/>
  <c r="A6868" i="1" s="1"/>
  <c r="A6869" i="1" l="1"/>
  <c r="A6870" i="1" l="1"/>
  <c r="A6873" i="1" l="1"/>
  <c r="A6876" i="1" l="1"/>
  <c r="A6878" i="1" s="1"/>
  <c r="A6880" i="1" l="1"/>
  <c r="A6881" i="1" l="1"/>
  <c r="A6883" i="1" l="1"/>
  <c r="A6884" i="1" l="1"/>
  <c r="A6885" i="1" l="1"/>
  <c r="A6886" i="1" l="1"/>
  <c r="A6887" i="1" l="1"/>
  <c r="A6889" i="1" l="1"/>
  <c r="A6891" i="1" l="1"/>
  <c r="A6893" i="1" l="1"/>
  <c r="A6896" i="1" s="1"/>
  <c r="A6899" i="1" s="1"/>
  <c r="A6902" i="1" l="1"/>
  <c r="A6906" i="1" l="1"/>
  <c r="A6907" i="1" l="1"/>
  <c r="A6908" i="1" l="1"/>
  <c r="A6912" i="1" s="1"/>
  <c r="A6914" i="1" s="1"/>
  <c r="A6915" i="1" l="1"/>
  <c r="A6920" i="1" l="1"/>
  <c r="A6923" i="1" l="1"/>
  <c r="A6924" i="1" l="1"/>
  <c r="A6926" i="1" l="1"/>
  <c r="A6928" i="1" l="1"/>
  <c r="A6932" i="1" l="1"/>
  <c r="A6936" i="1" l="1"/>
  <c r="A6938" i="1" l="1"/>
  <c r="A6939" i="1" l="1"/>
  <c r="A6941" i="1" l="1"/>
  <c r="A6943" i="1" l="1"/>
  <c r="A6948" i="1" l="1"/>
  <c r="A6951" i="1" l="1"/>
  <c r="A6953" i="1" l="1"/>
  <c r="A6954" i="1" l="1"/>
  <c r="A6955" i="1" l="1"/>
  <c r="A6956" i="1" l="1"/>
  <c r="A6957" i="1" l="1"/>
  <c r="A6958" i="1" l="1"/>
  <c r="A6961" i="1" l="1"/>
  <c r="A6963" i="1" l="1"/>
  <c r="A6968" i="1" s="1"/>
  <c r="A6970" i="1" s="1"/>
  <c r="A6975" i="1" s="1"/>
  <c r="A6979" i="1" s="1"/>
  <c r="A6980" i="1" s="1"/>
  <c r="A6981" i="1" s="1"/>
  <c r="A6985" i="1" s="1"/>
  <c r="A6987" i="1" l="1"/>
  <c r="A6989" i="1" l="1"/>
  <c r="A6992" i="1" l="1"/>
  <c r="A6996" i="1" l="1"/>
  <c r="A6999" i="1" s="1"/>
  <c r="A7004" i="1" l="1"/>
  <c r="A7006" i="1" l="1"/>
  <c r="A7008" i="1" l="1"/>
  <c r="A7009" i="1" s="1"/>
  <c r="A7010" i="1" s="1"/>
  <c r="A7011" i="1" l="1"/>
  <c r="A7014" i="1" s="1"/>
  <c r="A7016" i="1" l="1"/>
  <c r="A7017" i="1" l="1"/>
  <c r="A7020" i="1" l="1"/>
  <c r="A7021" i="1" l="1"/>
  <c r="A7022" i="1" l="1"/>
  <c r="A7023" i="1" l="1"/>
  <c r="A7024" i="1" s="1"/>
  <c r="A7025" i="1" l="1"/>
  <c r="A7026" i="1" l="1"/>
  <c r="A7028" i="1" l="1"/>
  <c r="A7031" i="1" l="1"/>
  <c r="A7032" i="1" l="1"/>
  <c r="A7035" i="1" l="1"/>
  <c r="A7037" i="1" l="1"/>
  <c r="A7039" i="1" l="1"/>
  <c r="A7041" i="1" l="1"/>
  <c r="A7042" i="1" l="1"/>
  <c r="A7047" i="1" l="1"/>
  <c r="A7050" i="1" l="1"/>
  <c r="A7054" i="1" l="1"/>
  <c r="A7056" i="1" l="1"/>
  <c r="A7058" i="1" l="1"/>
  <c r="A7062" i="1" l="1"/>
  <c r="A7063" i="1" l="1"/>
  <c r="A7067" i="1" l="1"/>
  <c r="A7069" i="1" l="1"/>
  <c r="A7073" i="1" l="1"/>
  <c r="A7074" i="1" l="1"/>
  <c r="A7076" i="1" s="1"/>
  <c r="A7078" i="1" s="1"/>
  <c r="A7080" i="1" s="1"/>
  <c r="A7082" i="1" s="1"/>
  <c r="A7084" i="1" s="1"/>
  <c r="A7086" i="1" l="1"/>
  <c r="A7088" i="1" l="1"/>
  <c r="A7089" i="1" l="1"/>
  <c r="A7090" i="1" l="1"/>
  <c r="A7091" i="1" l="1"/>
  <c r="A7092" i="1" l="1"/>
  <c r="A7093" i="1" l="1"/>
  <c r="A7095" i="1" l="1"/>
  <c r="A7097" i="1" l="1"/>
  <c r="A7103" i="1" l="1"/>
  <c r="A7104" i="1" l="1"/>
  <c r="A7106" i="1" l="1"/>
  <c r="A7110" i="1" l="1"/>
  <c r="A7112" i="1" l="1"/>
  <c r="A7115" i="1" s="1"/>
  <c r="A7119" i="1" l="1"/>
  <c r="A7120" i="1" s="1"/>
  <c r="A7124" i="1" s="1"/>
  <c r="A7125" i="1" l="1"/>
  <c r="A7126" i="1" s="1"/>
  <c r="A7127" i="1" s="1"/>
  <c r="A7129" i="1" s="1"/>
  <c r="A7131" i="1" l="1"/>
  <c r="A7135" i="1" s="1"/>
  <c r="A7138" i="1" s="1"/>
  <c r="A7140" i="1" s="1"/>
  <c r="A7141" i="1" s="1"/>
  <c r="A7142" i="1" s="1"/>
  <c r="A7144" i="1" s="1"/>
  <c r="A7148" i="1" s="1"/>
  <c r="A7151" i="1" s="1"/>
  <c r="A7154" i="1" s="1"/>
  <c r="A7155" i="1" s="1"/>
  <c r="A7156" i="1" s="1"/>
  <c r="A7157" i="1" s="1"/>
  <c r="A7158" i="1" s="1"/>
  <c r="A7159" i="1" s="1"/>
  <c r="A7160" i="1" s="1"/>
  <c r="A7161" i="1" s="1"/>
  <c r="A7163" i="1" s="1"/>
  <c r="A7165" i="1" l="1"/>
  <c r="A7167" i="1" l="1"/>
  <c r="A7169" i="1" l="1"/>
  <c r="A7172" i="1" l="1"/>
  <c r="A7173" i="1" l="1"/>
  <c r="A7177" i="1" l="1"/>
  <c r="A7180" i="1" l="1"/>
  <c r="A7183" i="1" l="1"/>
  <c r="A7184" i="1" s="1"/>
  <c r="A7185" i="1" s="1"/>
  <c r="A7188" i="1" s="1"/>
  <c r="A7191" i="1" s="1"/>
  <c r="A7195" i="1" s="1"/>
  <c r="A7196" i="1" s="1"/>
  <c r="A7199" i="1" l="1"/>
  <c r="A7201" i="1" l="1"/>
  <c r="A7204" i="1" l="1"/>
  <c r="A7206" i="1" l="1"/>
  <c r="A7208" i="1" l="1"/>
  <c r="A7209" i="1" l="1"/>
  <c r="A7211" i="1" l="1"/>
  <c r="A7212" i="1" s="1"/>
  <c r="A7213" i="1" s="1"/>
  <c r="A7214" i="1" s="1"/>
  <c r="A7215" i="1" l="1"/>
  <c r="A7216" i="1" s="1"/>
  <c r="A7218" i="1" l="1"/>
  <c r="A7220" i="1" l="1"/>
  <c r="A7221" i="1" l="1"/>
  <c r="A7223" i="1" l="1"/>
  <c r="A7225" i="1" l="1"/>
  <c r="A7227" i="1" s="1"/>
  <c r="A7229" i="1" l="1"/>
  <c r="A7230" i="1" l="1"/>
  <c r="A7232" i="1" l="1"/>
  <c r="A7235" i="1" l="1"/>
  <c r="A7237" i="1" l="1"/>
  <c r="A7242" i="1" l="1"/>
  <c r="A7244" i="1" l="1"/>
  <c r="A7248" i="1" s="1"/>
  <c r="A7252" i="1" s="1"/>
  <c r="A7256" i="1" s="1"/>
  <c r="A7258" i="1" s="1"/>
  <c r="A7259" i="1" s="1"/>
  <c r="A7262" i="1" s="1"/>
  <c r="A7267" i="1" s="1"/>
  <c r="A7271" i="1" s="1"/>
  <c r="A7273" i="1" s="1"/>
  <c r="A7275" i="1" s="1"/>
  <c r="A7277" i="1" s="1"/>
  <c r="A7278" i="1" s="1"/>
  <c r="A7280" i="1" s="1"/>
  <c r="A7281" i="1" s="1"/>
  <c r="A7283" i="1" s="1"/>
  <c r="A7285" i="1" s="1"/>
  <c r="A7287" i="1" s="1"/>
  <c r="A7288" i="1" s="1"/>
  <c r="A7289" i="1" s="1"/>
  <c r="A7290" i="1" s="1"/>
  <c r="A7293" i="1" s="1"/>
  <c r="A7296" i="1" s="1"/>
  <c r="A7298" i="1" s="1"/>
  <c r="A7301" i="1" s="1"/>
  <c r="A7306" i="1" s="1"/>
  <c r="A7309" i="1" s="1"/>
  <c r="A7310" i="1" s="1"/>
  <c r="A7311" i="1" s="1"/>
  <c r="A7318" i="1" s="1"/>
  <c r="A7321" i="1" s="1"/>
  <c r="A7325" i="1" l="1"/>
  <c r="A7328" i="1" s="1"/>
  <c r="A7330" i="1" s="1"/>
  <c r="A7332" i="1" s="1"/>
  <c r="A7335" i="1" s="1"/>
  <c r="A7337" i="1" s="1"/>
  <c r="A7338" i="1" s="1"/>
  <c r="A7341" i="1" s="1"/>
  <c r="A7343" i="1" s="1"/>
  <c r="A7344" i="1" l="1"/>
  <c r="A7346" i="1"/>
  <c r="A7348" i="1" s="1"/>
  <c r="A7349" i="1" l="1"/>
  <c r="A7350" i="1" s="1"/>
  <c r="A7351" i="1" s="1"/>
  <c r="A7355" i="1" s="1"/>
  <c r="A7356" i="1" l="1"/>
  <c r="A7357" i="1" s="1"/>
  <c r="A7360" i="1" s="1"/>
  <c r="A7363" i="1" s="1"/>
  <c r="A7364" i="1" s="1"/>
  <c r="A7365" i="1" s="1"/>
  <c r="A7367" i="1" s="1"/>
  <c r="A7370" i="1" s="1"/>
  <c r="A7375" i="1" s="1"/>
  <c r="A7380" i="1" s="1"/>
  <c r="A7381" i="1" s="1"/>
  <c r="A7385" i="1" s="1"/>
  <c r="A7386" i="1" s="1"/>
  <c r="A7389" i="1" l="1"/>
  <c r="A7392" i="1" l="1"/>
  <c r="A7396" i="1" l="1"/>
  <c r="A7397" i="1" s="1"/>
  <c r="A7398" i="1" s="1"/>
  <c r="A7401" i="1" l="1"/>
  <c r="A7403" i="1" s="1"/>
  <c r="A7405" i="1" s="1"/>
  <c r="A7407" i="1" l="1"/>
  <c r="A7409" i="1" s="1"/>
  <c r="A7412" i="1" s="1"/>
  <c r="A7414" i="1" s="1"/>
  <c r="A7415" i="1" s="1"/>
  <c r="A7417" i="1" s="1"/>
  <c r="A7418" i="1" s="1"/>
  <c r="A7421" i="1" s="1"/>
  <c r="A7423" i="1" s="1"/>
  <c r="A7426" i="1" l="1"/>
  <c r="A7427" i="1" s="1"/>
  <c r="A7428" i="1" s="1"/>
  <c r="A7430" i="1" s="1"/>
  <c r="A7433" i="1" s="1"/>
  <c r="A7437" i="1" s="1"/>
  <c r="A7439" i="1" s="1"/>
  <c r="A7441" i="1" l="1"/>
  <c r="A7442" i="1" s="1"/>
  <c r="A7443" i="1" s="1"/>
  <c r="A7444" i="1" s="1"/>
  <c r="A7446" i="1" s="1"/>
  <c r="A7447" i="1" l="1"/>
  <c r="A7451" i="1" s="1"/>
  <c r="A7452" i="1" s="1"/>
  <c r="A7455" i="1" s="1"/>
  <c r="A7456" i="1" s="1"/>
  <c r="A7458" i="1" l="1"/>
  <c r="A7459" i="1" l="1"/>
  <c r="A7460" i="1" l="1"/>
  <c r="A7461" i="1" s="1"/>
  <c r="A7462" i="1" s="1"/>
  <c r="A7463" i="1" l="1"/>
  <c r="A7464" i="1" s="1"/>
  <c r="A7465" i="1" s="1"/>
  <c r="A7466" i="1" l="1"/>
</calcChain>
</file>

<file path=xl/sharedStrings.xml><?xml version="1.0" encoding="utf-8"?>
<sst xmlns="http://schemas.openxmlformats.org/spreadsheetml/2006/main" count="48405" uniqueCount="3035">
  <si>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</si>
  <si>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</si>
  <si>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</si>
  <si>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</si>
  <si>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</si>
  <si>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</si>
  <si>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</si>
  <si>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</si>
  <si>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</si>
  <si>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</si>
  <si>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</si>
  <si>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</si>
  <si>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</si>
  <si>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</si>
  <si>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</si>
  <si>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</si>
  <si>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</si>
  <si>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</si>
  <si>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</si>
  <si>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</si>
  <si>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</si>
  <si>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</si>
  <si>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</si>
  <si>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</si>
  <si>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</si>
  <si>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</si>
  <si>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</si>
  <si>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</si>
  <si>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</si>
  <si>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</si>
  <si>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</si>
  <si>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</si>
  <si>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</si>
  <si>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</si>
  <si>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</si>
  <si>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</si>
  <si>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</si>
  <si>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</si>
  <si>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</si>
  <si>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</si>
  <si>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</si>
  <si>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</si>
  <si>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</si>
  <si>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</si>
  <si>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</si>
  <si>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</si>
  <si>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</si>
  <si>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</si>
  <si>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</si>
  <si>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</si>
  <si>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</si>
  <si>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</si>
  <si>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</si>
  <si>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</si>
  <si>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</si>
  <si>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</si>
  <si>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</si>
  <si>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</si>
  <si>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</si>
  <si>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</si>
  <si>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</si>
  <si>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</si>
  <si>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</si>
  <si>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</si>
  <si>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</si>
  <si>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</si>
  <si>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</si>
  <si>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</si>
  <si>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</si>
  <si>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</si>
  <si>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</si>
  <si>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</si>
  <si>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</si>
  <si>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</si>
  <si>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</si>
  <si>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</si>
  <si>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</si>
  <si>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</si>
  <si>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</si>
  <si>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</si>
  <si>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</si>
  <si>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</si>
  <si>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</si>
  <si>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</si>
  <si>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</si>
  <si>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</si>
  <si>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</si>
  <si>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</si>
  <si>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</si>
  <si>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</si>
  <si>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</si>
  <si>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</si>
  <si>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</si>
  <si>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</si>
  <si>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</si>
  <si>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</si>
  <si>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</si>
  <si>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</si>
  <si>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</si>
  <si>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</si>
  <si>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</si>
  <si>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</si>
  <si>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</si>
  <si>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</si>
  <si>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</si>
  <si>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</si>
  <si>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</si>
  <si>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</si>
  <si>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</si>
  <si>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</si>
  <si>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</si>
  <si>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</si>
  <si>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</si>
  <si>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</si>
  <si>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</si>
  <si>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</si>
  <si>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</si>
  <si>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</si>
  <si>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</si>
  <si>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</si>
  <si>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</si>
  <si>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</si>
  <si>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</si>
  <si>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</si>
  <si>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</si>
  <si>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</si>
  <si>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</si>
  <si>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</si>
  <si>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</si>
  <si>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</si>
  <si>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</si>
  <si>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</si>
  <si>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</si>
  <si>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</si>
  <si>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</si>
  <si>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</si>
  <si>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</si>
  <si>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</si>
  <si>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</si>
  <si>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</si>
  <si>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</si>
  <si>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</si>
  <si>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</si>
  <si>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</si>
  <si>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</si>
  <si>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</si>
  <si>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</si>
  <si>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</si>
  <si>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</si>
  <si>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</si>
  <si>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</si>
  <si>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</si>
  <si>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</si>
  <si>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</si>
  <si>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</si>
  <si>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</si>
  <si>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</si>
  <si>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</si>
  <si>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</si>
  <si>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</si>
  <si>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</si>
  <si>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</si>
  <si>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</si>
  <si>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</si>
  <si>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</si>
  <si>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</si>
  <si>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</si>
  <si>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</si>
  <si>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</si>
  <si>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</si>
  <si>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</si>
  <si>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</si>
  <si>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</si>
  <si>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</si>
  <si>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</si>
  <si>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</si>
  <si>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</si>
  <si>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</si>
  <si>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</si>
  <si>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</si>
  <si>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</si>
  <si>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</si>
  <si>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</si>
  <si>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</si>
  <si>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</si>
  <si>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</si>
  <si>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</si>
  <si>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</si>
  <si>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</si>
  <si>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</si>
  <si>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</si>
  <si>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</si>
  <si>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</si>
  <si>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</si>
  <si>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</si>
  <si>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</si>
  <si>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</si>
  <si>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</si>
  <si>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</si>
  <si>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</si>
  <si>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</si>
  <si>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</si>
  <si>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</si>
  <si>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</si>
  <si>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</si>
  <si>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</si>
  <si>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</si>
  <si>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</si>
  <si>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</si>
  <si>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</si>
  <si>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</si>
  <si>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</si>
  <si>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</si>
  <si>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</si>
  <si>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</si>
  <si>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</si>
  <si>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</si>
  <si>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</si>
  <si>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</si>
  <si>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</si>
  <si>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</si>
  <si>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</si>
  <si>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</si>
  <si>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</si>
  <si>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</si>
  <si>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</si>
  <si>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</si>
  <si>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</si>
  <si>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</si>
  <si>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</si>
  <si>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</si>
  <si>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</si>
  <si>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</si>
  <si>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</si>
  <si>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</si>
  <si>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</si>
  <si>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</si>
  <si>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</si>
  <si>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</si>
  <si>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</si>
  <si>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</si>
  <si>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</si>
  <si>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</si>
  <si>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</si>
  <si>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</si>
  <si>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</si>
  <si>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</si>
  <si>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</si>
  <si>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</si>
  <si>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</si>
  <si>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</si>
  <si>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</si>
  <si>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</si>
  <si>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</si>
  <si>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</si>
  <si>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</si>
  <si>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</si>
  <si>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</si>
  <si>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</si>
  <si>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</si>
  <si>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</si>
  <si>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</si>
  <si>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</si>
  <si>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</si>
  <si>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</si>
  <si>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</si>
  <si>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</si>
  <si>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</si>
  <si>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</si>
  <si>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</si>
  <si>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</si>
  <si>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</si>
  <si>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</si>
  <si>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</si>
  <si>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</si>
  <si>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</si>
  <si>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</si>
  <si>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</si>
  <si>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</si>
  <si>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</si>
  <si>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</si>
  <si>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</si>
  <si>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</si>
  <si>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</si>
  <si>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</si>
  <si>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</si>
  <si>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</si>
  <si>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</si>
  <si>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</si>
  <si>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</si>
  <si>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</si>
  <si>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</si>
  <si>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</si>
  <si>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</si>
  <si>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</si>
  <si>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</si>
  <si>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</si>
  <si>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</si>
  <si>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</si>
  <si>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</si>
  <si>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</si>
  <si>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</si>
  <si>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</si>
  <si>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</si>
  <si>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</si>
  <si>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</si>
  <si>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</si>
  <si>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</si>
  <si>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</si>
  <si>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</si>
  <si>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</si>
  <si>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</si>
  <si>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</si>
  <si>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</si>
  <si>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</si>
  <si>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</si>
  <si>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</si>
  <si>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</si>
  <si>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</si>
  <si>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</si>
  <si>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</si>
  <si>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</si>
  <si>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</si>
  <si>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</si>
  <si>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</si>
  <si>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</si>
  <si>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</si>
  <si>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</si>
  <si>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</si>
  <si>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</si>
  <si>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</si>
  <si>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</si>
  <si>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</si>
  <si>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</si>
  <si>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</si>
  <si>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</si>
  <si>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</si>
  <si>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</si>
  <si>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</si>
  <si>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</si>
  <si>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</si>
  <si>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</si>
  <si>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</si>
  <si>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</si>
  <si>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</si>
  <si>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</si>
  <si>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</si>
  <si>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</si>
  <si>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</si>
  <si>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</si>
  <si>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</si>
  <si>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</si>
  <si>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</si>
  <si>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</si>
  <si>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</si>
  <si>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</si>
  <si>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</si>
  <si>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</si>
  <si>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</si>
  <si>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</si>
  <si>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</si>
  <si>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</si>
  <si>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</si>
  <si>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</si>
  <si>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</si>
  <si>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</si>
  <si>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</si>
  <si>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</si>
  <si>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</si>
  <si>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</si>
  <si>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</si>
  <si>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</si>
  <si>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</si>
  <si>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</si>
  <si>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</si>
  <si>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</si>
  <si>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</si>
  <si>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</si>
  <si>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</si>
  <si>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</si>
  <si>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</si>
  <si>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</si>
  <si>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</si>
  <si>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</si>
  <si>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</si>
  <si>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</si>
  <si>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</si>
  <si>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</si>
  <si>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</si>
  <si>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</si>
  <si>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</si>
  <si>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</si>
  <si>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</si>
  <si>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</si>
  <si>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</si>
  <si>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</si>
  <si>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</si>
  <si>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</si>
  <si>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</si>
  <si>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</si>
  <si>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</si>
  <si>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</si>
  <si>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</si>
  <si>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</si>
  <si>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</si>
  <si>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</si>
  <si>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</si>
  <si>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</si>
  <si>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</si>
  <si>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</si>
  <si>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</si>
  <si>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</si>
  <si>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</si>
  <si>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</si>
  <si>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</si>
  <si>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</si>
  <si>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</si>
  <si>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</si>
  <si>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</si>
  <si>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</si>
  <si>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</si>
  <si>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</si>
  <si>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</si>
  <si>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</si>
  <si>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</si>
  <si>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</si>
  <si>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</si>
  <si>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</si>
  <si>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</si>
  <si>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</si>
  <si>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</si>
  <si>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</si>
  <si>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</si>
  <si>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</si>
  <si>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</si>
  <si>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</si>
  <si>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</si>
  <si>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</si>
  <si>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</si>
  <si>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</si>
  <si>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</si>
  <si>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</si>
  <si>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</si>
  <si>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</si>
  <si>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</si>
  <si>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</si>
  <si>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</si>
  <si>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</si>
  <si>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</si>
  <si>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</si>
  <si>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</si>
  <si>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</si>
  <si>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</si>
  <si>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</si>
  <si>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</si>
  <si>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</si>
  <si>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</si>
  <si>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</si>
  <si>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</si>
  <si>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</si>
  <si>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</si>
  <si>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</si>
  <si>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</si>
  <si>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</si>
  <si>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</si>
  <si>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</si>
  <si>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</si>
  <si>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</si>
  <si>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</si>
  <si>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</si>
  <si>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</si>
  <si>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</si>
  <si>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</si>
  <si>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</si>
  <si>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</si>
  <si>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</si>
  <si>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</si>
  <si>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</si>
  <si>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</si>
  <si>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</si>
  <si>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</si>
  <si>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</si>
  <si>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</si>
  <si>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</si>
  <si>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</si>
  <si>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</si>
  <si>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</si>
  <si>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</si>
  <si>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</si>
  <si>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</si>
  <si>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</si>
  <si>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</si>
  <si>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</si>
  <si>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</si>
  <si>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</si>
  <si>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</si>
  <si>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</si>
  <si>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</si>
  <si>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</si>
  <si>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</si>
  <si>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</si>
  <si>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</si>
  <si>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</si>
  <si>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</si>
  <si>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</si>
  <si>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</si>
  <si>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</si>
  <si>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</si>
  <si>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</si>
  <si>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</si>
  <si>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</si>
  <si>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</si>
  <si>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</si>
  <si>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</si>
  <si>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</si>
  <si>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</si>
  <si>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</si>
  <si>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</si>
  <si>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</si>
  <si>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</si>
  <si>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</si>
  <si>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</si>
  <si>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</si>
  <si>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</si>
  <si>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</si>
  <si>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</si>
  <si>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</si>
  <si>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</si>
  <si>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</si>
  <si>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</si>
  <si>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</si>
  <si>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</si>
  <si>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</si>
  <si>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</si>
  <si>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</si>
  <si>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</si>
  <si>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</si>
  <si>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</si>
  <si>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</si>
  <si>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</si>
  <si>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</si>
  <si>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</si>
  <si>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</si>
  <si>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</si>
  <si>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</si>
  <si>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</si>
  <si>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</si>
  <si>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</si>
  <si>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</si>
  <si>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</si>
  <si>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</si>
  <si>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</si>
  <si>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</si>
  <si>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</si>
  <si>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</si>
  <si>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</si>
  <si>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</si>
  <si>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</si>
  <si>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</si>
  <si>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</si>
  <si>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</si>
  <si>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</si>
  <si>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</si>
  <si>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</si>
  <si>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</si>
  <si>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</si>
  <si>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</si>
  <si>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</si>
  <si>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</si>
  <si>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</si>
  <si>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</si>
  <si>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</si>
  <si>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</si>
  <si>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</si>
  <si>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</si>
  <si>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</si>
  <si>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</si>
  <si>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</si>
  <si>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</si>
  <si>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</si>
  <si>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</si>
  <si>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</si>
  <si>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</si>
  <si>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</si>
  <si>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</si>
  <si>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</si>
  <si>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</si>
  <si>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</si>
  <si>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</si>
  <si>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</si>
  <si>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</si>
  <si>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</si>
  <si>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</si>
  <si>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</si>
  <si>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</si>
  <si>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</si>
  <si>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</si>
  <si>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</si>
  <si>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</si>
  <si>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</si>
  <si>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</si>
  <si>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</si>
  <si>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</si>
  <si>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</si>
  <si>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</si>
  <si>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</si>
  <si>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</si>
  <si>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</si>
  <si>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</si>
  <si>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</si>
  <si>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</si>
  <si>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</si>
  <si>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</si>
  <si>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</si>
  <si>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</si>
  <si>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</si>
  <si>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</si>
  <si>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</si>
  <si>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</si>
  <si>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</si>
  <si>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</si>
  <si>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</si>
  <si>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</si>
  <si>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</si>
  <si>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</si>
  <si>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</si>
  <si>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</si>
  <si>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</si>
  <si>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</si>
  <si>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</si>
  <si>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</si>
  <si>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</si>
  <si>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</si>
  <si>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</si>
  <si>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</si>
  <si>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</si>
  <si>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</si>
  <si>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</si>
  <si>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</si>
  <si>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</si>
  <si>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</si>
  <si>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</si>
  <si>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</si>
  <si>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</si>
  <si>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</si>
  <si>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</si>
  <si>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</si>
  <si>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</si>
  <si>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</si>
  <si>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</si>
  <si>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</si>
  <si>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</si>
  <si>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</si>
  <si>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</si>
  <si>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</si>
  <si>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</si>
  <si>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</si>
  <si>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</si>
  <si>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</si>
  <si>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</si>
  <si>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</si>
  <si>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</si>
  <si>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</si>
  <si>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</si>
  <si>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</si>
  <si>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</si>
  <si>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</si>
  <si>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</si>
  <si>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</si>
  <si>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</si>
  <si>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</si>
  <si>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</si>
  <si>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</si>
  <si>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</si>
  <si>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</si>
  <si>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</si>
  <si>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</si>
  <si>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</si>
  <si>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</si>
  <si>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</si>
  <si>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</si>
  <si>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</si>
  <si>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</si>
  <si>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</si>
  <si>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</si>
  <si>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</si>
  <si>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</si>
  <si>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</si>
  <si>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</si>
  <si>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</si>
  <si>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</si>
  <si>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</si>
  <si>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</si>
  <si>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</si>
  <si>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</si>
  <si>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</si>
  <si>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</si>
  <si>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</si>
  <si>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</si>
  <si>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</si>
  <si>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</si>
  <si>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</si>
  <si>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</si>
  <si>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</si>
  <si>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</si>
  <si>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</si>
  <si>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</si>
  <si>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</si>
  <si>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</si>
  <si>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</si>
  <si>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</si>
  <si>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</si>
  <si>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</si>
  <si>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</si>
  <si>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</si>
  <si>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</si>
  <si>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</si>
  <si>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</si>
  <si>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</si>
  <si>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</si>
  <si>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</si>
  <si>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</si>
  <si>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</si>
  <si>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</si>
  <si>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</si>
  <si>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</si>
  <si>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</si>
  <si>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</si>
  <si>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</si>
  <si>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</si>
  <si>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</si>
  <si>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</si>
  <si>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</si>
  <si>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</si>
  <si>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</si>
  <si>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</si>
  <si>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</si>
  <si>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</si>
  <si>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</si>
  <si>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</si>
  <si>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</si>
  <si>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</si>
  <si>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</si>
  <si>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</si>
  <si>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</si>
  <si>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</si>
  <si>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</si>
  <si>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</si>
  <si>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</si>
  <si>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</si>
  <si>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</si>
  <si>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</si>
  <si>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</si>
  <si>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</si>
  <si>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</si>
  <si>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</si>
  <si>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</si>
  <si>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</si>
  <si>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</si>
  <si>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</si>
  <si>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</si>
  <si>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</si>
  <si>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</si>
  <si>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</si>
  <si>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</si>
  <si>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</si>
  <si>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</si>
  <si>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</si>
  <si>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</si>
  <si>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</si>
  <si>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</si>
  <si>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</si>
  <si>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</si>
  <si>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</si>
  <si>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</si>
  <si>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</si>
  <si>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</si>
  <si>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</si>
  <si>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</si>
  <si>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</si>
  <si>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</si>
  <si>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</si>
  <si>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</si>
  <si>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</si>
  <si>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</si>
  <si>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</si>
  <si>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</si>
  <si>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</si>
  <si>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</si>
  <si>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</si>
  <si>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</si>
  <si>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</si>
  <si>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</si>
  <si>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</si>
  <si>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</si>
  <si>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</si>
  <si>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</si>
  <si>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</si>
  <si>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</si>
  <si>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</si>
  <si>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</si>
  <si>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</si>
  <si>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</si>
  <si>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</si>
  <si>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</si>
  <si>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</si>
  <si>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</si>
  <si>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</si>
  <si>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</si>
  <si>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</si>
  <si>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</si>
  <si>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</si>
  <si>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</si>
  <si>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</si>
  <si>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</si>
  <si>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</si>
  <si>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</si>
  <si>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</si>
  <si>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</si>
  <si>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</si>
  <si>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</si>
  <si>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</si>
  <si>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</si>
  <si>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</si>
  <si>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</si>
  <si>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</si>
  <si>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</si>
  <si>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</si>
  <si>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</si>
  <si>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</si>
  <si>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</si>
  <si>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</si>
  <si>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</si>
  <si>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</si>
  <si>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</si>
  <si>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</si>
  <si>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</si>
  <si>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</si>
  <si>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</si>
  <si>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</si>
  <si>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</si>
  <si>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</si>
  <si>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</si>
  <si>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</si>
  <si>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</si>
  <si>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</si>
  <si>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</si>
  <si>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</si>
  <si>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</si>
  <si>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</si>
  <si>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</si>
  <si>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</si>
  <si>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</si>
  <si>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</si>
  <si>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</si>
  <si>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</si>
  <si>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</si>
  <si>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</si>
  <si>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</si>
  <si>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</si>
  <si>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</si>
  <si>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</si>
  <si>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</si>
  <si>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</si>
  <si>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</si>
  <si>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</si>
  <si>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</si>
  <si>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</si>
  <si>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</si>
  <si>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</si>
  <si>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</si>
  <si>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</si>
  <si>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</si>
  <si>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</si>
  <si>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</si>
  <si>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</si>
  <si>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</si>
  <si>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</si>
  <si>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</si>
  <si>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</si>
  <si>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</si>
  <si>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</si>
  <si>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</si>
  <si>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</si>
  <si>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</si>
  <si>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</si>
  <si>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</si>
  <si>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</si>
  <si>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</si>
  <si>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</si>
  <si>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</si>
  <si>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</si>
  <si>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</si>
  <si>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</si>
  <si>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</si>
  <si>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</si>
  <si>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</si>
  <si>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</si>
  <si>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</si>
  <si>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</si>
  <si>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</si>
  <si>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</si>
  <si>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</si>
  <si>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</si>
  <si>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</si>
  <si>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</si>
  <si>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</si>
  <si>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</si>
  <si>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</si>
  <si>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</si>
  <si>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</si>
  <si>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</si>
  <si>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</si>
  <si>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</si>
  <si>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</si>
  <si>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</si>
  <si>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</si>
  <si>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</si>
  <si>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</si>
  <si>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</si>
  <si>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</si>
  <si>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</si>
  <si>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</si>
  <si>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</si>
  <si>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</si>
  <si>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</si>
  <si>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</si>
  <si>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</si>
  <si>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</si>
  <si>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</si>
  <si>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</si>
  <si>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</si>
  <si>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</si>
  <si>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</si>
  <si>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</si>
  <si>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</si>
  <si>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</si>
  <si>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</si>
  <si>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</si>
  <si>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</si>
  <si>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</si>
  <si>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</si>
  <si>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</si>
  <si>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</si>
  <si>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</si>
  <si>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</si>
  <si>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</si>
  <si>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</si>
  <si>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</si>
  <si>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</si>
  <si>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</si>
  <si>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</si>
  <si>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</si>
  <si>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</si>
  <si>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</si>
  <si>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</si>
  <si>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</si>
  <si>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</si>
  <si>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</si>
  <si>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</si>
  <si>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</si>
  <si>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</si>
  <si>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</si>
  <si>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</si>
  <si>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</si>
  <si>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</si>
  <si>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</si>
  <si>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</si>
  <si>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</si>
  <si>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</si>
  <si>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</si>
  <si>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</si>
  <si>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</si>
  <si>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</si>
  <si>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</si>
  <si>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</si>
  <si>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</si>
  <si>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</si>
  <si>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</si>
  <si>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</si>
  <si>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</si>
  <si>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</si>
  <si>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</si>
  <si>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</si>
  <si>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</si>
  <si>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</si>
  <si>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</si>
  <si>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</si>
  <si>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</si>
  <si>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</si>
  <si>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</si>
  <si>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</si>
  <si>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</si>
  <si>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</si>
  <si>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</si>
  <si>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</si>
  <si>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</si>
  <si>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</si>
  <si>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</si>
  <si>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</si>
  <si>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</si>
  <si>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</si>
  <si>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</si>
  <si>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</si>
  <si>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</si>
  <si>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</si>
  <si>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</si>
  <si>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</si>
  <si>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</si>
  <si>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</si>
  <si>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</si>
  <si>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</si>
  <si>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</si>
  <si>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</si>
  <si>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</si>
  <si>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</si>
  <si>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</si>
  <si>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</si>
  <si>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</si>
  <si>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</si>
  <si>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</si>
  <si>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</si>
  <si>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</si>
  <si>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</si>
  <si>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</si>
  <si>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</si>
  <si>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</si>
  <si>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</si>
  <si>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</si>
  <si>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</si>
  <si>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</si>
  <si>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</si>
  <si>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</si>
  <si>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</si>
  <si>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</si>
  <si>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</si>
  <si>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</si>
  <si>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</si>
  <si>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</si>
  <si>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</si>
  <si>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</si>
  <si>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</si>
  <si>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</si>
  <si>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</si>
  <si>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</si>
  <si>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</si>
  <si>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</si>
  <si>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</si>
  <si>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</si>
  <si>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</si>
  <si>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</si>
  <si>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</si>
  <si>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</si>
  <si>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</si>
  <si>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</si>
  <si>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</si>
  <si>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</si>
  <si>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</si>
  <si>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</si>
  <si>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</si>
  <si>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</si>
  <si>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</si>
  <si>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</si>
  <si>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</si>
  <si>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</si>
  <si>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</si>
  <si>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</si>
  <si>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</si>
  <si>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</si>
  <si>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</si>
  <si>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</si>
  <si>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</si>
  <si>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</si>
  <si>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</si>
  <si>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</si>
  <si>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</si>
  <si>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</si>
  <si>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</si>
  <si>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</si>
  <si>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</si>
  <si>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</si>
  <si>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</si>
  <si>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</si>
  <si>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</si>
  <si>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</si>
  <si>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</si>
  <si>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</si>
  <si>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</si>
  <si>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</si>
  <si>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</si>
  <si>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</si>
  <si>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</si>
  <si>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</si>
  <si>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</si>
  <si>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</si>
  <si>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</si>
  <si>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</si>
  <si>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</si>
  <si>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</si>
  <si>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</si>
  <si>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</si>
  <si>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</si>
  <si>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</si>
  <si>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</si>
  <si>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</si>
  <si>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</si>
  <si>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</si>
  <si>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</si>
  <si>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</si>
  <si>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</si>
  <si>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</si>
  <si>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</si>
  <si>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</si>
  <si>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</si>
  <si>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</si>
  <si>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</si>
  <si>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</si>
  <si>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</si>
  <si>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</si>
  <si>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</si>
  <si>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</si>
  <si>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</si>
  <si>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</si>
  <si>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</si>
  <si>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</si>
  <si>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</si>
  <si>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</si>
  <si>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</si>
  <si>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</si>
  <si>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</si>
  <si>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</si>
  <si>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</si>
  <si>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</si>
  <si>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</si>
  <si>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</si>
  <si>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</si>
  <si>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</si>
  <si>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</si>
  <si>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</si>
  <si>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</si>
  <si>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</si>
  <si>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</si>
  <si>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</si>
  <si>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</si>
  <si>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</si>
  <si>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</si>
  <si>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</si>
  <si>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</si>
  <si>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</si>
  <si>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</si>
  <si>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</si>
  <si>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</si>
  <si>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</si>
  <si>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</si>
  <si>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</si>
  <si>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</si>
  <si>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</si>
  <si>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</si>
  <si>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</si>
  <si>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</si>
  <si>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</si>
  <si>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</si>
  <si>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</si>
  <si>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</si>
  <si>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</si>
  <si>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</si>
  <si>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</si>
  <si>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</si>
  <si>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</si>
  <si>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</si>
  <si>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</si>
  <si>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</si>
  <si>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</si>
  <si>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</si>
  <si>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</si>
  <si>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</si>
  <si>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</si>
  <si>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</si>
  <si>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</si>
  <si>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</si>
  <si>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</si>
  <si>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</si>
  <si>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</si>
  <si>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</si>
  <si>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</si>
  <si>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</si>
  <si>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</si>
  <si>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</si>
  <si>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</si>
  <si>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</si>
  <si>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</si>
  <si>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</si>
  <si>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</si>
  <si>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</si>
  <si>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</si>
  <si>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</si>
  <si>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</si>
  <si>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</si>
  <si>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</si>
  <si>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</si>
  <si>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</si>
  <si>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</si>
  <si>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</si>
  <si>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</si>
  <si>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</si>
  <si>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</si>
  <si>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</si>
  <si>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</si>
  <si>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</si>
  <si>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</si>
  <si>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</si>
  <si>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</si>
  <si>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</si>
  <si>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</si>
  <si>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</si>
  <si>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</si>
  <si>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</si>
  <si>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</si>
  <si>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</si>
  <si>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</si>
  <si>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</si>
  <si>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</si>
  <si>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</si>
  <si>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</si>
  <si>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</si>
  <si>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</si>
  <si>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</si>
  <si>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</si>
  <si>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</si>
  <si>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</si>
  <si>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</si>
  <si>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</si>
  <si>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</si>
  <si>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</si>
  <si>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</si>
  <si>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</si>
  <si>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</si>
  <si>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</si>
  <si>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</si>
  <si>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</si>
  <si>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</si>
  <si>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</si>
  <si>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</si>
  <si>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</si>
  <si>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</si>
  <si>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</si>
  <si>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</si>
  <si>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</si>
  <si>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</si>
  <si>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</si>
  <si>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</si>
  <si>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</si>
  <si>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</si>
  <si>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</si>
  <si>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</si>
  <si>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</si>
  <si>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</si>
  <si>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</si>
  <si>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</si>
  <si>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</si>
  <si>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</si>
  <si>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</si>
  <si>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</si>
  <si>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</si>
  <si>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</si>
  <si>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</si>
  <si>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</si>
  <si>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</si>
  <si>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</si>
  <si>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</si>
  <si>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</si>
  <si>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</si>
  <si>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</si>
  <si>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</si>
  <si>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</si>
  <si>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</si>
  <si>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</si>
  <si>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</si>
  <si>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</si>
  <si>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</si>
  <si>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</si>
  <si>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</si>
  <si>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</si>
  <si>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</si>
  <si>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</si>
  <si>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</si>
  <si>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</si>
  <si>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</si>
  <si>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</si>
  <si>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</si>
  <si>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</si>
  <si>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</si>
  <si>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</si>
  <si>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</si>
  <si>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</si>
  <si>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</si>
  <si>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</si>
  <si>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</si>
  <si>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</si>
  <si>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</si>
  <si>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</si>
  <si>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</si>
  <si>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</si>
  <si>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</si>
  <si>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</si>
  <si>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</si>
  <si>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</si>
  <si>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</si>
  <si>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</si>
  <si>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</si>
  <si>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</si>
  <si>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</si>
  <si>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</si>
  <si>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</si>
  <si>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</si>
  <si>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</si>
  <si>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</si>
  <si>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</si>
  <si>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</si>
  <si>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</si>
  <si>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</si>
  <si>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</si>
  <si>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</si>
  <si>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</si>
  <si>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</si>
  <si>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</si>
  <si>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</si>
  <si>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</si>
  <si>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</si>
  <si>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</si>
  <si>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</si>
  <si>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</si>
  <si>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</si>
  <si>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</si>
  <si>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</si>
  <si>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</si>
  <si>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</si>
  <si>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</si>
  <si>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</si>
  <si>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</si>
  <si>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</si>
  <si>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</si>
  <si>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</si>
  <si>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</si>
  <si>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</si>
  <si>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</si>
  <si>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</si>
  <si>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</si>
  <si>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</si>
  <si>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</si>
  <si>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</si>
  <si>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</si>
  <si>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</si>
  <si>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</si>
  <si>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</si>
  <si>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</si>
  <si>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</si>
  <si>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</si>
  <si>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</si>
  <si>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</si>
  <si>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</si>
  <si>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</si>
  <si>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</si>
  <si>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</si>
  <si>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</si>
  <si>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</si>
  <si>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</si>
  <si>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</si>
  <si>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</si>
  <si>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</si>
  <si>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</si>
  <si>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</si>
  <si>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</si>
  <si>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</si>
  <si>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</si>
  <si>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</si>
  <si>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</si>
  <si>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</si>
  <si>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</si>
  <si>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</si>
  <si>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</si>
  <si>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</si>
  <si>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</si>
  <si>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</si>
  <si>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</si>
  <si>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</si>
  <si>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</si>
  <si>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</si>
  <si>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</si>
  <si>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</si>
  <si>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</si>
  <si>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</si>
  <si>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</si>
  <si>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</si>
  <si>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</si>
  <si>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</si>
  <si>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</si>
  <si>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</si>
  <si>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</si>
  <si>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</si>
  <si>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</si>
  <si>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</si>
  <si>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</si>
  <si>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</si>
  <si>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</si>
  <si>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</si>
  <si>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</si>
  <si>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</si>
  <si>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</si>
  <si>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</si>
  <si>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</si>
  <si>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</si>
  <si>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</si>
  <si>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</si>
  <si>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</si>
  <si>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</si>
  <si>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</si>
  <si>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</si>
  <si>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</si>
  <si>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</si>
  <si>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</si>
  <si>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</si>
  <si>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</si>
  <si>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</si>
  <si>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</si>
  <si>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</si>
  <si>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</si>
  <si>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</si>
  <si>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</si>
  <si>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</si>
  <si>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</si>
  <si>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</si>
  <si>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</si>
  <si>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</si>
  <si>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</si>
  <si>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</si>
  <si>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</si>
  <si>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</si>
  <si>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</si>
  <si>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</si>
  <si>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</si>
  <si>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</si>
  <si>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</si>
  <si>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</si>
  <si>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</si>
  <si>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</si>
  <si>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</si>
  <si>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</si>
  <si>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</si>
  <si>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</si>
  <si>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</si>
  <si>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</si>
  <si>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</si>
  <si>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</si>
  <si>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</si>
  <si>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</si>
  <si>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</si>
  <si>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</si>
  <si>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</si>
  <si>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</si>
  <si>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</si>
  <si>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</si>
  <si>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</si>
  <si>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</si>
  <si>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</si>
  <si>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</si>
  <si>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</si>
  <si>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</si>
  <si>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</si>
  <si>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</si>
  <si>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</si>
  <si>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</si>
  <si>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</si>
  <si>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</si>
  <si>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</si>
  <si>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</si>
  <si>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</si>
  <si>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</si>
  <si>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</si>
  <si>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</si>
  <si>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</si>
  <si>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</si>
  <si>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</si>
  <si>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</si>
  <si>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</si>
  <si>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</si>
  <si>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</si>
  <si>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</si>
  <si>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</si>
  <si>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</si>
  <si>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</si>
  <si>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</si>
  <si>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</si>
  <si>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</si>
  <si>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</si>
  <si>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</si>
  <si>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</si>
  <si>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</si>
  <si>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</si>
  <si>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</si>
  <si>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</si>
  <si>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</si>
  <si>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</si>
  <si>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</si>
  <si>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</si>
  <si>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</si>
  <si>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</si>
  <si>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</si>
  <si>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</si>
  <si>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</si>
  <si>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</si>
  <si>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</si>
  <si>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</si>
  <si>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</si>
  <si>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</si>
  <si>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</si>
  <si>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</si>
  <si>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</si>
  <si>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</si>
  <si>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</si>
  <si>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</si>
  <si>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</si>
  <si>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</si>
  <si>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</si>
  <si>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</si>
  <si>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</si>
  <si>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</si>
  <si>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</si>
  <si>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</si>
  <si>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</si>
  <si>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</si>
  <si>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</si>
  <si>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</si>
  <si>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</si>
  <si>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</si>
  <si>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</si>
  <si>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</si>
  <si>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</si>
  <si>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</si>
  <si>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</si>
  <si>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</si>
  <si>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</si>
  <si>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</si>
  <si>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</si>
  <si>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</si>
  <si>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</si>
  <si>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</si>
  <si>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</si>
  <si>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</si>
  <si>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</si>
  <si>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</si>
  <si>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</si>
  <si>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</si>
  <si>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</si>
  <si>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</si>
  <si>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</si>
  <si>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</si>
  <si>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</si>
  <si>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</si>
  <si>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</si>
  <si>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</si>
  <si>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</si>
  <si>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</si>
  <si>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</si>
  <si>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</si>
  <si>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</si>
  <si>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</si>
  <si>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</si>
  <si>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</si>
  <si>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</si>
  <si>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</si>
  <si>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</si>
  <si>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</si>
  <si>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</si>
  <si>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</si>
  <si>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</si>
  <si>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</si>
  <si>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</si>
  <si>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</si>
  <si>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</si>
  <si>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</si>
  <si>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</si>
  <si>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</si>
  <si>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</si>
  <si>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</si>
  <si>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</si>
  <si>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</si>
  <si>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</si>
  <si>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</si>
  <si>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</si>
  <si>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</si>
  <si>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</si>
  <si>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</si>
  <si>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</si>
  <si>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</si>
  <si>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</si>
  <si>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</si>
  <si>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</si>
  <si>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</si>
  <si>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</si>
  <si>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</si>
  <si>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</si>
  <si>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</si>
  <si>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</si>
  <si>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</si>
  <si>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</si>
  <si>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</si>
  <si>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</si>
  <si>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</si>
  <si>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</si>
  <si>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</si>
  <si>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</si>
  <si>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</si>
  <si>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</si>
  <si>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</si>
  <si>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</si>
  <si>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</si>
  <si>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</si>
  <si>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</si>
  <si>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</si>
  <si>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</si>
  <si>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</si>
  <si>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</si>
  <si>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</si>
  <si>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</si>
  <si>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</si>
  <si>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</si>
  <si>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</si>
  <si>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</si>
  <si>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</si>
  <si>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</si>
  <si>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</si>
  <si>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</si>
  <si>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</si>
  <si>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</si>
  <si>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</si>
  <si>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</si>
  <si>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</si>
  <si>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</si>
  <si>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</si>
  <si>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</si>
  <si>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</si>
  <si>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</si>
  <si>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</si>
  <si>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</si>
  <si>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</si>
  <si>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</si>
  <si>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</si>
  <si>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</si>
  <si>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</si>
  <si>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</si>
  <si>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</si>
  <si>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</si>
  <si>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</si>
  <si>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</si>
  <si>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</si>
  <si>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</si>
  <si>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</si>
  <si>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</si>
  <si>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</si>
  <si>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</si>
  <si>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</si>
  <si>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</si>
  <si>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</si>
  <si>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</si>
  <si>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</si>
  <si>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</si>
  <si>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</si>
  <si>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</si>
  <si>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</si>
  <si>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</si>
  <si>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</si>
  <si>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</si>
  <si>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</si>
  <si>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</si>
  <si>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</si>
  <si>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</si>
  <si>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</si>
  <si>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</si>
  <si>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</si>
  <si>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</si>
  <si>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</si>
  <si>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</si>
  <si>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</si>
  <si>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</si>
  <si>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</si>
  <si>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</si>
  <si>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</si>
  <si>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</si>
  <si>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</si>
  <si>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</si>
  <si>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</si>
  <si>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</si>
  <si>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</si>
  <si>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</si>
  <si>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</si>
  <si>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</si>
  <si>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</si>
  <si>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</si>
  <si>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</si>
  <si>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</si>
  <si>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</si>
  <si>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</si>
  <si>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</si>
  <si>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</si>
  <si>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</si>
  <si>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</si>
  <si>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</si>
  <si>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</si>
  <si>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</si>
  <si>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</si>
  <si>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</si>
  <si>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</si>
  <si>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</si>
  <si>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</si>
  <si>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</si>
  <si>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</si>
  <si>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</si>
  <si>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</si>
  <si>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</si>
  <si>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</si>
  <si>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</si>
  <si>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</si>
  <si>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</si>
  <si>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</si>
  <si>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</si>
  <si>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</si>
  <si>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</si>
  <si>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</si>
  <si>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</si>
  <si>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</si>
  <si>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</si>
  <si>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</si>
  <si>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</si>
  <si>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</si>
  <si>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</si>
  <si>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</si>
  <si>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</si>
  <si>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</si>
  <si>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</si>
  <si>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</si>
  <si>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</si>
  <si>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</si>
  <si>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</si>
  <si>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</si>
  <si>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</si>
  <si>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</si>
  <si>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</si>
  <si>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</si>
  <si>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</si>
  <si>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</si>
  <si>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</si>
  <si>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</si>
  <si>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</si>
  <si>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</si>
  <si>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</si>
  <si>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</si>
  <si>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</si>
  <si>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</si>
  <si>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</si>
  <si>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</si>
  <si>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</si>
  <si>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</si>
  <si>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</si>
  <si>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</si>
  <si>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</si>
  <si>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</si>
  <si>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</si>
  <si>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</si>
  <si>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</si>
  <si>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</si>
  <si>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</si>
  <si>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</si>
  <si>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</si>
  <si>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</si>
  <si>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</si>
  <si>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</si>
  <si>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</si>
  <si>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</si>
  <si>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</si>
  <si>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</si>
  <si>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</si>
  <si>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</si>
  <si>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</si>
  <si>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</si>
  <si>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</si>
  <si>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</si>
  <si>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</si>
  <si>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</si>
  <si>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</si>
  <si>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</si>
  <si>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</si>
  <si>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</si>
  <si>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</si>
  <si>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</si>
  <si>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</si>
  <si>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</si>
  <si>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</si>
  <si>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</si>
  <si>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</si>
  <si>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</si>
  <si>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</si>
  <si>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</si>
  <si>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</si>
  <si>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</si>
  <si>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</si>
  <si>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</si>
  <si>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</si>
  <si>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</si>
  <si>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</si>
  <si>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</si>
  <si>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</si>
  <si>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</si>
  <si>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</si>
  <si>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</si>
  <si>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</si>
  <si>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</si>
  <si>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</si>
  <si>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</si>
  <si>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</si>
  <si>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</si>
  <si>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</si>
  <si>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</si>
  <si>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</si>
  <si>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</si>
  <si>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</si>
  <si>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</si>
  <si>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</si>
  <si>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</si>
  <si>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</si>
  <si>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</si>
  <si>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</si>
  <si>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</si>
  <si>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</si>
  <si>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</si>
  <si>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</si>
  <si>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</si>
  <si>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</si>
  <si>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</si>
  <si>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</si>
  <si>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</si>
  <si>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</si>
  <si>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</si>
  <si>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</si>
  <si>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</si>
  <si>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</si>
  <si>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</si>
  <si>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</si>
  <si>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</si>
  <si>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</si>
  <si>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</si>
  <si>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</si>
  <si>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</si>
  <si>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</si>
  <si>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</si>
  <si>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</si>
  <si>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</si>
  <si>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</si>
  <si>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</si>
  <si>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</si>
  <si>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</si>
  <si>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</si>
  <si>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</si>
  <si>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</si>
  <si>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</si>
  <si>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</si>
  <si>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</si>
  <si>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</si>
  <si>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</si>
  <si>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</si>
  <si>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</si>
  <si>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</si>
  <si>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</si>
  <si>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</si>
  <si>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</si>
  <si>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</si>
  <si>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</si>
  <si>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</si>
  <si>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</si>
  <si>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</si>
  <si>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</si>
  <si>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</si>
  <si>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</si>
  <si>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</si>
  <si>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</si>
  <si>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</si>
  <si>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</si>
  <si>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</si>
  <si>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</si>
  <si>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</si>
  <si>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</si>
  <si>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</si>
  <si>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</si>
  <si>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</si>
  <si>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</si>
  <si>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</si>
  <si>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</si>
  <si>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</si>
  <si>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</si>
  <si>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</si>
  <si>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</si>
  <si>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</si>
  <si>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</si>
  <si>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</si>
  <si>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</si>
  <si>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</si>
  <si>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</si>
  <si>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</si>
  <si>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</si>
  <si>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</si>
  <si>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</si>
  <si>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</si>
  <si>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</si>
  <si>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</si>
  <si>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</si>
  <si>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</si>
  <si>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</si>
  <si>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</si>
  <si>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</si>
  <si>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</si>
  <si>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</si>
  <si>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</si>
  <si>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</si>
  <si>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</si>
  <si>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</si>
  <si>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</si>
  <si>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</si>
  <si>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</si>
  <si>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</si>
  <si>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</si>
  <si>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</si>
  <si>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</si>
  <si>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</si>
  <si>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</si>
  <si>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</si>
  <si>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</si>
  <si>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</si>
  <si>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</si>
  <si>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</si>
  <si>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</si>
  <si>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</si>
  <si>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</si>
  <si>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TSO001082063</t>
  </si>
  <si>
    <t>TSO001081966</t>
  </si>
  <si>
    <t>TSO001081973</t>
  </si>
  <si>
    <t>TSO001082097</t>
  </si>
  <si>
    <t>TSO001082103</t>
  </si>
  <si>
    <t>TSO001082104</t>
  </si>
  <si>
    <t>TSO001082114</t>
  </si>
  <si>
    <t>TSO001082124</t>
  </si>
  <si>
    <t>TSO001082131</t>
  </si>
  <si>
    <t>TSO001082166</t>
  </si>
  <si>
    <t>TSO001082167</t>
  </si>
  <si>
    <t>TSO001082158</t>
  </si>
  <si>
    <t>ООО ЛП Тс166524-26 08.08.2026 Пенза 15128кг (Агафонов)</t>
  </si>
  <si>
    <t>ООО ЛП Тс168016-26 08.08.2026 Пенза(2) 2513кг (Агафонов)</t>
  </si>
  <si>
    <t>ООО КСК ТРЕЙД Тс167945-26 09.08.2026 Крым 13753кг (Ачкалов)</t>
  </si>
  <si>
    <t>ООО КСК ТРЕЙД Тс167570-26 07.08.2026 Крым 13677кг (Воронов)</t>
  </si>
  <si>
    <t>ООО КСК ТРЕЙД Тс168190-26 07.08.2026 Крым(2) 3093кг (Воронов)</t>
  </si>
  <si>
    <t>ООО КСК ТРЕЙД Тс168691-26 07.08.2026 Крым(3) 449кг (Воронов)</t>
  </si>
  <si>
    <t>ООО КСК ТРЕЙД Тс168238-26 09.08.2026 Крым 11698кг (Евсеев)</t>
  </si>
  <si>
    <t>ООО КСК ТРЕЙД Тс169841-26 09.08.2026 Крым(2) 719кг (Евсеев)</t>
  </si>
  <si>
    <t>ООО КСК ТРЕЙД Тс169909-26 09.08.2026 Крым(3) 2779кг (Евсеев)</t>
  </si>
  <si>
    <t>ООО КСК ТРЕЙД Тс168263-26 09.08.2026 Николаенко 2318кг (Евсеев)</t>
  </si>
  <si>
    <t>ООО КСК ТРЕЙД Тс168244-26 09.08.2026 Николаенко(2) 58кг (Евсеев)</t>
  </si>
  <si>
    <t>ООО КСК ТРЕЙД Тс167598-26 08.08.2026 Крым 13910кг (Крамаренко)</t>
  </si>
  <si>
    <t>ООО КСК ТРЕЙД Тс169656-26 08.08.2026 Крым(3) 974кг (Крамаренко)</t>
  </si>
  <si>
    <t>ООО КСК ТРЕЙД Тс169490-26 08.08.2026 Крым(2) 2311кг (Крамаренко)</t>
  </si>
  <si>
    <t>ООО КСК ТРЕЙД Тс169739-26 08.08.2026 Крым(4) 239кг (Крамаренко)</t>
  </si>
  <si>
    <t>ООО КСК ТРЕЙД Тс169748-26 08.08.2026 Крым(5) 135кг (Крамаренко)</t>
  </si>
  <si>
    <t>ООО КСК ТРЕЙД Тс167505-26 08.08.2026 Крым 14103кг (Латышев)</t>
  </si>
  <si>
    <t>ООО КСК ТРЕЙД Тс169653-26 08.08.2026 Крым(3) 1113кг (Латышев)</t>
  </si>
  <si>
    <t>ООО КСК ТРЕЙД Тс169471-26 08.08.2026 Крым(2) 2231кг (Латышев)</t>
  </si>
  <si>
    <t>ООО КСК ТРЕЙД Тс169747-26 08.08.2026 Крым(4) 103кг (Латышев)</t>
  </si>
  <si>
    <t>ООО НВ Тс168157-26 09.08.2026 Горняк-Горловка 373кг (Решетников)</t>
  </si>
  <si>
    <t>ООО НВ Тс168179-26 09.08.2026 Горняк-Луганск 9270кг (Решетников)</t>
  </si>
  <si>
    <t>ООО НВ Тс168203-26 09.08.2026 Луганск 5101кг (Решетников)</t>
  </si>
  <si>
    <t>ООО НВ Тс169504-26 09.08.2026 Луганск(2) 3009кг (Решетников)</t>
  </si>
  <si>
    <t>ООО ЛП Тс167935-26 09.08.2026 Пушкарный(ВВ) 5004кг (Хохлов)</t>
  </si>
  <si>
    <t>ООО ЛП Тс167948-26 09.08.2026 Коныгин 6037кг (Хохлов)</t>
  </si>
  <si>
    <t>ООО ЛП Тс167993-26 09.08.2026 Обрыньба 5801кг (Хохлов)</t>
  </si>
  <si>
    <t>ООО НВ Тс168217-26 09.08.2026 Донецк 15727кг (Рева)</t>
  </si>
  <si>
    <t>ООО НВ Тс169988-26 09.08.2026 Донецк(3) 807кг (Рева)</t>
  </si>
  <si>
    <t>ООО НВ Тс169781-26 09.08.2026 Донецк(2) 1013кг (Рева)</t>
  </si>
  <si>
    <t>12,08,26</t>
  </si>
  <si>
    <t>TSO001082471</t>
  </si>
  <si>
    <t>TSO001082473</t>
  </si>
  <si>
    <t>TSO001082482</t>
  </si>
  <si>
    <t>TSO001082483</t>
  </si>
  <si>
    <t>TSO001082558</t>
  </si>
  <si>
    <t>TSO001082578</t>
  </si>
  <si>
    <t>TSO001082672</t>
  </si>
  <si>
    <t>TSO001082730</t>
  </si>
  <si>
    <t>TSO001082732</t>
  </si>
  <si>
    <t>ООО КСК ТРЕЙД Тс169320-26 10.08.2026 Крым 13517кг (Хинько)</t>
  </si>
  <si>
    <t>ООО КСК ТРЕЙД Тс170018-26 10.08.2026 Крым(2) 3893кг (Хинько)</t>
  </si>
  <si>
    <t>ООО НВ Тс169165-26 10.08.2026 Горняк-Донецк 3030кг (Голубев)</t>
  </si>
  <si>
    <t>ООО НВ Тс169163-26 10.08.2026 Донецк 8964кг (Голубев)</t>
  </si>
  <si>
    <t>ООО КСК ТРЕЙД Тс169392-26 10.08.2026 Крым 13783кг (Кокшин)</t>
  </si>
  <si>
    <t>ООО КСК ТРЕЙД Тс170019-26 10.08.2026 Крым(2) 3738кг (Кокшин)</t>
  </si>
  <si>
    <t>ООО ЛП Тс169229-26 10.08.2026 НПК 4989кг (Медведь)</t>
  </si>
  <si>
    <t>ООО ЛП Тс169333-26 10.08.2026 ПРС 2122кг (Медведь)</t>
  </si>
  <si>
    <t>ООО НВ Тс169124-26 10.08.2026 Донецк 7945кг (Медведь)</t>
  </si>
  <si>
    <t>ООО НВ Тс170412-26 10.08.2026 Донецк(2) 2506кг (Медведь)</t>
  </si>
  <si>
    <t>TSO001083266</t>
  </si>
  <si>
    <t>TSO001083270</t>
  </si>
  <si>
    <t>13,08,26</t>
  </si>
  <si>
    <t>TSO001083296</t>
  </si>
  <si>
    <t>TSO001083297</t>
  </si>
  <si>
    <t>TSO001083290</t>
  </si>
  <si>
    <t>TSO001083445</t>
  </si>
  <si>
    <t>TSO001083743</t>
  </si>
  <si>
    <t>TSO001083749</t>
  </si>
  <si>
    <t>TSO001083748</t>
  </si>
  <si>
    <t>ООО КСК ТРЕЙД Тс168858-26 11.08.2026 Крым 14951кг (Гусейнов)</t>
  </si>
  <si>
    <t>ООО НВ Тс169393-26 11.08.2026 Луганск 13561кг (Жабкин)</t>
  </si>
  <si>
    <t>ООО НВ Тс172101-26 11.08.2026 Луганск(2) 2099кг (Жабкин)</t>
  </si>
  <si>
    <t>ООО НВ Тс172296-26 11.08.2026 Луганск(3) 1052кг (Жабкин)</t>
  </si>
  <si>
    <t>ООО КСК ТРЕЙД Тс169374-26 11.08.2026 Крым 14146кг (Журавлев)</t>
  </si>
  <si>
    <t>ООО КСК ТРЕЙД Тс170757-26 11.08.2026 Крым(2) 3559кг (Журавлев)</t>
  </si>
  <si>
    <t>ООО КСК ТРЕЙД Тс169718-26 11.08.2026 Крым 14175кг (Кива)</t>
  </si>
  <si>
    <t>ООО КСК ТРЕЙД Тс170756-26 11.08.2026 Крым(2) 3585кг (Кива)</t>
  </si>
  <si>
    <t>ООО НВ Тс169381-26 12.08.2026 Бердянск 5583кг (Сарва)</t>
  </si>
  <si>
    <t>ООО НВ Тс169467-26 12.08.2026 Мелитополь 7308кг (Сарва)</t>
  </si>
  <si>
    <t>ООО НВ Тс172100-26 12.08.2026 Бердянск(2) 1512кг (Сарва)</t>
  </si>
  <si>
    <t>ООО НВ Тс172098-26 12.08.2026 Мелитополь(3) 1307кг (Сарва)</t>
  </si>
  <si>
    <t>ООО НВ Тс170627-26 12.08.2026 Мелитополь(2) 467кг (Сарва)</t>
  </si>
  <si>
    <t>ООО НВ Тс169367-26 11.08.2026 Донецк 14518кг (Чирков)</t>
  </si>
  <si>
    <t>ООО НВ Тс170413-26 11.08.2026 Донецк(2) 1097кг (Чирков)</t>
  </si>
  <si>
    <t>ООО НВ Тс171695-26 11.08.2026 Донецк(3) 568кг (Чирков)</t>
  </si>
  <si>
    <t>ООО НВ Тс171696-26 11.08.2026 Донецк(4) 1005кг (Чирков)</t>
  </si>
  <si>
    <t>14,08,26</t>
  </si>
  <si>
    <t>TSO001084140</t>
  </si>
  <si>
    <t>TSO001084144</t>
  </si>
  <si>
    <t>15,08,26</t>
  </si>
  <si>
    <t>TSO001084224</t>
  </si>
  <si>
    <t>TSO001084220</t>
  </si>
  <si>
    <t>TSO001084229</t>
  </si>
  <si>
    <t>TSO001084225</t>
  </si>
  <si>
    <t>TSO001084231</t>
  </si>
  <si>
    <t>TSO001084232</t>
  </si>
  <si>
    <t>TSO001084250</t>
  </si>
  <si>
    <t>TSO001084249</t>
  </si>
  <si>
    <t>TSO001084248</t>
  </si>
  <si>
    <t>TSO001084268</t>
  </si>
  <si>
    <t>TSO001084270</t>
  </si>
  <si>
    <t>TSO001084272</t>
  </si>
  <si>
    <t>ООО ЛП Тс170439-26 13.08.2026 Бычков 1940кг (Евсеев)</t>
  </si>
  <si>
    <t>ООО ЛП Тс170442-26 13.08.2026 Бычков2 6631кг (Евсеев)</t>
  </si>
  <si>
    <t>16,08,26</t>
  </si>
  <si>
    <t>TSO001084799</t>
  </si>
  <si>
    <t>TSO001084769</t>
  </si>
  <si>
    <t>TSO001084801</t>
  </si>
  <si>
    <t>TSO001084766</t>
  </si>
  <si>
    <t>TSO001084771</t>
  </si>
  <si>
    <t>TSO001085047</t>
  </si>
  <si>
    <t>ООО ЛП Тс171992-26 13.08.2026 Пушкарный 15691кг (Пыдык)</t>
  </si>
  <si>
    <t>ООО ЛП Тс171975-26 14.08.2026 Пенза 15822кг (Хинько)</t>
  </si>
  <si>
    <t>ООО ЛП Тс171752-26 14.08.2026 Пушкарный 17603кг (Хохлов)</t>
  </si>
  <si>
    <t>TSO001085126</t>
  </si>
  <si>
    <t>ООО КСК ТРЕЙД Тс172953-26 14.08.2026 Крым 12959кг (Мироненко)</t>
  </si>
  <si>
    <t>ООО КСК ТРЕЙД Тс173720-26 14.08.2026 Крым(2) 4637кг (Мироненко)</t>
  </si>
  <si>
    <t>TSO001085237</t>
  </si>
  <si>
    <t>TSO001085239</t>
  </si>
  <si>
    <t>TSO001085257</t>
  </si>
  <si>
    <t>TSO001085258</t>
  </si>
  <si>
    <t>TSO001085259</t>
  </si>
  <si>
    <t>17,08,26</t>
  </si>
  <si>
    <t>18,08,26</t>
  </si>
  <si>
    <t>TSO001085445</t>
  </si>
  <si>
    <t>TSO001085421</t>
  </si>
  <si>
    <t>TSO001085422</t>
  </si>
  <si>
    <t>TSO001085423</t>
  </si>
  <si>
    <t>TSO001085427</t>
  </si>
  <si>
    <t>TSO001085425</t>
  </si>
  <si>
    <t>TSO001085432</t>
  </si>
  <si>
    <t>TSO001085439</t>
  </si>
  <si>
    <t>TSO001085444</t>
  </si>
  <si>
    <t>TSO001085464</t>
  </si>
  <si>
    <t>TSO001085523</t>
  </si>
  <si>
    <t>TSO001085653</t>
  </si>
  <si>
    <t>TSO001085721</t>
  </si>
  <si>
    <t>TSO001085734</t>
  </si>
  <si>
    <t>TSO001085732</t>
  </si>
  <si>
    <t>TSO001085733</t>
  </si>
  <si>
    <t>TSO001085735</t>
  </si>
  <si>
    <t>TSO001085758</t>
  </si>
  <si>
    <t>TSO001085786</t>
  </si>
  <si>
    <t>TSO001085794</t>
  </si>
  <si>
    <t>ООО КСК ТРЕЙД Тс172902-26 14.08.2026 Крым 12427кг (Гончаренко)</t>
  </si>
  <si>
    <t>ООО КСК ТРЕЙД Тс174472-26 14.08.2026 Крым(3) 2386кг (Гончаренко)</t>
  </si>
  <si>
    <t>ООО КСК ТРЕЙД Тс173812-26 14.08.2026 Крым(2) 2406кг (Гончаренко)</t>
  </si>
  <si>
    <t>ООО ЛП Тс172769-26 16.08.2026 Обрыньба 4203кг (Грушецкий)</t>
  </si>
  <si>
    <t>ООО КСК ТРЕЙД Тс172972-26 15.08.2026 Крым 12761кг (Ислюков)</t>
  </si>
  <si>
    <t>ООО КСК ТРЕЙД Тс174950-26 15.08.2026 Крым(2) 4432кг (Ислюков)</t>
  </si>
  <si>
    <t>ООО КСК ТРЕЙД ЮТс-03951-26 15.08.2026 Крым 14669кг (Лапшин)</t>
  </si>
  <si>
    <t>ООО КСК ТРЕЙД Тс173379-26 16.08.2026 Николаенко 1464кг (Максимов)</t>
  </si>
  <si>
    <t>ООО КСК ТРЕЙД Тс173383-26 16.08.2026 Крым 10817кг (Максимов)</t>
  </si>
  <si>
    <t>ООО КСК ТРЕЙД Тс175228-26 16.08.2026 Крым(3) 1869кг (Максимов)</t>
  </si>
  <si>
    <t>ООО КСК ТРЕЙД Тс175095-26 16.08.2026 Крым(2) 3620кг (Максимов)</t>
  </si>
  <si>
    <t>ООО НВ Тс172782-26 15.08.2026 Горняк-Горловка 451кг (Медведь)</t>
  </si>
  <si>
    <t>ООО НВ Тс172784-26 15.08.2026 Горняк-Луганск 6992кг (Медведь)</t>
  </si>
  <si>
    <t>ООО НВ Тс172783-26 15.08.2026 Луганск 5643кг (Медведь)</t>
  </si>
  <si>
    <t>ООО НВ Тс174953-26 15.08.2026 Луганск(2) 2898кг (Медведь)</t>
  </si>
  <si>
    <t>ООО ЛП ЮТс-03879-26 16.08.2026 ПРС 10739кг (Пыдык)</t>
  </si>
  <si>
    <t>ООО НВ Тс172763-26 16.08.2026 Бердянск 2452кг (Уманский)</t>
  </si>
  <si>
    <t>ООО НВ Тс172766-26 16.08.2026 Мелитополь 2482кг (Уманский)</t>
  </si>
  <si>
    <t>ООО НВ Тс172768-26 16.08.2026 Павленко 8883кг (Уманский)</t>
  </si>
  <si>
    <t>ООО НВ Тс174952-26 15.08.2026 Бердянск(2) 1300кг (Уманский)</t>
  </si>
  <si>
    <t>ООО НВ Тс174956-26 16.08.2026 Мелитополь(2) 2369кг (Уманский)</t>
  </si>
  <si>
    <t>ООО НВ Тс173447-26 17.08.2026 Донецк 16302кг (Хинько)</t>
  </si>
  <si>
    <t>ООО НВ Тс175187-26 17.08.2026 Донецк(2) 1515кг (Хинько)</t>
  </si>
  <si>
    <t>ООО НВ Тс170800-26 16.08.2026 Луганск 13073кг (Шилкин)</t>
  </si>
  <si>
    <t>TSO001085487</t>
  </si>
  <si>
    <t>TSO001085867</t>
  </si>
  <si>
    <t>TSO001085915</t>
  </si>
  <si>
    <t>19,08,26</t>
  </si>
  <si>
    <t>TSO001086013</t>
  </si>
  <si>
    <t>ООО ЛП Тс172770-26 16.08.2026 Коныгин 4403кг (Грушецкий)</t>
  </si>
  <si>
    <t>ООО ЛП Тс172773-26 16.08.2026 Пушкарный(ВВ) 2385кг (Грушецкий)</t>
  </si>
  <si>
    <t>TSO001086087</t>
  </si>
  <si>
    <t>TSO001086075</t>
  </si>
  <si>
    <t>TSO001086080</t>
  </si>
  <si>
    <t>TSO001086099</t>
  </si>
  <si>
    <t>TSO001086101</t>
  </si>
  <si>
    <t>TSO001086086</t>
  </si>
  <si>
    <t>TSO001086104</t>
  </si>
  <si>
    <t>ООО КСК ТРЕЙД Тс174513-26 17.08.2026 Крым 14386кг (Митин)</t>
  </si>
  <si>
    <t>TSO001085800</t>
  </si>
  <si>
    <t>TSO001086297</t>
  </si>
  <si>
    <t>TSO001086405</t>
  </si>
  <si>
    <t>ООО НВ Тс174252-26 17.08.2026 Аист 3276кг (Воронов)</t>
  </si>
  <si>
    <t>ООО НВ Тс174049-26 17.08.2026 Павленко 6963кг (Воронов)</t>
  </si>
  <si>
    <t>ООО НВ Тс174794-26 17.08.2026 Донецк 16478кг (Голубев)</t>
  </si>
  <si>
    <t>ООО НВ Тс175900-26 17.08.2026 Донецк(2) 1266кг (Голубев)</t>
  </si>
  <si>
    <t>ООО КСК ТРЕЙД Тс174800-26 17.08.2026 Крым 13607кг (Жуков)</t>
  </si>
  <si>
    <t>ООО КСК ТРЕЙД Тс175478-26 17.08.2026 Крым(3) 1912кг (Жуков)</t>
  </si>
  <si>
    <t>ООО КСК ТРЕЙД Тс175330-26 17.08.2026 Крым(2) 1868кг (Жуков)</t>
  </si>
  <si>
    <t>ООО ЛП Тс174261-26 18.08.2026 Малахутин 8081кг (Исаков)</t>
  </si>
  <si>
    <t>ООО ЛП Тс174267-26 18.08.2026 НПК 6035кг (Исаков)</t>
  </si>
  <si>
    <t>ООО КСК ТРЕЙД Тс174593-26 17.08.2026 Крым 8733кг (Крамаренко)</t>
  </si>
  <si>
    <t>ООО КСК ТРЕЙД Тс174599-26 17.08.2026 Вердиева 3825кг (Крамаренко)</t>
  </si>
  <si>
    <t>ООО КСК ТРЕЙД Тс174602-26 17.08.2026 Вердиева(2) 1382кг (Крамаренко)</t>
  </si>
  <si>
    <t>ООО КСК ТРЕЙД Тс175329-26 17.08.2026 Крым(2) 3782кг (Крамаренко)</t>
  </si>
  <si>
    <t>ООО ЛП Тс175467-26 17.08.2026 Кочевой 17730кг (Рева)</t>
  </si>
  <si>
    <t>ООО НВ Тс174804-26 17.08.2026 Луганск 14334кг (Решетников)</t>
  </si>
  <si>
    <t>ООО НВ Тс175903-26 17.08.2026 Луганск(2) 3261кг (Решетников)</t>
  </si>
  <si>
    <t>TSO001086822</t>
  </si>
  <si>
    <t>20,08,26</t>
  </si>
  <si>
    <t>TSO001086887</t>
  </si>
  <si>
    <t>TSO001086925</t>
  </si>
  <si>
    <t>TSO001086892</t>
  </si>
  <si>
    <t>TSO001086907</t>
  </si>
  <si>
    <t>TSO001086930</t>
  </si>
  <si>
    <t>ООО НВ Тс174588-26 18.08.2026 Бердянск 6573кг (Исмаилов)</t>
  </si>
  <si>
    <t>ООО НВ Тс174737-26 18.08.2026 Мелитополь 5924кг (Исмаилов)</t>
  </si>
  <si>
    <t>ООО НВ Тс175901-26 18.08.2026 Бердянск(2) 1716кг (Исмаилов)</t>
  </si>
  <si>
    <t>ООО НВ Тс176532-26 18.08.2026 Мелитополь(3) 703кг (Исмаилов)</t>
  </si>
  <si>
    <t>ООО НВ Тс175902-26 18.08.2026 Мелитополь(2) 2120кг (Исмаилов)</t>
  </si>
  <si>
    <t>TSO001087019</t>
  </si>
  <si>
    <t>ООО НВ Тс174765-26 18.08.2026 Донецк 16494кг (Чирков)</t>
  </si>
  <si>
    <t>ООО НВ Тс176909-26 18.08.2026 Донецк(2) 840кг (Чирков)</t>
  </si>
  <si>
    <t>21,08,26</t>
  </si>
  <si>
    <t>TSO001087762</t>
  </si>
  <si>
    <t>22,08,26</t>
  </si>
  <si>
    <t>TSO001087780</t>
  </si>
  <si>
    <t>TSO001087824</t>
  </si>
  <si>
    <t>TSO001087831</t>
  </si>
  <si>
    <t>TSO001087837</t>
  </si>
  <si>
    <t>TSO001087854</t>
  </si>
  <si>
    <t>TSO001087856</t>
  </si>
  <si>
    <t>ООО КСК ТРЕЙД Тс174771-26 19.08.2026 Крым 13848кг (Киселев)</t>
  </si>
  <si>
    <t>ООО КСК ТРЕЙД Тс176495-26 19.08.2026 Крым(2) 1723кг (Киселев)</t>
  </si>
  <si>
    <t>ООО КСК ТРЕЙД Тс176496-26 19.08.2026 Крым(3) 2013кг (Киселев)</t>
  </si>
  <si>
    <t>ООО ЛП ЮТс-04033-26 19.08.2026 Вояж 1159кг (Ничипорук)</t>
  </si>
  <si>
    <t>ООО НВ Тс176022-26 19.08.2026 Луганск(2) 102кг (Ничипорук)</t>
  </si>
  <si>
    <t>ООО НВ ЮТс-04020-26 19.08.2026 Луганск 11290кг (Ничипорук)</t>
  </si>
  <si>
    <t>ВВ (липа от Химича)</t>
  </si>
  <si>
    <t>TSO001088399</t>
  </si>
  <si>
    <t>TSO001088419</t>
  </si>
  <si>
    <t>TSO001088421</t>
  </si>
  <si>
    <t>TSO001088422</t>
  </si>
  <si>
    <t>TSO001088420</t>
  </si>
  <si>
    <t>TSO001088423</t>
  </si>
  <si>
    <t>23,08,26</t>
  </si>
  <si>
    <t>TSO001088482</t>
  </si>
  <si>
    <t>TSO001088484</t>
  </si>
  <si>
    <t>TSO001088486</t>
  </si>
  <si>
    <t>TSO001088487</t>
  </si>
  <si>
    <t>TSO001088492</t>
  </si>
  <si>
    <t>TSO001088489</t>
  </si>
  <si>
    <t>21,08,2</t>
  </si>
  <si>
    <t>TSO001088614</t>
  </si>
  <si>
    <t>TSO001088608</t>
  </si>
  <si>
    <t>ООО КСК ТРЕЙД ЮТс-04002-26 20.08.2026 Крым 14736кг (Добыш)</t>
  </si>
  <si>
    <t>ООО КСК ТРЕЙД Тс177666-26 21.08.2026 Крым 13244кг (Кива)</t>
  </si>
  <si>
    <t>ООО КСК ТРЕЙД Тс178698-26 21.08.2026 Крым(2) 4122кг (Кива)</t>
  </si>
  <si>
    <t>ООО ЛП Тс176841-26 20.08.2026 Пушкарный 15865кг (Фруленко)</t>
  </si>
  <si>
    <t>TSO001088878</t>
  </si>
  <si>
    <t>24,08,26</t>
  </si>
  <si>
    <t>TSO001089055</t>
  </si>
  <si>
    <t>TSO001089068</t>
  </si>
  <si>
    <t>TSO001089070</t>
  </si>
  <si>
    <t>TSO001089072</t>
  </si>
  <si>
    <t>ООО КСК ТРЕЙД Тс177665-26 21.08.2026 Крым 12675кг (Гулаков)</t>
  </si>
  <si>
    <t>ООО КСК ТРЕЙД Тс179109-26 21.08.2026 Крым(3) 712кг (Гулаков)</t>
  </si>
  <si>
    <t>ООО КСК ТРЕЙД Тс178687-26 21.08.2026 Крым(2) 4029кг (Гулаков)</t>
  </si>
  <si>
    <t>TSO001089177</t>
  </si>
  <si>
    <t>25,08,26</t>
  </si>
  <si>
    <t>TSO001089082</t>
  </si>
  <si>
    <t>TSO001089292</t>
  </si>
  <si>
    <t>TSO001089296</t>
  </si>
  <si>
    <t>TSO001089298</t>
  </si>
  <si>
    <t>TSO001089300</t>
  </si>
  <si>
    <t>TSO001089299</t>
  </si>
  <si>
    <t>TSO001089188</t>
  </si>
  <si>
    <t>TSO001089214</t>
  </si>
  <si>
    <t>TSO001089216</t>
  </si>
  <si>
    <t>TSO001089238</t>
  </si>
  <si>
    <t>TSO001089242</t>
  </si>
  <si>
    <t>TSO001089244</t>
  </si>
  <si>
    <t>TSO001089245</t>
  </si>
  <si>
    <t>TSO001089247</t>
  </si>
  <si>
    <t>TSO001089248</t>
  </si>
  <si>
    <t>TSO001089252</t>
  </si>
  <si>
    <t>TSO001089297</t>
  </si>
  <si>
    <t>TSO001089578</t>
  </si>
  <si>
    <t>TSO001089582</t>
  </si>
  <si>
    <t>TSO001089587</t>
  </si>
  <si>
    <t>TSO001089588</t>
  </si>
  <si>
    <t>TSO001089607</t>
  </si>
  <si>
    <t>TSO001089608</t>
  </si>
  <si>
    <t>ООО КСК ТРЕЙД Тс178310-26 22.08.2026 Крым 14094кг (Боков)</t>
  </si>
  <si>
    <t>ООО ЛП Тс178397-26 23.08.2026 Коныгин 1295кг (Добыш)</t>
  </si>
  <si>
    <t>ООО ЛП Тс178402-26 23.08.2026 НПК 10127кг (Добыш)</t>
  </si>
  <si>
    <t>ООО ЛП Тс178404-26 23.08.2026 Пушкарный(ВВ) 2480кг (Добыш)</t>
  </si>
  <si>
    <t>ООО КСК ТРЕЙД Тс177684-26 23.08.2026 Крым 12074кг (Жуков)</t>
  </si>
  <si>
    <t>ООО КСК ТРЕЙД Тс180232-26 23.08.2026 Крым(2) 5062кг (Жуков)</t>
  </si>
  <si>
    <t>TSO001089579</t>
  </si>
  <si>
    <t>ООО КСК ТРЕЙД Тс180268-26 23.08.2026 Крым(3) 347кг (Жуков)</t>
  </si>
  <si>
    <t>ООО КСК ТРЕЙД Тс178457-26 23.08.2026 Николаенко 1483кг (Ислюков)</t>
  </si>
  <si>
    <t>ООО КСК ТРЕЙД Тс178470-26 23.08.2026 Крым 10013кг (Ислюков)</t>
  </si>
  <si>
    <t>ООО КСК ТРЕЙД Тс180396-26 23.08.2026 Крым(2) 6242кг (Ислюков)</t>
  </si>
  <si>
    <t>ООО ЛП Тс176847-26 21.08.2026 Пушкарный 16313кг (Куценко)</t>
  </si>
  <si>
    <t>ООО ЛП Тс176844-26 21.08.2026 Пушкарный 16992кг (Резанов)</t>
  </si>
  <si>
    <t>ООО КСК ТРЕЙД Тс177681-26 22.08.2026 Крым 12604кг (Уманский)</t>
  </si>
  <si>
    <t>ООО КСК ТРЕЙД Тс180198-26 22.08.2026 Крым(2) 1216кг (Уманский).pdf</t>
  </si>
  <si>
    <t>ООО КСК ТРЕЙД Тс180214-26 22.08.2026 Крым(3) 3621кг (Уманский)</t>
  </si>
  <si>
    <t>ООО ЛП Тс176985-26 21.08.2026 Пенза 13577кг (Хинько)</t>
  </si>
  <si>
    <t>TSO001089751</t>
  </si>
  <si>
    <t>ООО НВ Тс178478-26 23.08.2026 Донецк 16556кг (Ерохов)</t>
  </si>
  <si>
    <t>ООО НВ Тс180340-26 23.08.2026 Донецк(2) 1222кг (Ерохов)</t>
  </si>
  <si>
    <t>ООО НВ Тс174510-26 21.08.2026 Горняк-Донецк 10834кг (Монаков)</t>
  </si>
  <si>
    <t>ООО НВ Тс178126-26 23.08.2026 Луганск 14263кг (Решетников)</t>
  </si>
  <si>
    <t>ООО НВ Тс180233-26 23.08.2026 Луганск(2) 2629кг (Решетников)</t>
  </si>
  <si>
    <t>ООО НВ Тс180397-26 23.08.2026 Луганск(3) 598кг (Решетников)</t>
  </si>
  <si>
    <t>ООО НВ Тс178448-26 23.08.2026 Горяк-Горловка 757кг (Шилкин)</t>
  </si>
  <si>
    <t>ООО НВ Тс178467-26 23.08.2026 Горняк-Луганск 7424кг (Шилкин)</t>
  </si>
  <si>
    <t>ООО НВ Тс178465-26 23.08.2026 Луганск 6516кг (Шилкин)</t>
  </si>
  <si>
    <t>ООО НВ Тс180339-26 23.08.2026 Луганск(2) 1461кг (Шилкин)</t>
  </si>
  <si>
    <t>ООО НВ Тс180459-26 23.08.2026 Луганск(3) 1123кг (Шилкин)</t>
  </si>
  <si>
    <t>26,08,26</t>
  </si>
  <si>
    <t>TSO001089896</t>
  </si>
  <si>
    <t>TSO001089911</t>
  </si>
  <si>
    <t>TSO001090047</t>
  </si>
  <si>
    <t>TSO001090048</t>
  </si>
  <si>
    <t>TSO001090062</t>
  </si>
  <si>
    <t>оставляем</t>
  </si>
  <si>
    <t>ООО НВ Тс177677-26 21.08.2026 Донецк 11180кг (Илюшин)</t>
  </si>
  <si>
    <t>ООО НВ Тс178123-26 22.08.2026 Донецк 16120кг (Медведь)</t>
  </si>
  <si>
    <t>ООО НВ Тс180231-26 22.08.2026 Донецк(2) 1019кг (Медведь)</t>
  </si>
  <si>
    <t>ООО КСК ТРЕЙД Тс179454-26 24.08.2026 Крым 14427кг (Амелину)</t>
  </si>
  <si>
    <t>ООО КСК ТРЕЙД Тс179947-26 24.08.2026 Крым 7909кг (Добрилко)</t>
  </si>
  <si>
    <t>ООО КСК ТРЕЙД Тс179933-26 24.08.2026 Вердиева 2104кг (Добрилко)</t>
  </si>
  <si>
    <t>ООО КСК ТРЕЙД Тс179942-26 24.08.2026 Вердиева(2) 2501кг (Добрилко)</t>
  </si>
  <si>
    <t>ООО КСК ТРЕЙД Тс181033-26 24.08.2026 Крым(2) 5229кг (Добрилко)</t>
  </si>
  <si>
    <t>ООО КСК ТРЕЙД Тс179965-26 24.08.2026 Крым 12634кг (Исаков)</t>
  </si>
  <si>
    <t>ООО КСК ТРЕЙД Тс181032-26 24.08.2026 Крым(2) 4814кг (Исаков)</t>
  </si>
  <si>
    <t>TSO001090271</t>
  </si>
  <si>
    <t>27,08,26</t>
  </si>
  <si>
    <t>TSO001090885</t>
  </si>
  <si>
    <t>TSO001090889</t>
  </si>
  <si>
    <t>TSO001090909</t>
  </si>
  <si>
    <t>ООО КСК ТРЕЙД Тс179981-26 25.08.2026 Крым 13075кг (Мироненко)</t>
  </si>
  <si>
    <t>ООО КСК ТРЕЙД Тс181140-26 25.08.2026 Крым(2) 4382кг (Мироненко)</t>
  </si>
  <si>
    <t>ООО КСК ТРЕЙД Тс181926-26 25.08.2026 Крым(3) 142кг (Мироненко)</t>
  </si>
  <si>
    <t>ООО НВ Тс179945-26 25.08.2026 Луганск 13825кг (Ничипорук)</t>
  </si>
  <si>
    <t>ООО НВ Тс181096-26 25.08.2026 Луганск(2) 3541кг (Ничипорук)</t>
  </si>
  <si>
    <t>ООО НВ Тс179916-26 25.08.2026 Донецк 6962кг (Чирков)</t>
  </si>
  <si>
    <t>ООО ЛП Тс179760-26 25.08.2026 Кочевой(2) 4999кг (Чирков)</t>
  </si>
  <si>
    <t>ООО ЛП Тс179775-26 25.08.2026 Кочевой 5925кг (Чирков)</t>
  </si>
  <si>
    <t>TSO001090965</t>
  </si>
  <si>
    <t>TSO001091200</t>
  </si>
  <si>
    <t>TSO001091201</t>
  </si>
  <si>
    <t>28,08,26</t>
  </si>
  <si>
    <t>ООО НВ Тс179966-26 25.08.2026 Луганск 16675кг (Жабкин)</t>
  </si>
  <si>
    <t>ООО НВ Тс182428-26 25.08.2026 Луганск(2) 402кг (Жабкин)</t>
  </si>
  <si>
    <t>ООО НВ Тс179757-26 26.08.2026 Мелитополь 5006кг (Исмаилов)</t>
  </si>
  <si>
    <t>ООО НВ Тс179774-26 26.08.2026 Бердянск 8996кг (Исмаилов)</t>
  </si>
  <si>
    <t>дефицит</t>
  </si>
  <si>
    <t>ВВ дефицит</t>
  </si>
  <si>
    <t>29,08,26</t>
  </si>
  <si>
    <t>TSO001091506</t>
  </si>
  <si>
    <t>TSO001091560</t>
  </si>
  <si>
    <t>TSO001091478</t>
  </si>
  <si>
    <t>TSO001091508</t>
  </si>
  <si>
    <t>TSO001091582</t>
  </si>
  <si>
    <t>TSO001091587</t>
  </si>
  <si>
    <t>TSO001091593</t>
  </si>
  <si>
    <t>TSO001091565</t>
  </si>
  <si>
    <t>TSO001091568</t>
  </si>
  <si>
    <t>TSO001091570</t>
  </si>
  <si>
    <t>TSO001091566</t>
  </si>
  <si>
    <t>TSO001091561</t>
  </si>
  <si>
    <t>TSO001091569</t>
  </si>
  <si>
    <t>TSO001089890</t>
  </si>
  <si>
    <t>ООО НВ Тс179931-26 26.08.2026 Кочевой 1425кг (Аксентьев)</t>
  </si>
  <si>
    <t>ООО НВ Тс179979-26 26.08.2026 Донецк 15203кг (Аксентьев)</t>
  </si>
  <si>
    <t>ООО НВ Тс182422-26 26.08.2026 Донецк(2) 403кг (Аксентьев)</t>
  </si>
  <si>
    <t>ООО НВ Тс180041-26 26.08.2026 Бердянск 9592кг (Власов)</t>
  </si>
  <si>
    <t>ООО НВ Тс180073-26 26.08.2026 Мелитополь 4603кг (Власов)</t>
  </si>
  <si>
    <t>ООО НВ Тс181099-26 26.08.2026 Бердянск(2) 1589кг (Власов)</t>
  </si>
  <si>
    <t>ООО НВ Тс181098-26 26.08.2026 Мелитополь(2) 870кг (Власов)</t>
  </si>
  <si>
    <t>ООО НВ ЮТс-04098-26 25.08.2026 Горняк-Донецк 6655кг (Голубев)</t>
  </si>
  <si>
    <t>ООО НВ ЮТс-04104-26 25.08.2026 Донецк 5375кг (Голубев)</t>
  </si>
  <si>
    <t>ООО НВ ЮТс-04106-26 25.08.2026 Донецк(2) 15кг (Голубев)</t>
  </si>
  <si>
    <t>ООО НВ ЮТс-04096-26 25.08.2026 Горняк-Луганск 7873кг (Васильченко)</t>
  </si>
  <si>
    <t>ООО НВ ЮТс-04097-26 25.08.2026 Луганск 5540кг (Васильченко)</t>
  </si>
  <si>
    <t>ООО ЛП Тс182035-26 27.08.2026 Пушкарный 14859кг (Юдин)</t>
  </si>
  <si>
    <t>30,08,26</t>
  </si>
  <si>
    <t>TSO001092132</t>
  </si>
  <si>
    <t>TSO001092136</t>
  </si>
  <si>
    <t>TSO001092149</t>
  </si>
  <si>
    <t>TSO001092151</t>
  </si>
  <si>
    <t>TSO001092153</t>
  </si>
  <si>
    <t>TSO001092154</t>
  </si>
  <si>
    <t>TSO001092157</t>
  </si>
  <si>
    <t>TSO001092166</t>
  </si>
  <si>
    <t>TSO001092170</t>
  </si>
  <si>
    <t>ООО ЛП Тс180921-26 27.08.2026 Бычков 6611кг (Гулаков)</t>
  </si>
  <si>
    <t>ООО ЛП Тс180936-26 27.08.2026 Бычков(2) 2549кг (Гулаков)</t>
  </si>
  <si>
    <t>ООО ЛП Тс182029-26 27.08.2026 Пушкарный 14028кг (Павленко)</t>
  </si>
  <si>
    <t>ООО ЛП Тс182036-26 27.08.2026 Пушкарный(2) 781кг (Павленко)</t>
  </si>
  <si>
    <t>ООО КСК ТРЕЙД Тс183343-26 28.08.2026 Крым 17018кг (Монакову)</t>
  </si>
  <si>
    <t>31,08,26</t>
  </si>
  <si>
    <t>ООО ЛП Тс182179-26 28.08.2026 Пенза 16104кг (Абдрахимов)</t>
  </si>
  <si>
    <t>МАШИНУ НЕ ИСКАТЬ!!!</t>
  </si>
  <si>
    <t>01,09,26</t>
  </si>
  <si>
    <t>TSO001092629</t>
  </si>
  <si>
    <t>TSO001092659</t>
  </si>
  <si>
    <t>TSO001092749</t>
  </si>
  <si>
    <t>TSO001092785</t>
  </si>
  <si>
    <t>TSO001092760</t>
  </si>
  <si>
    <t>TSO001092783</t>
  </si>
  <si>
    <t>TSO001092808</t>
  </si>
  <si>
    <t>TSO001092850</t>
  </si>
  <si>
    <t>TSO001092932</t>
  </si>
  <si>
    <t>TSO001093138</t>
  </si>
  <si>
    <t>TSO001093151</t>
  </si>
  <si>
    <t>TSO001093178</t>
  </si>
  <si>
    <t>TSO001093179</t>
  </si>
  <si>
    <t>TSO001092973</t>
  </si>
  <si>
    <t>TSO001093074</t>
  </si>
  <si>
    <t>TSO001093075</t>
  </si>
  <si>
    <t>TSO001093076</t>
  </si>
  <si>
    <t>TSO001093081</t>
  </si>
  <si>
    <t>TSO001093079</t>
  </si>
  <si>
    <t>TSO001093080</t>
  </si>
  <si>
    <t>TSO001093133</t>
  </si>
  <si>
    <t>TSO001093125</t>
  </si>
  <si>
    <t>TSO001093132</t>
  </si>
  <si>
    <t>TSO001093136</t>
  </si>
  <si>
    <t>TSO001093137</t>
  </si>
  <si>
    <t>TSO001093158</t>
  </si>
  <si>
    <t>TSO001102506</t>
  </si>
  <si>
    <t>TSO001102496</t>
  </si>
  <si>
    <t>TSO001102502</t>
  </si>
  <si>
    <t>TSO001094147</t>
  </si>
  <si>
    <t>TSO001103090</t>
  </si>
  <si>
    <t>ООО КСК ТРЕЙД Тс183809-26 29.08.2026 Крым 10521кг (Добыш)</t>
  </si>
  <si>
    <t>ООО КСК ТРЕЙД Тс185839-26 29.08.2026 Крым(2) 6543кг (Добыш)</t>
  </si>
  <si>
    <t>ООО КСК ТРЕЙД Тс183837-26 29.08.2026 Крым 11883кг (Лихачев)</t>
  </si>
  <si>
    <t>ООО КСК ТРЕЙД Тс186199-26 29.08.2026 Крым(2) 4339кг (Лихачев)</t>
  </si>
  <si>
    <t>ООО ЛП Тс183542-26 29.08.2026 Коныгин 1611кг (Митин)</t>
  </si>
  <si>
    <t>ООО ЛП Тс183562-26 29.08.2026 Обрыньба 4208кг (Митин)</t>
  </si>
  <si>
    <t>ООО ЛП Тс183556-26 29.08.2026 Пушкарный(ВВ) 6481кг (Митин)</t>
  </si>
  <si>
    <t>КИ - 29 паллет + СЫРЫ (ПРС) + старый заказ ПРС</t>
  </si>
  <si>
    <t>TSO001105949</t>
  </si>
  <si>
    <t>TSO001105975</t>
  </si>
  <si>
    <t>TSO001108308</t>
  </si>
  <si>
    <t>ООО КСК ТРЕЙД Тс185454-26 30.08.2026 Крым 17015кг (Исаков)</t>
  </si>
  <si>
    <t>ООО КСК ТРЕЙД Тс184777-26 30.08.2026 Крым 13890кг (Ислюков)</t>
  </si>
  <si>
    <t>ООО КСК ТРЕЙД Тс186254-26 30.08.2026 Николаенко 1703кг (Ислюков)</t>
  </si>
  <si>
    <t>ООО КСК ТРЕЙД Тс186392-26 30.08.2026 Крым(3) 1446кг (Ислюков)</t>
  </si>
  <si>
    <t>ООО КСК ТРЕЙД Тс186255-26 30.08.2026 Крым(2) 453кг (Ислюков)</t>
  </si>
  <si>
    <t>ООО КСК ТРЕЙД Тс183829-26 29.08.2026 Крым 8777кг (Некрасов)</t>
  </si>
  <si>
    <t>ООО КСК ТРЕЙД Тс185840-26 29.08.2026 Крым(2) 8489кг (Некрасов)</t>
  </si>
  <si>
    <t>ООО НВ Тс183816-26 29.08.2026 Бердянск 5696кг (Ерохов)</t>
  </si>
  <si>
    <t>ООО НВ Тс183834-26 29.08.2026 Мелитополь 10147кг (Ерохов)</t>
  </si>
  <si>
    <t>ООО НВ Тс186311-26 29.08.2026 Мелитополь(2) 900кг (Ерохов)</t>
  </si>
  <si>
    <t>ООО НВ Тс186313-26 29.08.2026 Бердянск(2) 907кг (Ерохов)</t>
  </si>
  <si>
    <t>ООО НВ Тс183903-26 29.08.2026 Донецк 17311кг (Рева)</t>
  </si>
  <si>
    <t>ООО НВ Тс186312-26 29.08.2026 Донецк(2) 758кг (Рева)</t>
  </si>
  <si>
    <t>ООО НВ Тс185835-26 30.08.2026 Горняк-Горловка 883кг (Решетников)</t>
  </si>
  <si>
    <t>ООО НВ Тс186256-26 30.08.2026 Горняк-Луганск 5286кг (Решетников)</t>
  </si>
  <si>
    <t>02,09,26</t>
  </si>
  <si>
    <t>TSO001114323</t>
  </si>
  <si>
    <t>TSO001114886</t>
  </si>
  <si>
    <t>ООО КСК ТРЕЙД Тс186068-26 31.08.2026 Вердиева 2212кг (Амелин)</t>
  </si>
  <si>
    <t>ООО КСК ТРЕЙД Тс186133-26 31.08.2026 Крым 13533кг (Амелин)</t>
  </si>
  <si>
    <t>ООО КСК ТРЕЙД Тс186550-26 31.08.2026 Вердиева(2) 1602кг (Амелин)</t>
  </si>
  <si>
    <t>ООО КСК ТРЕЙД Тс186021-26 31.08.2026 Крым 12836кг (Боков)</t>
  </si>
  <si>
    <t>ООО КСК ТРЕЙД Тс186102-26 31.08.2026 Вердиева 4564кг (Боков)</t>
  </si>
  <si>
    <t>ООО НВ Тс186260-26 30.08.2026 Луганск 8432кг (Решетников)</t>
  </si>
  <si>
    <t>ООО НВ Тс186509-26 30.08.2026 Луганск(2) 2812кг (Решетников)</t>
  </si>
  <si>
    <t>03,09,26</t>
  </si>
  <si>
    <t>TSO001115300</t>
  </si>
  <si>
    <t>TSO001115304</t>
  </si>
  <si>
    <t>TSO001115305</t>
  </si>
  <si>
    <t>TSO001115355</t>
  </si>
  <si>
    <t>ООО КСК ТРЕЙД ЮТс-04202-26 01.09.2026 Крым 15789кг (Добыш)</t>
  </si>
  <si>
    <t>TSO001115798</t>
  </si>
  <si>
    <t>04,09,26</t>
  </si>
  <si>
    <t>05,09,26</t>
  </si>
  <si>
    <t>TSO001115961</t>
  </si>
  <si>
    <t>TSO001115955</t>
  </si>
  <si>
    <t>TSO001116014</t>
  </si>
  <si>
    <t>TSO001116019</t>
  </si>
  <si>
    <t>TSO001116066</t>
  </si>
  <si>
    <t>TSO001116065</t>
  </si>
  <si>
    <t>TSO001116130</t>
  </si>
  <si>
    <t>TSO001116145</t>
  </si>
  <si>
    <t>TSO001116172</t>
  </si>
  <si>
    <t>TSO001116129</t>
  </si>
  <si>
    <t>TSO001116180</t>
  </si>
  <si>
    <t>TSO001116186</t>
  </si>
  <si>
    <t>ООО НВ Тс186261-26 01.09.2026 Донецк 15553кг (Гулаков)</t>
  </si>
  <si>
    <t>ООО ЛП Тс186095-26 01.09.2026 ПРС 1330кг (Гулаков)</t>
  </si>
  <si>
    <t>ООО НВ Тс186247-26 01.09.2026 Донецк 2809кг (Монаков)</t>
  </si>
  <si>
    <t>ООО НВ Тс185833-26 01.09.2026 Бутырин 1538кг (Монаков)</t>
  </si>
  <si>
    <t>ООО ЛП Тс184776-26 01.09.2026 Малахутин 9599кг (Монаков)</t>
  </si>
  <si>
    <t>ООО ЛП Тс179800-26 01.09.2026 ПРС 1281кг (Монаков)</t>
  </si>
  <si>
    <t>ООО НВ Тс186114-26 01.09.2026 Бердянск 3585кг (Толстоусов)</t>
  </si>
  <si>
    <t>ООО НВ Тс186129-26 01.09.2026 Мелитополь 4747кг (Толстоусов)</t>
  </si>
  <si>
    <t>ООО НВ Тс186120-26 01.09.2026 Павленко 8111кг (Толстоусов)</t>
  </si>
  <si>
    <t>ООО НВ Тс186259-26 01.09.2026 Луганск 13333кг (Лола)</t>
  </si>
  <si>
    <t>ООО НВ Тс188744-26 02.09.2026 Луганск(2) 3826кг (Лола)</t>
  </si>
  <si>
    <t>ООО НВ Тс186072-26 02.09.2026 Донецк 11665кг (Бакалюк)</t>
  </si>
  <si>
    <t>ООО НВ Тс186059-26 02.09.2026 Луганск 13062кг (Мазур)</t>
  </si>
  <si>
    <t>ООО НВ Тс185898-26 02.09.2026 Донецк 4922кг (Решетов)</t>
  </si>
  <si>
    <t>ООО НВ Тс186086-26 02.09.2026 Горняк-Донецк 8122кг (Решетов)</t>
  </si>
  <si>
    <t>TSO001116476</t>
  </si>
  <si>
    <t>06,09,26</t>
  </si>
  <si>
    <t>TSO001116532</t>
  </si>
  <si>
    <t>TSO001116533</t>
  </si>
  <si>
    <t>TSO001116534</t>
  </si>
  <si>
    <t>TSO001116535</t>
  </si>
  <si>
    <t>TSO001116601</t>
  </si>
  <si>
    <t>TSO001116602</t>
  </si>
  <si>
    <t>TSO001116628</t>
  </si>
  <si>
    <t>TSO001116631</t>
  </si>
  <si>
    <t>TSO001116855</t>
  </si>
  <si>
    <t>TSO001116856</t>
  </si>
  <si>
    <t>ООО НВ Тс185664-26 03.09.2026 Бердянск 6739кг (Исмаилов)</t>
  </si>
  <si>
    <t>ООО НВ Тс186262-26 03.09.2026 Мелитополь 7463кг (Исмаилов)</t>
  </si>
  <si>
    <t>ООО НВ Тс188818-26 03.09.2026 Бердянск(2) 2313кг (Исмаилов)</t>
  </si>
  <si>
    <t>ООО НВ Тс188817-26 03.09.2026 Мелитополь(2) 1033кг (Исмаилов)</t>
  </si>
  <si>
    <t>ООО ЛП Тс186117-26 03.09.2026 Кочевой 8157кг (Новожилов)</t>
  </si>
  <si>
    <t>ООО НВ Тс186134-26 03.09.2026 Донецк 7879кг (Новожилов)</t>
  </si>
  <si>
    <t>ООО НВ Тс188867-26 03.09.2026 Донецк(2) 1619кг (Новожилов)</t>
  </si>
  <si>
    <t>07,09,26</t>
  </si>
  <si>
    <t>перенос с 06,09 на 07,09</t>
  </si>
  <si>
    <t>TSO001117108</t>
  </si>
  <si>
    <t>TSO001117184</t>
  </si>
  <si>
    <t>КИ - 28 паллет + СЫРЫ</t>
  </si>
  <si>
    <t>08,09,26</t>
  </si>
  <si>
    <t>TSO001117235</t>
  </si>
  <si>
    <t>TSO001117236</t>
  </si>
  <si>
    <t>TSO001117281</t>
  </si>
  <si>
    <t>TSO001117282</t>
  </si>
  <si>
    <t>TSO001117334</t>
  </si>
  <si>
    <t>TSO001117346</t>
  </si>
  <si>
    <t>TSO001117349</t>
  </si>
  <si>
    <t>TSO001117374</t>
  </si>
  <si>
    <t>TSO001117510</t>
  </si>
  <si>
    <t>TSO001117517</t>
  </si>
  <si>
    <t>TSO001117520</t>
  </si>
  <si>
    <t>TSO001117512</t>
  </si>
  <si>
    <t>TSO001117521</t>
  </si>
  <si>
    <t>ООО ЛП Тс190186-26 04.09.2026 Пушкарный 12882кг (Агафонов)</t>
  </si>
  <si>
    <t>ООО КСК ТРЕЙД Тс186122-26 04.09.2026 Крым 14971кг (Бедик)</t>
  </si>
  <si>
    <t>ООО КСК ТРЕЙД Тс190227-26 04.09.2026 Крым(3) 2149кг (Бедик)</t>
  </si>
  <si>
    <t>ООО КСК ТРЕЙД Тс187256-26 04.09.2026 Крым(2) 280кг (Бедик)</t>
  </si>
  <si>
    <t>ООО КСК ТРЕЙД Тс190217-26 04.09.2026 Крым 13979кг (Митин)</t>
  </si>
  <si>
    <t>ООО КСК ТРЕЙД Тс190238-26 04.09.2026 Крым(2) 3164кг (Митин)</t>
  </si>
  <si>
    <t>ООО КСК ТРЕЙД Тс190220-26 04.09.2026 Крым 16449кг (Соболев)</t>
  </si>
  <si>
    <t>ООО КСК ТРЕЙД Тс190235-26 04.09.2026 Крым(2) 1360кг (Соболев)</t>
  </si>
  <si>
    <t>забираем с заказом Малахутина 5т</t>
  </si>
  <si>
    <t>ООО ЛП Тс190195-26 04.09.2026 СПБ 9338кг (Ерохов)</t>
  </si>
  <si>
    <t>ООО НВ Тс186508-26 04.09.2026 Донецк(2) 961кг (Галкин)</t>
  </si>
  <si>
    <t>ООО НВ Тс188509-26 04.09.2026 Донецк(3) 2519кг (Галкин)</t>
  </si>
  <si>
    <t>ООО НВ Тс188859-26 04.09.2026 Донецк(4) 1605кг (Галкин)</t>
  </si>
  <si>
    <t>ООО НВ Тс186074-26 04.09.2026 Донецк 7462кг (Галкин)</t>
  </si>
  <si>
    <t>ООО ЛП Тс190181-26 04.09.2026 НПК 4969кг (Галкин)</t>
  </si>
  <si>
    <t>ООО НВ ЮТс-04302-26 04.09.2026 Мелитополь 5671кг (Некрасов)</t>
  </si>
  <si>
    <t>ООО НВ ЮТс-04303-26 04.09.2026 Бердянск 8620кг (Некрасов)</t>
  </si>
  <si>
    <t>TSO001117561</t>
  </si>
  <si>
    <t>TSO001117565</t>
  </si>
  <si>
    <t>TSO001117590</t>
  </si>
  <si>
    <t>TSO001117607</t>
  </si>
  <si>
    <t>TSO001117609</t>
  </si>
  <si>
    <t>TSO001117610</t>
  </si>
  <si>
    <t>ООО КСК ТРЕЙД ЮТс-04297-26 05.09.2026 Крым 16049кг (Амелин)</t>
  </si>
  <si>
    <t>ООО ЛП Тс190177-26 05.09.2026 Малахутин 5001кг (Добыш)</t>
  </si>
  <si>
    <t>ООО ЛП Тс190192-26 05.09.2026 Коныгин 5548кг (Добыш)</t>
  </si>
  <si>
    <t>ООО ЛП Тс190199-26 05.09.2026 Обрыньба 2079кг (Добыш)</t>
  </si>
  <si>
    <t>ООО ЛП Тс190202-26 05.09.2026 Пушкарный(ВВ) 2635кг (Добыш)</t>
  </si>
  <si>
    <t>ООО КСК ТРЕЙД Тс190678-26 07.09.2026 Крым 16669кг (Журавлев)</t>
  </si>
  <si>
    <t>ООО КСК ТРЕЙД Тс190231-26 05.09.2026 Крым 16926кг (Исаков)</t>
  </si>
  <si>
    <t>ООО КСК ТРЕЙД Тс191532-26 05.09.2026 Крым(2) 767кг (Исаков)</t>
  </si>
  <si>
    <t>ООО КСК ТРЕЙД Тс190214-26 06.09.2026 Крым 14921кг (Ислюков)</t>
  </si>
  <si>
    <t>ООО КСК ТРЕЙД Тс190225-26 06.09.2026 Николаенко 2102кг (Ислюков)</t>
  </si>
  <si>
    <t>ООО КСК ТРЕЙД Тс191721-26 06.09.2026 Крым(2) 524кг (Ислюков)</t>
  </si>
  <si>
    <t>ООО ЛП Тс190184-26 04.09.2026 Пушкарный 17501кг (Латий)</t>
  </si>
  <si>
    <t>10,09,26</t>
  </si>
  <si>
    <t>TSO001117832</t>
  </si>
  <si>
    <t>TSO001117838</t>
  </si>
  <si>
    <t>ООО НВ Тс189843-26 06.09.2026 Донецк 15774кг (Астапкин)</t>
  </si>
  <si>
    <t>ООО НВ Тс189853-26 06.09.2026 Бутырин 775кг (Астапкин)</t>
  </si>
  <si>
    <t>ООО НВ Тс191784-26 06.09.2026 Донецк(2) 1218кг (Астапкин)</t>
  </si>
  <si>
    <t>ООО НВ Тс191464-26 05.09.2026 Луганск(2) 1836кг (Решетников)</t>
  </si>
  <si>
    <t>TSO001118037</t>
  </si>
  <si>
    <t>TSO001118038</t>
  </si>
  <si>
    <t>TSO001118478</t>
  </si>
  <si>
    <t>TSO001118566</t>
  </si>
  <si>
    <t>ООО НВ Тс189021-26 05.09.2026 Луганск 6769кг (Решетников)</t>
  </si>
  <si>
    <t>ООО НВ Тс188990-26 05.09.2026 Горняк-Луганск 8526кг (Решетников)</t>
  </si>
  <si>
    <t>ООО ЛП Тс192159-26 07.09.2026 Пенза 16793кг (Абдрахимов)</t>
  </si>
  <si>
    <t>ООО ЛП ЮТс-04330-26 07.09.2026 Вояж 2026кг (Жабкин)</t>
  </si>
  <si>
    <t>ООО НВ Тс191198-26 07.09.2026 Горняк-Луганск 9752кг (Жабкин)</t>
  </si>
  <si>
    <t>ООО НВ Тс191187-26 07.09.2026 Луганск 1257кг (Жабкин)</t>
  </si>
  <si>
    <t>TSO001118701</t>
  </si>
  <si>
    <t>TSO001118703</t>
  </si>
  <si>
    <t>№1 / завод не собрал</t>
  </si>
  <si>
    <t>TSO001118761</t>
  </si>
  <si>
    <t>09,09,26</t>
  </si>
  <si>
    <t>TSO001118926</t>
  </si>
  <si>
    <t>TSO001118927</t>
  </si>
  <si>
    <t>TSO001118908</t>
  </si>
  <si>
    <t>TSO001118941</t>
  </si>
  <si>
    <t>TSO001118942</t>
  </si>
  <si>
    <t>TSO001118943</t>
  </si>
  <si>
    <t>TSO001118946</t>
  </si>
  <si>
    <t>ООО КСК ТРЕЙД Тс191352-26 08.09.2026 Крым 12798кг (Мазур)</t>
  </si>
  <si>
    <t>ООО КСК ТРЕЙД Тс191798-26 08.09.2026 Крым(2) 2554кг (Мазур)</t>
  </si>
  <si>
    <t>ООО КСК ТРЕЙД Тс193728-26 08.09.2026 Крым(3) 2343кг (Мазур)</t>
  </si>
  <si>
    <t>ООО КСК ТРЕЙД Тс191353-26 08.09.2026 Крым 14902кг (Митин)</t>
  </si>
  <si>
    <t>ООО КСК ТРЕЙД Тс193726-26 08.09.2026 Крым(2) 2722кг (Митин)</t>
  </si>
  <si>
    <t>ООО КСК ТРЕЙД Тс191000-26 08.09.2026 Крым 15416кг (Ожех)</t>
  </si>
  <si>
    <t>ООО КСК ТРЕЙД Тс193731-26 08.09.2026 Крым(3) 435кг (Ожех)</t>
  </si>
  <si>
    <t>ООО КСК ТРЕЙД Тс191799-26 08.09.2026 Крым(2) 1721кг (Ожех)</t>
  </si>
  <si>
    <t>ООО КСК ТРЕЙД Тс191354-26 08.09.2026 Крым 14715кг (Чиндин)</t>
  </si>
  <si>
    <t>ООО КСК ТРЕЙД Тс193729-26 08.09.2026 Крым(2) 2347кг (Чиндин)</t>
  </si>
  <si>
    <t>ООО КСК ТРЕЙД Тс193733-26 08.09.2026 Крым(3) 522кг (Чиндин)</t>
  </si>
  <si>
    <t>11,09,26</t>
  </si>
  <si>
    <t>TSO001119509</t>
  </si>
  <si>
    <t>TSO001119559</t>
  </si>
  <si>
    <t>12,09,26</t>
  </si>
  <si>
    <t>TSO001119728</t>
  </si>
  <si>
    <t>TSO001119723</t>
  </si>
  <si>
    <t>TSO001119753</t>
  </si>
  <si>
    <t>TSO001119761</t>
  </si>
  <si>
    <t>TSO001119763</t>
  </si>
  <si>
    <t>ООО НВ Тс191340-26 08.09.2026 Донецк 15475кг (Голубев)</t>
  </si>
  <si>
    <t>ООО НВ Тс193546-26 08.09.2026 Донецк(2) 1718кг (Голубев)</t>
  </si>
  <si>
    <t>ООО НВ Тс190976-26 08.09.2026 Мелитополь 6331кг (Лапшин)</t>
  </si>
  <si>
    <t>ООО НВ Тс191329-26 08.09.2026 Бердянск 7877кг (Лапшин)</t>
  </si>
  <si>
    <t>ООО НВ Тс192373-26 08.09.2026 Бердянск(2) 869кг (Лапшин)</t>
  </si>
  <si>
    <t>ООО НВ Тс192374-26 08.09.2026 Мелитополь(2) 792кг (Лапшин)</t>
  </si>
  <si>
    <t>ООО НВ Тс191351-26 09.09.2026 Луганск 16512кг (Некрасов)</t>
  </si>
  <si>
    <t>ООО НВ Тс193545-26 09.09.2026 Луганск(2) 831кг (Некрасов)</t>
  </si>
  <si>
    <t>ООО НВ Тс191338-26 09.09.2026 Донецк 12076кг (Бакалюк)</t>
  </si>
  <si>
    <t>ООО НВ Тс191337-26 08.09.2026 Горняк-Донецк 8689кг (Чирков)</t>
  </si>
  <si>
    <t>TSO001120055</t>
  </si>
  <si>
    <t>TSO001120193</t>
  </si>
  <si>
    <t>(ВВ) дефицит</t>
  </si>
  <si>
    <t>13,09,26</t>
  </si>
  <si>
    <t>TSO001120227</t>
  </si>
  <si>
    <t>TSO001120252</t>
  </si>
  <si>
    <t>TSO001120255</t>
  </si>
  <si>
    <t>TSO001120256</t>
  </si>
  <si>
    <t>TSO001120258</t>
  </si>
  <si>
    <t>TSO001120259</t>
  </si>
  <si>
    <t>TSO001120261</t>
  </si>
  <si>
    <t>TSO001120260</t>
  </si>
  <si>
    <t>TSO001120280</t>
  </si>
  <si>
    <t>TSO001120281</t>
  </si>
  <si>
    <t>TSO001120282</t>
  </si>
  <si>
    <t>TSO001120283</t>
  </si>
  <si>
    <t>TSO001120284</t>
  </si>
  <si>
    <t>TSO001120285</t>
  </si>
  <si>
    <t>TSO001120273</t>
  </si>
  <si>
    <t>TSO001120274</t>
  </si>
  <si>
    <t>TSO001120275</t>
  </si>
  <si>
    <t>TSO001120276</t>
  </si>
  <si>
    <t>TSO001120277</t>
  </si>
  <si>
    <t>TSO001120278</t>
  </si>
  <si>
    <t>TSO001120279</t>
  </si>
  <si>
    <t>ООО ЛП ЮТс-04329-26 10.09.2026 ПРС 10739кг (Добыш)</t>
  </si>
  <si>
    <t>ООО ЛП Тс193742-26 10.09.2026 Пушкарный 17273кг (Ковальчук)</t>
  </si>
  <si>
    <t>ООО ЛП Тс192701-26 10.09.2026 Бычков 2137кг (Монаков)</t>
  </si>
  <si>
    <t>ООО ЛП Тс192708-26 10.09.2026 Бычков(2) 8223кг (Монаков)</t>
  </si>
  <si>
    <t>забрать СЫРЫ Останкино для Донецка</t>
  </si>
  <si>
    <t>14,09,26</t>
  </si>
  <si>
    <t>15,09,26</t>
  </si>
  <si>
    <t>TSO001120838</t>
  </si>
  <si>
    <t>TSO001120857</t>
  </si>
  <si>
    <t>ПОКОМ КИ - 10 паллет; Ост. КИиЗПФ - 18 паллет; Ост. СЫРЫ - 4 паллета. +ждем заказ от Химича под ОПТа</t>
  </si>
  <si>
    <t>КИ - 31 паллет + СЫРЫ (в Краснодаре)</t>
  </si>
  <si>
    <t>TSO001120974</t>
  </si>
  <si>
    <t>TSO001120994</t>
  </si>
  <si>
    <t>TSO001120998</t>
  </si>
  <si>
    <t>TSO001121001</t>
  </si>
  <si>
    <t>TSO001121002</t>
  </si>
  <si>
    <t>TSO001121133</t>
  </si>
  <si>
    <t>TSO001121150</t>
  </si>
  <si>
    <t>TSO001121152</t>
  </si>
  <si>
    <t>TSO001121144</t>
  </si>
  <si>
    <t>TSO001121064</t>
  </si>
  <si>
    <t>TSO001121068</t>
  </si>
  <si>
    <t>TSO001121071</t>
  </si>
  <si>
    <t>TSO001121075</t>
  </si>
  <si>
    <t>TSO001121118</t>
  </si>
  <si>
    <t>TSO001121124</t>
  </si>
  <si>
    <t>TSO001121195</t>
  </si>
  <si>
    <t>TSO001121204</t>
  </si>
  <si>
    <t>TSO001121205</t>
  </si>
  <si>
    <t>TSO001121206</t>
  </si>
  <si>
    <t>ООО КСК ТРЕЙД Тс197296-26 12.09.2026 Крым(4) 718кг (Журавлев)</t>
  </si>
  <si>
    <t>ООО КСК ТРЕЙД Тс197211-26 12.09.2026 Крым 16177кг (Журавлев)</t>
  </si>
  <si>
    <t>ООО КСК ТРЕЙД Тс197209-26 12.09.2026 Крым(3) 324кг (Журавлев)</t>
  </si>
  <si>
    <t>ООО КСК ТРЕЙД Тс197208-26 12.09.2026 Крым(2) 245кг (Журавлев)</t>
  </si>
  <si>
    <t>ООО КСК ТРЕЙД Тс197206-26 11.09.2026 Крым 14717кг (Кульпин)</t>
  </si>
  <si>
    <t>ООО КСК ТРЕЙД Тс197210-26 11.09.2026 Крым(2) 1869кг (Кульпин)</t>
  </si>
  <si>
    <t>ООО КСК ТРЕЙД Тс197205-26 11.09.2026 Крым(3) 675кг (Кульпин)</t>
  </si>
  <si>
    <t>ООО ЛП Тс197033-26 11.09.2026 Пенза 17952кг (Латий)</t>
  </si>
  <si>
    <t>ООО ЛП Тс193744-26 11.09.2026 Пушкарный 17438кг (Ступак)</t>
  </si>
  <si>
    <t>TSO001121233</t>
  </si>
  <si>
    <t>TSO001121238</t>
  </si>
  <si>
    <t>TSO001121236</t>
  </si>
  <si>
    <t>TSO001121237</t>
  </si>
  <si>
    <t>ООО КСК ТРЕЙД Тс196514-26 13.09.2026 Крым 15423кг (Казанцев)</t>
  </si>
  <si>
    <t>ООО ЛП Тс195774-26 13.09.2026 Кочевой 12143кг (Карслян)</t>
  </si>
  <si>
    <t>ООО ЛП Тс195833-26 13.09.2026 ПРС 1443кг (Карслян)</t>
  </si>
  <si>
    <t>ООО ЛП Тс195900-26 13.09.2026 Кочевой(2) 3997кг (Карслян)</t>
  </si>
  <si>
    <t>ООО ЛП Тс195902-26 13.09.2026 НПК 504кг (Карслян)</t>
  </si>
  <si>
    <t>ООО КСК ТРЕЙД Тс197215-26 13.09.2026 Крым 16991кг (Котельников)</t>
  </si>
  <si>
    <t>ООО КСК ТРЕЙД Тс197520-26 13.09.2026 Крым(2) 511кг (Котельников)</t>
  </si>
  <si>
    <t>ООО ЛП Тс197557-26 13.09.2026 Пушкарный 17578кг (Пыдык)</t>
  </si>
  <si>
    <t>ООО ЛП Тс195775-26 13.09.2026 Малахутин 3946кг (Фокин)</t>
  </si>
  <si>
    <t>ООО ЛП Тс195776-26 13.09.2026 Малахутин(2) 13902кг (Фокин)</t>
  </si>
  <si>
    <t>ООО КСК ТРЕЙД ЮТс-04407-26 12.09.2026 Крым 15326кг (Митин)</t>
  </si>
  <si>
    <t>Архипова</t>
  </si>
  <si>
    <t>16,09,26</t>
  </si>
  <si>
    <t>TSO001121408</t>
  </si>
  <si>
    <t>TSO001121409</t>
  </si>
  <si>
    <t>TSO001121620</t>
  </si>
  <si>
    <t>ООО НВ Тс195771-26 12.09.2026 Донецк 16681кг (Шадриков)</t>
  </si>
  <si>
    <t>ООО НВ Тс197433-26 12.09.2026 Донецк(2) 797кг (Шадриков)</t>
  </si>
  <si>
    <t>TSO001121670</t>
  </si>
  <si>
    <t>TSO001121681</t>
  </si>
  <si>
    <t>TSO001121682</t>
  </si>
  <si>
    <t>TSO001121699</t>
  </si>
  <si>
    <t>TSO001122106</t>
  </si>
  <si>
    <t>TSO001122172</t>
  </si>
  <si>
    <t>TSO001122173</t>
  </si>
  <si>
    <t>TSO001122174</t>
  </si>
  <si>
    <t>ООО НВ Тс195772-26 12.09.2026 Луганск 17049кг (Заратуйченко)</t>
  </si>
  <si>
    <t>ООО НВ Тс197435-26 12.09.2026 Луганск(2) 808кг (Заратуйченко)</t>
  </si>
  <si>
    <t>ООО ЛП Тс195773-26 14.09.2026 Обрыньба 3803кг (Мазур)</t>
  </si>
  <si>
    <t>ООО ЛП Тс195791-26 14.09.2026 Коныгин 3846кг (Мазур)</t>
  </si>
  <si>
    <t>ООО ЛП Тс195804-26 14.09.2026 НПК 8054кг (Мазур)</t>
  </si>
  <si>
    <t>ООО ЛП Тс195903-26 14.09.2026 Пушкарный 1619кг (Мазур)</t>
  </si>
  <si>
    <t>ООО КСК ТРЕЙД Тс198799-26 15.09.2026 Крым(2) 1410кг (Сарва)</t>
  </si>
  <si>
    <t>ООО КСК ТРЕЙД Тс199024-26 15.09.2026 Крым 16179кг (Сарва)</t>
  </si>
  <si>
    <t>TSO001122278</t>
  </si>
  <si>
    <t>ООО НВ Тс198965-26 15.09.2026 Мелитополь 16887кг (Ислюков)</t>
  </si>
  <si>
    <t>ООО НВ Тс198964-26 14.09.2026 Мелитополь(3) 673кг (Ислюков)</t>
  </si>
  <si>
    <t>ООО НВ Тс196916-26 15.09.2026 Мелитополь(2) 205кг (Ислюков)</t>
  </si>
  <si>
    <t>TSO001122312</t>
  </si>
  <si>
    <t>TSO001122314</t>
  </si>
  <si>
    <t>TSO001122316</t>
  </si>
  <si>
    <t>17,09,26</t>
  </si>
  <si>
    <t>TSO001122459</t>
  </si>
  <si>
    <t>TSO001122487</t>
  </si>
  <si>
    <t>ООО КСК ТРЕЙД Тс199049-26 15.09.2026 Крым(2) 14776кг (Аббасов)</t>
  </si>
  <si>
    <t>ООО КСК ТРЕЙД Тс198800-26 15.09.2026 Крым 2219кг (Аббасов)</t>
  </si>
  <si>
    <t>ООО КСК ТРЕЙД ЮТс-04456-26 15.09.2026 Крым 15627кг (Добыш)</t>
  </si>
  <si>
    <t>ООО КСК ТРЕЙД Тс198853-26 15.09.2026 Крым 15150кг (Ерохов)</t>
  </si>
  <si>
    <t>ООО КСК ТРЕЙД Тс199859-26 15.09.2026 Крым(3) 1712кг (Ерохов)</t>
  </si>
  <si>
    <t>ООО КСК ТРЕЙД Тс199857-26 15.09.2026 Крым(2) 761кг (Ерохов)</t>
  </si>
  <si>
    <t>ООО КСК ТРЕЙД Тс197411-26 15.09.2026 Вердиева 1868кг (Карпухин)</t>
  </si>
  <si>
    <t>ООО КСК ТРЕЙД Тс197595-26 15.09.2026 Вердиева(2) 3194кг (Карпухин)</t>
  </si>
  <si>
    <t>ООО КСК ТРЕЙД Тс198802-26 15.09.2026 Крым 3945кг (Карпухин)</t>
  </si>
  <si>
    <t>ООО КСК ТРЕЙД Тс198991-26 15.09.2026 Крым(2) 8505кг (Карпухин)</t>
  </si>
  <si>
    <t>ООО КСК ТРЕЙД Тс197223-26 15.09.2026 Николаенко 1974кг (Некрасов)</t>
  </si>
  <si>
    <t>ООО КСК ТРЕЙД Тс198801-26 15.09.2026 Крым 2138кг (Некрасов)</t>
  </si>
  <si>
    <t>ООО КСК ТРЕЙД Тс199001-26 15.09.2026 Крым(2) 11743кг (Некрасов)</t>
  </si>
  <si>
    <t>ООО КСК ТРЕЙД Тс199858-26 15.09.2026 Крым(3) 1646кг (Некрасов)</t>
  </si>
  <si>
    <t>18,09,26</t>
  </si>
  <si>
    <t>TSO001123003</t>
  </si>
  <si>
    <t>19,09,26</t>
  </si>
  <si>
    <t>TSO001123026</t>
  </si>
  <si>
    <t>TSO001123074</t>
  </si>
  <si>
    <t>Колесник</t>
  </si>
  <si>
    <t>TSO001123126</t>
  </si>
  <si>
    <t>TSO001123132</t>
  </si>
  <si>
    <t>TSO001123136</t>
  </si>
  <si>
    <t>TSO001123137</t>
  </si>
  <si>
    <t>TSO001123138</t>
  </si>
  <si>
    <t>TSO001123141</t>
  </si>
  <si>
    <t>ООО НВ Тс198966-26 15.09.2026 Луганск 16618кг (Голубев)</t>
  </si>
  <si>
    <t>ООО НВ Тс199862-26 15.09.2026 Луганск(2) 1116кг (Голубев)</t>
  </si>
  <si>
    <t>ООО НВ ЮТс-04457-26 15.09.2026 Луганск 13638кг (Жабкин)</t>
  </si>
  <si>
    <t>ООО НВ Тс199861-26 15.09.2026 Донецк 16967кг (Рева)</t>
  </si>
  <si>
    <t>ООО НВ Тс199863-26 15.09.2026 Донецк(2) 599кг (Рева)</t>
  </si>
  <si>
    <t>ООО НВ Тс195889-26 15.09.2026 Горняк-Горловка 870кг (Решетников)</t>
  </si>
  <si>
    <t>ООО НВ Тс198967-26 15.09.2026 Горняк-Луганск 6645кг (Решетников)</t>
  </si>
  <si>
    <t>ООО НВ Тс195901-26 15.09.2026 Луганск 9043кг (Решетников)</t>
  </si>
  <si>
    <t>ООО НВ Тс199865-26 15.09.2026 Луганск(2) 811кг (Решетников)</t>
  </si>
  <si>
    <t>ООО НВ Тс195821-26 15.09.2026 Донецк 15628кг (Чирков)</t>
  </si>
  <si>
    <t>ООО НВ Тс199864-26 15.09.2026 Донецк(2) 601кг (Чирков)</t>
  </si>
  <si>
    <t>ООО НВ Тс199866-26 15.09.2026 Донецк(3) 1201кг (Чирков)</t>
  </si>
  <si>
    <t>ООО НВ Тс200475-26 16.09.2026 Мелитополь 5500кг (Жунсалиев)</t>
  </si>
  <si>
    <t>ООО ЛП Тс199014-26 16.09.2026 Архипова 4009кг (Жунсалиев)</t>
  </si>
  <si>
    <t>ООО ЛП Тс198998-26 16.09.2026 Архипова(2) 1916кг (Жунсалиев)</t>
  </si>
  <si>
    <t>ООО НВ Тс195801-26 16.09.2026 Бердянск 17158кг (Семенов)</t>
  </si>
  <si>
    <t>ООО НВ Тс198963-26 16.09.2026 Бердянск(2) 508кг (Семенов)</t>
  </si>
  <si>
    <t>TSO001123432</t>
  </si>
  <si>
    <t>20,09,26</t>
  </si>
  <si>
    <t>TSO001123554</t>
  </si>
  <si>
    <t>TSO001123565</t>
  </si>
  <si>
    <t>TSO001123542</t>
  </si>
  <si>
    <t>TSO001123541</t>
  </si>
  <si>
    <t>TSO001123570</t>
  </si>
  <si>
    <t>TSO001123571</t>
  </si>
  <si>
    <t>TSO001123566</t>
  </si>
  <si>
    <t>TSO001123574</t>
  </si>
  <si>
    <t>TSO001123572</t>
  </si>
  <si>
    <t>TSO001123575</t>
  </si>
  <si>
    <t>TSO001123577</t>
  </si>
  <si>
    <t>TSO001123594</t>
  </si>
  <si>
    <t>TSO001123595</t>
  </si>
  <si>
    <t>TSO001123598</t>
  </si>
  <si>
    <t>TSO001123599</t>
  </si>
  <si>
    <t>TSO001123600</t>
  </si>
  <si>
    <t>TSO001123805</t>
  </si>
  <si>
    <t>ООО НВ Тс200678-26 17.09.2026 Луганск 16221кг (Бакалюк)</t>
  </si>
  <si>
    <t>ООО НВ Тс201396-26 17.09.2026 Луганск(2) 1005кг (Бакалюк)</t>
  </si>
  <si>
    <t>ООО НВ Тс197117-26 17.09.2026 Мелитополь 3746кг (Коновалов)</t>
  </si>
  <si>
    <t>ООО НВ ЮТс-04498-26 17.09.2026 Бердянск 10851кг (Коновалов)</t>
  </si>
  <si>
    <t>ООО ЛП Тс199924-26 17.09.2026 Пушкарный 14843кг (Хинько)</t>
  </si>
  <si>
    <t>TSO001123888</t>
  </si>
  <si>
    <t>TSO001124036</t>
  </si>
  <si>
    <t>21,09,26</t>
  </si>
  <si>
    <t>КИ - 23 паллета + СЫРЫ + Мясной Выбор</t>
  </si>
  <si>
    <t>22,09,26</t>
  </si>
  <si>
    <t>TSO001124070</t>
  </si>
  <si>
    <t>TSO001124184</t>
  </si>
  <si>
    <t>TSO001124197</t>
  </si>
  <si>
    <t>TSO001124204</t>
  </si>
  <si>
    <t>TSO001124208</t>
  </si>
  <si>
    <t>Убийконь</t>
  </si>
  <si>
    <t>ООО НВ Тс201393-26 18.09.2026 Бердянск 7925кг (Киселев)</t>
  </si>
  <si>
    <t>ООО НВ Тс201394-26 18.09.2026 Мелитополь 7576кг (Киселев)</t>
  </si>
  <si>
    <t>ООО НВ Тс201395-26 18.09.2026 Бердянск(2) 1510кг (Киселев)</t>
  </si>
  <si>
    <t>ООО НВ Тс201978-26 18.09.2026 Мелитополь(2) 717кг (Киселев)</t>
  </si>
  <si>
    <t>TSO001124264</t>
  </si>
  <si>
    <t>TSO001124307</t>
  </si>
  <si>
    <t>TSO001124281</t>
  </si>
  <si>
    <t>доставка на 22-23,09</t>
  </si>
  <si>
    <t>TSO001124283</t>
  </si>
  <si>
    <t>TSO001124326</t>
  </si>
  <si>
    <t>ООО КСК ТРЕЙД Тс201616-26 18.09.2026 Крым 14646кг (Акшонин)</t>
  </si>
  <si>
    <t>ООО КСК ТРЕЙД Тс202087-26 18.09.2026 Крым(3) 1051кг (Акшонин)</t>
  </si>
  <si>
    <t>ООО КСК ТРЕЙД Тс201618-26 18.09.2026 Крым(2) 2267кг (Акшонин)</t>
  </si>
  <si>
    <t>TSO001124310</t>
  </si>
  <si>
    <t>TSO001124331</t>
  </si>
  <si>
    <t>TSO001124304</t>
  </si>
  <si>
    <t>TSO001124282</t>
  </si>
  <si>
    <t>TSO001124306</t>
  </si>
  <si>
    <t>TSO001124520</t>
  </si>
  <si>
    <t>TSO001124524</t>
  </si>
  <si>
    <t>TSO001124526</t>
  </si>
  <si>
    <t>TSO001124528</t>
  </si>
  <si>
    <t>TSO001124533</t>
  </si>
  <si>
    <t>TSO001124534</t>
  </si>
  <si>
    <t>TSO001124549</t>
  </si>
  <si>
    <t>TSO001124546</t>
  </si>
  <si>
    <t>TSO001124553</t>
  </si>
  <si>
    <t>ООО ЛП Тс201536-26 20.09.2026 НПК 505кг (Ковальчук)</t>
  </si>
  <si>
    <t>ООО ЛП Тс201526-26 19.09.2026 Пушкарный(ВВ) 628кг (Ковальчук)</t>
  </si>
  <si>
    <t>ООО ЛП Тс201550-26 20.09.2026 Пушкарный(ВВ)(2) 3346кг (Ковальчук)</t>
  </si>
  <si>
    <t>ООО ЛП Тс201565-26 20.09.2026 НПК(2) 7319кг (Ковальчук)</t>
  </si>
  <si>
    <t>ООО ЛП Тс201588-26 20.09.2026 Обрыньба 4457кг (Ковальчук)</t>
  </si>
  <si>
    <t>ООО ЛП Тс200584-26 20.09.2026 ПРС 806кг (Медведь)</t>
  </si>
  <si>
    <t>ООО КСК ТРЕЙД Тс201419-26 19.09.2026 Крым 14405кг (Самохвалов)</t>
  </si>
  <si>
    <t>ООО КСК ТРЕЙД Тс201614-26 19.09.2026 Крым 3982кг (Сарва)</t>
  </si>
  <si>
    <t>ООО КСК ТРЕЙД Тс202782-26 19.09.2026 Крым(3) 6001кг (Сарва)</t>
  </si>
  <si>
    <t>ООО КСК ТРЕЙД Тс202728-26 19.09.2026 Крым(2) 7080кг (Сарва)</t>
  </si>
  <si>
    <t>ООО КСК ТРЕЙД Тс201799-26 19.09.2026 Крым 15694кг (Ступак)</t>
  </si>
  <si>
    <t>ООО КСК ТРЕЙД Тс202731-26 19.09.2026 Крым(2) 1050кг (Ступак)</t>
  </si>
  <si>
    <t>ООО КСК ТРЕЙД Тс202783-26 19.09.2026 Крым(3) 705кг (Ступак)</t>
  </si>
  <si>
    <t>TSO001124665</t>
  </si>
  <si>
    <t>TSO001124670</t>
  </si>
  <si>
    <t>TSO001124671</t>
  </si>
  <si>
    <t>TSO001124687</t>
  </si>
  <si>
    <t>TSO001124689</t>
  </si>
  <si>
    <t>23,09,26</t>
  </si>
  <si>
    <t>TSO001124783</t>
  </si>
  <si>
    <t>TSO001124857</t>
  </si>
  <si>
    <t>TSO001124862</t>
  </si>
  <si>
    <t>TSO001124863</t>
  </si>
  <si>
    <t>TSO001124858</t>
  </si>
  <si>
    <t>TSO001125096</t>
  </si>
  <si>
    <t>ООО НВ Тс202646-26 20.09.2026 Луганск 15832кг (Бабенко)</t>
  </si>
  <si>
    <t>ООО НВ Тс202866-26 20.09.2026 Луганск(2) 1435кг (Бабенко)</t>
  </si>
  <si>
    <t>ООО НВ Тс197326-26 18.09.2026 Донецк 6440кг (Добыш)</t>
  </si>
  <si>
    <t>ООО НВ ЮТс-04497-26 18.09.2026 Горняк-Донецк 6372кг (Добыш)</t>
  </si>
  <si>
    <t>ООО КСК ТРЕЙД Тс202868-26 21.09.2026 Крым 14000кг (Евсеев)</t>
  </si>
  <si>
    <t>ООО КСК ТРЕЙД Тс203578-26 21.09.2026 Крым(2) 3445кг (Евсеев)</t>
  </si>
  <si>
    <t>ООО НВ Тс202644-26 20.09.2026 Бутырин 1909кг (Медведь)</t>
  </si>
  <si>
    <t>ООО НВ Тс202645-26 20.09.2026 Донецк 13492кг (Медведь)</t>
  </si>
  <si>
    <t>ООО НВ Тс202846-26 20.09.2026 Донецк(2) 611кг (Медведь)</t>
  </si>
  <si>
    <t>ООО НВ Тс202976-26 20.09.2026 Донецк(3) 901кг (Медведь)</t>
  </si>
  <si>
    <t>ООО КСК ТРЕЙД Тс201615-26 21.09.2026 Колесник 10071кг (Латий)</t>
  </si>
  <si>
    <t>ООО НВ Тс202410-26 20.09.2026 Луганск 13048кг (Решетников)</t>
  </si>
  <si>
    <t>ООО КСК ТРЕЙД Тс202584-26 21.09.2026 Крым 14013кг (Хинько)</t>
  </si>
  <si>
    <t>ООО КСК ТРЕЙД Тс202964-26 21.09.2026 Николаенко 1634кг (Хинько)</t>
  </si>
  <si>
    <t>ООО КСК ТРЕЙД Тс202978-26 21.09.2026 Крым(2) 2023кг (Хинько)</t>
  </si>
  <si>
    <t>ООО КСК ТРЕЙД Тс202336-26 21.09.2026 Крым 15191кг (Дмитриев)</t>
  </si>
  <si>
    <t>ООО НВ Тс202169-26 21.09.2026 Павленко 6198кг (Латий)</t>
  </si>
  <si>
    <t>МАРИУПОЛЬ</t>
  </si>
  <si>
    <t>МАРИУПОЛЬ (дозаказ)</t>
  </si>
  <si>
    <t>24,09,26</t>
  </si>
  <si>
    <t>TSO001125700</t>
  </si>
  <si>
    <t>TSO001125703</t>
  </si>
  <si>
    <t>TSO001124667</t>
  </si>
  <si>
    <t>ООО КСК ТРЕЙД Тс203580-26 22.09.2026 Крым 17836кг (Жуков)</t>
  </si>
  <si>
    <t>25,09,26</t>
  </si>
  <si>
    <t>TSO001126324</t>
  </si>
  <si>
    <t>TSO001126318</t>
  </si>
  <si>
    <t>TSO001126287</t>
  </si>
  <si>
    <t>TSO001126306</t>
  </si>
  <si>
    <t>26,09,26</t>
  </si>
  <si>
    <t>TSO001126399</t>
  </si>
  <si>
    <t>TSO001126409</t>
  </si>
  <si>
    <t>TSO001126456</t>
  </si>
  <si>
    <t>TSO001126469</t>
  </si>
  <si>
    <t>TSO001126457</t>
  </si>
  <si>
    <t>TSO001126458</t>
  </si>
  <si>
    <t>TSO001126470</t>
  </si>
  <si>
    <t>TSO001126491</t>
  </si>
  <si>
    <t>TSO001126471</t>
  </si>
  <si>
    <t>TSO001126497</t>
  </si>
  <si>
    <t>TSO001126498</t>
  </si>
  <si>
    <t>TSO001126499</t>
  </si>
  <si>
    <t>ООО КСК ТРЕЙД Тс203579-26 23.09.2026 Убийконь 16058кг (Амелин)</t>
  </si>
  <si>
    <t>ООО НВ Тс202670-26 22.09.2026 Горняк-Луганск 6954кг (Бакалюк)</t>
  </si>
  <si>
    <t>ООО НВ Тс202792-26 22.09.2026 Луганск 8414кг (Бакалюк)</t>
  </si>
  <si>
    <t>ООО НВ Тс204000-26 22.09.2026 Луганск(2) 2361кг (Бакалюк)</t>
  </si>
  <si>
    <t>ООО ЛП Тс206140-26 23.09.2026 Бычков 1863кг (Добыш)</t>
  </si>
  <si>
    <t>ООО ЛП Тс206148-26 23.09.2026 Бычков(2) 6531кг (Добыш)</t>
  </si>
  <si>
    <t>ООО ЛП Тс206142-26 23.09.2026 Бычков(3) 5475кг (Добыш)</t>
  </si>
  <si>
    <t>ООО ЛП Тс206143-26 23.09.2026 Пушкарный(ВВ) 3497кг (Добыш)</t>
  </si>
  <si>
    <t>ООО НВ ЮТс-04603-26 23.09.2026 Горняк-Луганск 11188кг (Жабкин)</t>
  </si>
  <si>
    <t>ООО НВ Тс202793-26 22.09.2026 Мелитополь 6945кг (Мазур)</t>
  </si>
  <si>
    <t>ООО НВ Тс202794-26 22.09.2026 Бердянск 7466кг (Мазур)</t>
  </si>
  <si>
    <t>ООО НВ Тс204001-26 22.09.2026 Бердянск(2) 1571кг (Мазур)</t>
  </si>
  <si>
    <t>ООО НВ Тс204002-26 22.09.2026 Мелитополь(2) 1597кг (Мазур)</t>
  </si>
  <si>
    <t>ООО НВ Тс206155-26 24.09.2026 Донецк 17105кг (Пыдык)</t>
  </si>
  <si>
    <t>ООО НВ ЮТс-04604-26 22.09.2026 Аист 6041кг (Рапопорт)</t>
  </si>
  <si>
    <t>ООО НВ Тс202432-26 22.09.2026 Бердянск 4833кг (Рапопорт)</t>
  </si>
  <si>
    <t>ООО НВ Тс202328-26 22.09.2026 Мелитополь 2437кг (Рапопорт)</t>
  </si>
  <si>
    <t>ООО НВ Тс202669-26 22.09.2026 Донецк 16259кг (Чирков)</t>
  </si>
  <si>
    <t>ООО НВ Тс203999-26 22.09.2026 Донецк(2) 1410кг (Чирков)</t>
  </si>
  <si>
    <t>TSO001126884</t>
  </si>
  <si>
    <t>ООО НВ ЮТс-04608-26 22.09.2026 Горняк-Донецк 9287кг (Голубев)</t>
  </si>
  <si>
    <t>ООО НВ ЮТс-04616-26 22.09.2026 Донецк 5099кг (Голубев)</t>
  </si>
  <si>
    <t>TSO001126957</t>
  </si>
  <si>
    <t>27,09,26</t>
  </si>
  <si>
    <t>TSO001127031</t>
  </si>
  <si>
    <t>TSO001127033</t>
  </si>
  <si>
    <t>TSO001127083</t>
  </si>
  <si>
    <t>TSO001127051</t>
  </si>
  <si>
    <t>TSO001127052</t>
  </si>
  <si>
    <t>TSO001127055</t>
  </si>
  <si>
    <t>TSO001127060</t>
  </si>
  <si>
    <t>ООО НВ Тс202795-26 24.09.2026 Мелитополь 5337кг (Ковальчук)</t>
  </si>
  <si>
    <t>ООО НВ Тс202836-26 24.09.2026 Бердянск 7253кг (Ковальчук)</t>
  </si>
  <si>
    <t>ООО НВ Тс205996-26 24.09.2026 Бердянск(2) 118кг (Ковальчук)</t>
  </si>
  <si>
    <t>ООО НВ Тс205998-26 24.09.2026 Бердянск(3) 1127кг (Ковальчук)</t>
  </si>
  <si>
    <t>ООО ЛП Тс206139-26 25.09.2026 Пушкарный 16675кг (Солод)</t>
  </si>
  <si>
    <t>TSO001127518</t>
  </si>
  <si>
    <t>все забираем 27,09,26</t>
  </si>
  <si>
    <t>28,09,26</t>
  </si>
  <si>
    <t>TSO001127588</t>
  </si>
  <si>
    <t>TSO001127833</t>
  </si>
  <si>
    <t>TSO001127630</t>
  </si>
  <si>
    <t>29,09,26</t>
  </si>
  <si>
    <t>КИ - 27 паллет + СЫРЫ</t>
  </si>
  <si>
    <t>TSO001127975</t>
  </si>
  <si>
    <t>TSO001128035</t>
  </si>
  <si>
    <t>TSO001127977</t>
  </si>
  <si>
    <t>TSO001128026</t>
  </si>
  <si>
    <t>TSO001127882</t>
  </si>
  <si>
    <t>TSO001127911</t>
  </si>
  <si>
    <t>TSO001127960</t>
  </si>
  <si>
    <t>TSO001127998</t>
  </si>
  <si>
    <t>TSO001128058</t>
  </si>
  <si>
    <t>TSO001128060</t>
  </si>
  <si>
    <t>TSO001128081</t>
  </si>
  <si>
    <t>TSO001128083</t>
  </si>
  <si>
    <t>TSO001128210</t>
  </si>
  <si>
    <t>TSO001128214</t>
  </si>
  <si>
    <t>TSO001128215</t>
  </si>
  <si>
    <t>TSO001128213</t>
  </si>
  <si>
    <t>TSO001128216</t>
  </si>
  <si>
    <t>TSO001128212</t>
  </si>
  <si>
    <t>TSO001128219</t>
  </si>
  <si>
    <t>TSO001128227</t>
  </si>
  <si>
    <t>TSO001128257</t>
  </si>
  <si>
    <t>ООО КСК ТРЕЙД Тс207723-26 26.09.2026 Крым 16174кг (Бутько)</t>
  </si>
  <si>
    <t>ООО КСК ТРЕЙД Тс207725-26 26.09.2026 Крым(2) 213кг (Бутько)</t>
  </si>
  <si>
    <t>ООО КСК ТРЕЙД Тс207727-26 26.09.2026 Крым(3) 316кг (Бутько)</t>
  </si>
  <si>
    <t>ООО КСК ТРЕЙД Тс208087-26 26.09.2026 Крым(4) 1302кг (Бутько)</t>
  </si>
  <si>
    <t>ООО ЛП Тс206144-26 26.09.2026 Пушкарный 17004кг (Грушецкий)</t>
  </si>
  <si>
    <t>ООО НВ Тс206916-26 26.09.2026 Луганск 16019кг (Евсеев)</t>
  </si>
  <si>
    <t>ООО НВ Тс208085-26 26.09.2026 Луганск(2) 963кг (Евсеев)</t>
  </si>
  <si>
    <t>ООО КСК ТРЕЙД Тс207986-26 26.09.2026 Крым 16778кг (Жуков)</t>
  </si>
  <si>
    <t>ООО КСК ТРЕЙД Тс208084-26 26.09.2026 Крым(2) 509кг (Жуков)</t>
  </si>
  <si>
    <t>ООО КСК ТРЕЙД Тс206540-26 28.09.2026 Крым 13975кг (Латий)</t>
  </si>
  <si>
    <t>ООО НВ Тс206926-26 26.09.2026 Донецк 14969кг (Медведь)</t>
  </si>
  <si>
    <t>ООО НВ Тс207059-26 26.09.2026 Донецк(2) 1908кг (Медведь)</t>
  </si>
  <si>
    <t>ООО КСК ТРЕЙД Тс207722-26 26.09.2026 Крым 13169кг (Петренко)</t>
  </si>
  <si>
    <t>ООО КСК ТРЕЙД Тс207728-26 26.09.2026 Крым(2) 2632кг (Петренко)</t>
  </si>
  <si>
    <t>ООО КСК ТРЕЙД Тс208088-26 26.09.2026 Крым(3) 822кг (Петренко)</t>
  </si>
  <si>
    <t>ООО КСК ТРЕЙД Тс207858-26 27.09.2026 Николаенко 2115кг (Ступак)</t>
  </si>
  <si>
    <t>ООО КСК ТРЕЙД Тс207870-26 27.09.2026 Крым 13154кг (Ступак)</t>
  </si>
  <si>
    <t>ООО КСК ТРЕЙД Тс208306-26 27.09.2026 Крым(2) 1786кг (Ступак)</t>
  </si>
  <si>
    <t>ООО КСК ТРЕЙД Тс208373-26 27.09.2026 Крым(3) 419кг (Ступак)</t>
  </si>
  <si>
    <t>TSO001128427</t>
  </si>
  <si>
    <t>TSO001128501</t>
  </si>
  <si>
    <t>ООО КСК ТРЕЙД Тс209087-26 28.09.2026 Крым 16308кг (Амелин)</t>
  </si>
  <si>
    <t>ООО КСК ТРЕЙД Тс209085-26 28.09.2026 Крым(2) 423кг (Амелин)</t>
  </si>
  <si>
    <t>ООО КСК ТРЕЙД Тс209086-26 28.09.2026 Крым(3) 825кг (Амелин)</t>
  </si>
  <si>
    <t>ООО НВ ЮТс-04727-26 28.09.2026 Донецк 12383кг (Голубев)</t>
  </si>
  <si>
    <t>ООО НВ ЮТс-04754-26 29.09.2026 Горняк-Донецк 11419кг (Ивасенко)</t>
  </si>
  <si>
    <t>ООО НВ Тс207772-26 29.09.2026 Донецк 1982кг (Ивасенко)</t>
  </si>
  <si>
    <t>ООО ЛП Тс208538-26 28.09.2026 Малахутин 17520кг (Митин)</t>
  </si>
  <si>
    <t>ООО КСК ТРЕЙД Тс207274-26 28.09.2026 Крым 14704кг (Сарва)</t>
  </si>
  <si>
    <t>ООО ЛП Тс208537-26 28.09.2026 Пушкарный 5601кг (Хлыстов)</t>
  </si>
  <si>
    <t>ООО ЛП Тс208540-26 28.09.2026 Обрыньба 2500кг (Хлыстов)</t>
  </si>
  <si>
    <t>ООО НВ Тс207918-26 28.09.2026 Луганск 8923кг (Хлыстов)</t>
  </si>
  <si>
    <t>ООО НВ Тс208711-26 28.09.2026 Луганск(2) 906кг (Хлыстов)</t>
  </si>
  <si>
    <t>ООО НВ Тс207913-26 28.09.2026 Донецк 17409кг (Чирков)</t>
  </si>
  <si>
    <t>TSO001129429</t>
  </si>
  <si>
    <t>TSO001129525</t>
  </si>
  <si>
    <t>TSO001129480</t>
  </si>
  <si>
    <t>TSO001129529</t>
  </si>
  <si>
    <t>01,10,26</t>
  </si>
  <si>
    <t>TSO001129558</t>
  </si>
  <si>
    <t>TSO001129896</t>
  </si>
  <si>
    <t>TSO001129818</t>
  </si>
  <si>
    <t>TSO001129850</t>
  </si>
  <si>
    <t>TSO001129866</t>
  </si>
  <si>
    <t>TSO001129901</t>
  </si>
  <si>
    <t>ООО НВ Тс209072-26 29.09.2026 Мелитополь 13283кг (Должков)</t>
  </si>
  <si>
    <t>ООО КСК ТРЕЙД Тс209435-26 29.09.2026 Крым 1235кг (Антонов)</t>
  </si>
  <si>
    <t>ООО ЛП Тс208660-26 29.09.2026 Вояж 2750кг (Жабкин)</t>
  </si>
  <si>
    <t>ООО НВ Тс207806-26 29.09.2026 Луганск 9550кг (Жабкин)</t>
  </si>
  <si>
    <t>ООО НВ Тс208174-26 29.09.2026 Горняк-Горловка 913кг (Решетников)</t>
  </si>
  <si>
    <t>ООО НВ Тс209074-26 29.09.2026 Горняяк-Луганск 7436кг (Решетников)</t>
  </si>
  <si>
    <t>ООО НВ Тс208938-26 29.09.2026 Луганск(2) 602кг (Решетников)</t>
  </si>
  <si>
    <t>ООО НВ Тс209044-26 29.09.2026 Луганск 8132кг (Решетников)</t>
  </si>
  <si>
    <t>ООО НВ Тс209932-26 29.09.2026 Луганск(3) 612кг (Решетников)</t>
  </si>
  <si>
    <t>ООО НВ Тс209060-26 29.09.2026 Мариуполь 3699кг (Должков)</t>
  </si>
  <si>
    <t>30,09,26</t>
  </si>
  <si>
    <t>02,10,26</t>
  </si>
  <si>
    <t>03,10,26</t>
  </si>
  <si>
    <t>TSO001130228</t>
  </si>
  <si>
    <t>TSO001130230</t>
  </si>
  <si>
    <t>TSO001130232</t>
  </si>
  <si>
    <t>TSO001130162</t>
  </si>
  <si>
    <t>TSO001130185</t>
  </si>
  <si>
    <t>TSO001130211</t>
  </si>
  <si>
    <t>TSO001130221</t>
  </si>
  <si>
    <t>TSO001130287</t>
  </si>
  <si>
    <t>TSO001130312</t>
  </si>
  <si>
    <t>TSO001130313</t>
  </si>
  <si>
    <t>TSO001130320</t>
  </si>
  <si>
    <t>TSO001130321</t>
  </si>
  <si>
    <t>TSO001130322</t>
  </si>
  <si>
    <t>ООО КСК ТРЕЙД Тс210276-26 30.09.2026 Крым 16633кг (Исаков)</t>
  </si>
  <si>
    <t>ООО КСК ТРЕЙД Тс208128-26 30.09.2026 Колесник 11643кг (Надеин)</t>
  </si>
  <si>
    <t>ООО НВ Тс210281-26 30.09.2026 Бердянск 4984кг (Надеин)</t>
  </si>
  <si>
    <t>ООО НВ Тс211094-26 30.09.2026 Бердянск(2) 604кг (Надеин)</t>
  </si>
  <si>
    <t>ООО НВ Тс211451-26 30.09.2026 Бердянск(3) 405кг (Надеин)</t>
  </si>
  <si>
    <t>ООО НВ Тс209931-26 29.09.2026 Мелитополь(2) 823кг (Должков)</t>
  </si>
  <si>
    <t>отгружен</t>
  </si>
  <si>
    <t>ООО ЛП Тс211443-26 01.10.2026 Пушкарный 8493кг (Латий)</t>
  </si>
  <si>
    <t>ООО КСК ТРЕЙД Тс210277-26 30.09.2026 Крым(2) 540кг (Исаков)</t>
  </si>
  <si>
    <t>ООО КСК ТРЕЙД Тс209088-26 29.09.2026 Крым 16019кг (Антонов)</t>
  </si>
  <si>
    <t>04,10,26</t>
  </si>
  <si>
    <t>TSO001130696</t>
  </si>
  <si>
    <t>TSO001130695</t>
  </si>
  <si>
    <t>TSO001130673</t>
  </si>
  <si>
    <t>TSO001130677</t>
  </si>
  <si>
    <t>TSO001130689</t>
  </si>
  <si>
    <t>TSO001130690</t>
  </si>
  <si>
    <t>TSO001130691</t>
  </si>
  <si>
    <t>TSO001130692</t>
  </si>
  <si>
    <t>TSO001130710</t>
  </si>
  <si>
    <t>ООО ЛП Тс211444-26 01.10.2026 Малахутин 3753кг (Бакалюк)</t>
  </si>
  <si>
    <t>ООО ЛП Тс211445-26 01.10.2026 ПРС 920кг (Бакалюк)</t>
  </si>
  <si>
    <t>ООО НВ Тс209073-26 01.10.2026 Бутырин 2220кг (Бакалюк)</t>
  </si>
  <si>
    <t>ООО НВ Тс211620-26 01.10.2026 Донецк 9911кг (Бакалюк)</t>
  </si>
  <si>
    <t>ООО НВ Тс211621-26 01.10.2026 Донецк(2) 811кг (Бакалюк)</t>
  </si>
  <si>
    <t>TSO001131113</t>
  </si>
  <si>
    <t>TSO001131133</t>
  </si>
  <si>
    <t>TSO001131134</t>
  </si>
  <si>
    <t>05,10,26</t>
  </si>
  <si>
    <t>КИ - 26 паллет + СЫРЫ</t>
  </si>
  <si>
    <t>06,10,26</t>
  </si>
  <si>
    <t>TSO001131359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</si>
</sst>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8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1"/>
      <color rgb="FF2C2D2E"/>
      <name val="Arial"/>
      <family val="2"/>
      <charset val="204"/>
    </font>
  </fonts>
  <fills count="48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91">
    <xf numFmtId="0" fontId="0" fillId="0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3" borderId="0"/>
    <xf numFmtId="0" fontId="4" fillId="3" borderId="0"/>
    <xf numFmtId="0" fontId="4" fillId="2" borderId="0"/>
    <xf numFmtId="0" fontId="4" fillId="2" borderId="0"/>
    <xf numFmtId="0" fontId="4" fillId="4" borderId="0"/>
    <xf numFmtId="0" fontId="4" fillId="4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5" fillId="2" borderId="1"/>
    <xf numFmtId="0" fontId="5" fillId="2" borderId="1"/>
    <xf numFmtId="0" fontId="6" fillId="2" borderId="2"/>
    <xf numFmtId="0" fontId="6" fillId="2" borderId="2"/>
    <xf numFmtId="0" fontId="7" fillId="2" borderId="1"/>
    <xf numFmtId="0" fontId="7" fillId="2" borderId="1"/>
    <xf numFmtId="0" fontId="8" fillId="0" borderId="3"/>
    <xf numFmtId="0" fontId="8" fillId="0" borderId="3"/>
    <xf numFmtId="0" fontId="9" fillId="0" borderId="4"/>
    <xf numFmtId="0" fontId="9" fillId="0" borderId="4"/>
    <xf numFmtId="0" fontId="10" fillId="0" borderId="5"/>
    <xf numFmtId="0" fontId="10" fillId="0" borderId="5"/>
    <xf numFmtId="0" fontId="10" fillId="0" borderId="0"/>
    <xf numFmtId="0" fontId="10" fillId="0" borderId="0"/>
    <xf numFmtId="0" fontId="7" fillId="0" borderId="6"/>
    <xf numFmtId="0" fontId="7" fillId="0" borderId="6"/>
    <xf numFmtId="0" fontId="7" fillId="2" borderId="7"/>
    <xf numFmtId="0" fontId="7" fillId="2" borderId="7"/>
    <xf numFmtId="0" fontId="11" fillId="0" borderId="0"/>
    <xf numFmtId="0" fontId="11" fillId="0" borderId="0"/>
    <xf numFmtId="0" fontId="12" fillId="2" borderId="0"/>
    <xf numFmtId="0" fontId="12" fillId="2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0" borderId="0"/>
    <xf numFmtId="0" fontId="4" fillId="2" borderId="0"/>
    <xf numFmtId="0" fontId="4" fillId="2" borderId="0"/>
    <xf numFmtId="0" fontId="15" fillId="0" borderId="0"/>
    <xf numFmtId="0" fontId="15" fillId="0" borderId="0"/>
    <xf numFmtId="0" fontId="13" fillId="2" borderId="1"/>
    <xf numFmtId="0" fontId="13" fillId="2" borderId="1"/>
    <xf numFmtId="0" fontId="13" fillId="2" borderId="1"/>
    <xf numFmtId="0" fontId="13" fillId="2" borderId="1"/>
    <xf numFmtId="0" fontId="4" fillId="0" borderId="8"/>
    <xf numFmtId="0" fontId="4" fillId="0" borderId="8"/>
    <xf numFmtId="0" fontId="4" fillId="0" borderId="0"/>
    <xf numFmtId="0" fontId="4" fillId="0" borderId="0"/>
    <xf numFmtId="0" fontId="4" fillId="2" borderId="0"/>
    <xf numFmtId="0" fontId="4" fillId="2" borderId="0"/>
    <xf numFmtId="0" fontId="24" fillId="21" borderId="0"/>
    <xf numFmtId="0" fontId="24" fillId="22" borderId="0"/>
    <xf numFmtId="0" fontId="24" fillId="23" borderId="0"/>
    <xf numFmtId="0" fontId="24" fillId="24" borderId="0"/>
    <xf numFmtId="0" fontId="24" fillId="20" borderId="0"/>
    <xf numFmtId="0" fontId="24" fillId="18" borderId="0"/>
    <xf numFmtId="0" fontId="24" fillId="28" borderId="0"/>
    <xf numFmtId="0" fontId="24" fillId="26" borderId="0"/>
    <xf numFmtId="0" fontId="24" fillId="29" borderId="0"/>
    <xf numFmtId="0" fontId="24" fillId="24" borderId="0"/>
    <xf numFmtId="0" fontId="24" fillId="28" borderId="0"/>
    <xf numFmtId="0" fontId="24" fillId="30" borderId="0"/>
    <xf numFmtId="0" fontId="25" fillId="32" borderId="0"/>
    <xf numFmtId="0" fontId="25" fillId="26" borderId="0"/>
    <xf numFmtId="0" fontId="25" fillId="29" borderId="0"/>
    <xf numFmtId="0" fontId="25" fillId="33" borderId="0"/>
    <xf numFmtId="0" fontId="25" fillId="31" borderId="0"/>
    <xf numFmtId="0" fontId="25" fillId="34" borderId="0"/>
    <xf numFmtId="0" fontId="25" fillId="39" borderId="0"/>
    <xf numFmtId="0" fontId="25" fillId="35" borderId="0"/>
    <xf numFmtId="0" fontId="25" fillId="36" borderId="0"/>
    <xf numFmtId="0" fontId="25" fillId="33" borderId="0"/>
    <xf numFmtId="0" fontId="25" fillId="31" borderId="0"/>
    <xf numFmtId="0" fontId="25" fillId="37" borderId="0"/>
    <xf numFmtId="0" fontId="26" fillId="18" borderId="58"/>
    <xf numFmtId="0" fontId="27" fillId="25" borderId="63"/>
    <xf numFmtId="0" fontId="28" fillId="25" borderId="58"/>
    <xf numFmtId="0" fontId="29" fillId="0" borderId="64"/>
    <xf numFmtId="0" fontId="30" fillId="0" borderId="60"/>
    <xf numFmtId="0" fontId="31" fillId="0" borderId="65"/>
    <xf numFmtId="0" fontId="31" fillId="0" borderId="0"/>
    <xf numFmtId="0" fontId="32" fillId="0" borderId="66"/>
    <xf numFmtId="0" fontId="33" fillId="38" borderId="59"/>
    <xf numFmtId="0" fontId="34" fillId="0" borderId="0"/>
    <xf numFmtId="0" fontId="35" fillId="27" borderId="0"/>
    <xf numFmtId="0" fontId="3" fillId="0" borderId="0"/>
    <xf numFmtId="0" fontId="3" fillId="0" borderId="0"/>
    <xf numFmtId="0" fontId="3" fillId="0" borderId="0"/>
    <xf numFmtId="0" fontId="36" fillId="22" borderId="0"/>
    <xf numFmtId="0" fontId="37" fillId="0" borderId="0"/>
    <xf numFmtId="0" fontId="13" fillId="19" borderId="62"/>
    <xf numFmtId="0" fontId="13" fillId="19" borderId="62"/>
    <xf numFmtId="0" fontId="38" fillId="0" borderId="61"/>
    <xf numFmtId="0" fontId="39" fillId="0" borderId="0"/>
    <xf numFmtId="0" fontId="40" fillId="23" borderId="0"/>
    <xf numFmtId="0" fontId="2" fillId="0" borderId="0"/>
    <xf numFmtId="0" fontId="2" fillId="0" borderId="0"/>
    <xf numFmtId="0" fontId="2" fillId="0" borderId="0"/>
    <xf numFmtId="0" fontId="24" fillId="21" borderId="0" applyNumberFormat="0" applyBorder="0" applyAlignment="0" applyProtection="0"/>
    <xf numFmtId="0" fontId="24" fillId="22" borderId="0" applyNumberFormat="0" applyBorder="0" applyAlignment="0" applyProtection="0"/>
    <xf numFmtId="0" fontId="24" fillId="23" borderId="0" applyNumberFormat="0" applyBorder="0" applyAlignment="0" applyProtection="0"/>
    <xf numFmtId="0" fontId="24" fillId="24" borderId="0" applyNumberFormat="0" applyBorder="0" applyAlignment="0" applyProtection="0"/>
    <xf numFmtId="0" fontId="24" fillId="20" borderId="0" applyNumberFormat="0" applyBorder="0" applyAlignment="0" applyProtection="0"/>
    <xf numFmtId="0" fontId="24" fillId="18" borderId="0" applyNumberFormat="0" applyBorder="0" applyAlignment="0" applyProtection="0"/>
    <xf numFmtId="0" fontId="24" fillId="28" borderId="0" applyNumberFormat="0" applyBorder="0" applyAlignment="0" applyProtection="0"/>
    <xf numFmtId="0" fontId="24" fillId="26" borderId="0" applyNumberFormat="0" applyBorder="0" applyAlignment="0" applyProtection="0"/>
    <xf numFmtId="0" fontId="24" fillId="29" borderId="0" applyNumberFormat="0" applyBorder="0" applyAlignment="0" applyProtection="0"/>
    <xf numFmtId="0" fontId="24" fillId="24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5" fillId="32" borderId="0" applyNumberFormat="0" applyBorder="0" applyAlignment="0" applyProtection="0"/>
    <xf numFmtId="0" fontId="25" fillId="26" borderId="0" applyNumberFormat="0" applyBorder="0" applyAlignment="0" applyProtection="0"/>
    <xf numFmtId="0" fontId="25" fillId="29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4" borderId="0" applyNumberFormat="0" applyBorder="0" applyAlignment="0" applyProtection="0"/>
    <xf numFmtId="0" fontId="25" fillId="39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7" borderId="0" applyNumberFormat="0" applyBorder="0" applyAlignment="0" applyProtection="0"/>
    <xf numFmtId="0" fontId="26" fillId="18" borderId="58" applyNumberFormat="0" applyAlignment="0" applyProtection="0"/>
    <xf numFmtId="0" fontId="27" fillId="25" borderId="63" applyNumberFormat="0" applyAlignment="0" applyProtection="0"/>
    <xf numFmtId="0" fontId="28" fillId="25" borderId="58" applyNumberFormat="0" applyAlignment="0" applyProtection="0"/>
    <xf numFmtId="0" fontId="29" fillId="0" borderId="64" applyNumberFormat="0" applyFill="0" applyAlignment="0" applyProtection="0"/>
    <xf numFmtId="0" fontId="30" fillId="0" borderId="60" applyNumberFormat="0" applyFill="0" applyAlignment="0" applyProtection="0"/>
    <xf numFmtId="0" fontId="31" fillId="0" borderId="65" applyNumberFormat="0" applyFill="0" applyAlignment="0" applyProtection="0"/>
    <xf numFmtId="0" fontId="31" fillId="0" borderId="0" applyNumberFormat="0" applyFill="0" applyBorder="0" applyAlignment="0" applyProtection="0"/>
    <xf numFmtId="0" fontId="32" fillId="0" borderId="66" applyNumberFormat="0" applyFill="0" applyAlignment="0" applyProtection="0"/>
    <xf numFmtId="0" fontId="33" fillId="38" borderId="59" applyNumberFormat="0" applyAlignment="0" applyProtection="0"/>
    <xf numFmtId="0" fontId="34" fillId="0" borderId="0" applyNumberFormat="0" applyFill="0" applyBorder="0" applyAlignment="0" applyProtection="0"/>
    <xf numFmtId="0" fontId="35" fillId="2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36" fillId="22" borderId="0" applyNumberFormat="0" applyBorder="0" applyAlignment="0" applyProtection="0"/>
    <xf numFmtId="0" fontId="37" fillId="0" borderId="0" applyNumberFormat="0" applyFill="0" applyBorder="0" applyAlignment="0" applyProtection="0"/>
    <xf numFmtId="0" fontId="13" fillId="19" borderId="62" applyNumberFormat="0" applyFont="0" applyAlignment="0" applyProtection="0"/>
    <xf numFmtId="0" fontId="13" fillId="19" borderId="62" applyNumberFormat="0" applyFont="0" applyAlignment="0" applyProtection="0"/>
    <xf numFmtId="0" fontId="38" fillId="0" borderId="61" applyNumberFormat="0" applyFill="0" applyAlignment="0" applyProtection="0"/>
    <xf numFmtId="0" fontId="39" fillId="0" borderId="0" applyNumberFormat="0" applyFill="0" applyBorder="0" applyAlignment="0" applyProtection="0"/>
    <xf numFmtId="0" fontId="40" fillId="23" borderId="0" applyNumberFormat="0" applyBorder="0" applyAlignment="0" applyProtection="0"/>
  </cellStyleXfs>
  <cellXfs count="1160">
    <xf numFmtId="0" fontId="0" fillId="0" borderId="0" xfId="0"/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164" fontId="16" fillId="0" borderId="0" xfId="0" applyNumberFormat="1" applyFont="1" applyAlignment="1">
      <alignment horizontal="center" vertical="center" wrapText="1"/>
    </xf>
    <xf numFmtId="164" fontId="17" fillId="0" borderId="0" xfId="0" applyNumberFormat="1" applyFont="1" applyAlignment="1">
      <alignment horizontal="center" vertical="center" wrapText="1"/>
    </xf>
    <xf numFmtId="49" fontId="16" fillId="0" borderId="0" xfId="0" applyNumberFormat="1" applyFont="1" applyAlignment="1">
      <alignment horizontal="left" vertical="center" wrapText="1"/>
    </xf>
    <xf numFmtId="0" fontId="18" fillId="0" borderId="0" xfId="0" applyFont="1" applyAlignment="1">
      <alignment horizontal="center" vertical="center" wrapText="1"/>
    </xf>
    <xf numFmtId="49" fontId="16" fillId="0" borderId="0" xfId="0" applyNumberFormat="1" applyFont="1" applyAlignment="1">
      <alignment horizontal="center" vertical="center" wrapText="1"/>
    </xf>
    <xf numFmtId="0" fontId="19" fillId="5" borderId="10" xfId="0" applyFont="1" applyFill="1" applyBorder="1" applyAlignment="1">
      <alignment vertical="center" wrapText="1"/>
    </xf>
    <xf numFmtId="0" fontId="19" fillId="5" borderId="11" xfId="0" applyFont="1" applyFill="1" applyBorder="1" applyAlignment="1">
      <alignment horizontal="center" vertical="center" wrapText="1"/>
    </xf>
    <xf numFmtId="0" fontId="19" fillId="5" borderId="12" xfId="0" applyFont="1" applyFill="1" applyBorder="1" applyAlignment="1">
      <alignment vertical="center" wrapText="1"/>
    </xf>
    <xf numFmtId="0" fontId="19" fillId="5" borderId="13" xfId="0" applyFont="1" applyFill="1" applyBorder="1" applyAlignment="1">
      <alignment vertical="center" wrapText="1"/>
    </xf>
    <xf numFmtId="164" fontId="19" fillId="5" borderId="13" xfId="0" applyNumberFormat="1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49" fontId="19" fillId="5" borderId="13" xfId="0" applyNumberFormat="1" applyFont="1" applyFill="1" applyBorder="1" applyAlignment="1">
      <alignment vertical="center" wrapText="1"/>
    </xf>
    <xf numFmtId="0" fontId="18" fillId="5" borderId="13" xfId="0" applyFont="1" applyFill="1" applyBorder="1" applyAlignment="1">
      <alignment vertical="center" wrapText="1"/>
    </xf>
    <xf numFmtId="49" fontId="19" fillId="5" borderId="14" xfId="0" applyNumberFormat="1" applyFont="1" applyFill="1" applyBorder="1" applyAlignment="1">
      <alignment vertical="center" wrapText="1"/>
    </xf>
    <xf numFmtId="0" fontId="19" fillId="5" borderId="13" xfId="0" applyFont="1" applyFill="1" applyBorder="1" applyAlignment="1">
      <alignment horizontal="center" vertical="center" wrapText="1"/>
    </xf>
    <xf numFmtId="0" fontId="19" fillId="5" borderId="14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7" fillId="6" borderId="16" xfId="0" applyNumberFormat="1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49" fontId="16" fillId="6" borderId="16" xfId="0" applyNumberFormat="1" applyFont="1" applyFill="1" applyBorder="1" applyAlignment="1">
      <alignment horizontal="left" vertical="center" wrapText="1"/>
    </xf>
    <xf numFmtId="49" fontId="16" fillId="6" borderId="16" xfId="0" applyNumberFormat="1" applyFont="1" applyFill="1" applyBorder="1" applyAlignment="1">
      <alignment horizontal="center" vertical="center" wrapText="1"/>
    </xf>
    <xf numFmtId="49" fontId="17" fillId="6" borderId="16" xfId="0" applyNumberFormat="1" applyFont="1" applyFill="1" applyBorder="1" applyAlignment="1">
      <alignment horizontal="center" vertical="center" wrapText="1"/>
    </xf>
    <xf numFmtId="49" fontId="16" fillId="6" borderId="17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vertical="center" wrapText="1"/>
    </xf>
    <xf numFmtId="164" fontId="16" fillId="6" borderId="18" xfId="0" applyNumberFormat="1" applyFont="1" applyFill="1" applyBorder="1" applyAlignment="1">
      <alignment horizontal="center" vertical="center" wrapText="1"/>
    </xf>
    <xf numFmtId="164" fontId="17" fillId="6" borderId="18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horizontal="center" vertical="center" wrapText="1"/>
    </xf>
    <xf numFmtId="49" fontId="16" fillId="6" borderId="18" xfId="0" applyNumberFormat="1" applyFont="1" applyFill="1" applyBorder="1" applyAlignment="1">
      <alignment horizontal="left" vertical="center" wrapText="1"/>
    </xf>
    <xf numFmtId="49" fontId="16" fillId="6" borderId="18" xfId="0" applyNumberFormat="1" applyFont="1" applyFill="1" applyBorder="1" applyAlignment="1">
      <alignment horizontal="center" vertical="center" wrapText="1"/>
    </xf>
    <xf numFmtId="49" fontId="17" fillId="6" borderId="18" xfId="0" applyNumberFormat="1" applyFont="1" applyFill="1" applyBorder="1" applyAlignment="1">
      <alignment horizontal="center" vertical="center" wrapText="1"/>
    </xf>
    <xf numFmtId="49" fontId="16" fillId="6" borderId="19" xfId="0" applyNumberFormat="1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7" fillId="7" borderId="13" xfId="0" applyNumberFormat="1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8" fillId="7" borderId="14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7" fillId="6" borderId="20" xfId="0" applyNumberFormat="1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49" fontId="16" fillId="6" borderId="20" xfId="0" applyNumberFormat="1" applyFont="1" applyFill="1" applyBorder="1" applyAlignment="1">
      <alignment horizontal="left" vertical="center" wrapText="1"/>
    </xf>
    <xf numFmtId="49" fontId="16" fillId="6" borderId="20" xfId="0" applyNumberFormat="1" applyFont="1" applyFill="1" applyBorder="1" applyAlignment="1">
      <alignment horizontal="center" vertical="center" wrapText="1"/>
    </xf>
    <xf numFmtId="49" fontId="17" fillId="6" borderId="20" xfId="0" applyNumberFormat="1" applyFont="1" applyFill="1" applyBorder="1" applyAlignment="1">
      <alignment horizontal="center" vertical="center" wrapText="1"/>
    </xf>
    <xf numFmtId="49" fontId="16" fillId="6" borderId="2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vertical="center" wrapText="1"/>
    </xf>
    <xf numFmtId="164" fontId="16" fillId="6" borderId="1" xfId="0" applyNumberFormat="1" applyFont="1" applyFill="1" applyBorder="1" applyAlignment="1">
      <alignment horizontal="center" vertical="center" wrapText="1"/>
    </xf>
    <xf numFmtId="164" fontId="17" fillId="6" borderId="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49" fontId="16" fillId="6" borderId="1" xfId="0" applyNumberFormat="1" applyFont="1" applyFill="1" applyBorder="1" applyAlignment="1">
      <alignment horizontal="left" vertical="center" wrapText="1"/>
    </xf>
    <xf numFmtId="49" fontId="16" fillId="6" borderId="1" xfId="0" applyNumberFormat="1" applyFont="1" applyFill="1" applyBorder="1" applyAlignment="1">
      <alignment horizontal="center" vertical="center" wrapText="1"/>
    </xf>
    <xf numFmtId="49" fontId="17" fillId="6" borderId="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23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vertical="center" wrapText="1"/>
    </xf>
    <xf numFmtId="164" fontId="16" fillId="7" borderId="24" xfId="0" applyNumberFormat="1" applyFont="1" applyFill="1" applyBorder="1" applyAlignment="1">
      <alignment horizontal="center" vertical="center" wrapText="1"/>
    </xf>
    <xf numFmtId="164" fontId="17" fillId="7" borderId="24" xfId="0" applyNumberFormat="1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49" fontId="16" fillId="7" borderId="24" xfId="0" applyNumberFormat="1" applyFont="1" applyFill="1" applyBorder="1" applyAlignment="1">
      <alignment horizontal="left" vertical="center" wrapText="1"/>
    </xf>
    <xf numFmtId="0" fontId="18" fillId="7" borderId="25" xfId="0" applyFont="1" applyFill="1" applyBorder="1" applyAlignment="1">
      <alignment horizontal="center" vertical="center" wrapText="1"/>
    </xf>
    <xf numFmtId="49" fontId="16" fillId="7" borderId="25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vertical="center" wrapText="1"/>
    </xf>
    <xf numFmtId="164" fontId="17" fillId="6" borderId="11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7" fillId="6" borderId="13" xfId="0" applyNumberFormat="1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8" fillId="6" borderId="14" xfId="0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7" fillId="7" borderId="20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49" fontId="16" fillId="7" borderId="20" xfId="0" applyNumberFormat="1" applyFont="1" applyFill="1" applyBorder="1" applyAlignment="1">
      <alignment horizontal="left" vertical="center" wrapText="1"/>
    </xf>
    <xf numFmtId="49" fontId="16" fillId="7" borderId="20" xfId="0" applyNumberFormat="1" applyFont="1" applyFill="1" applyBorder="1" applyAlignment="1">
      <alignment horizontal="center" vertical="center" wrapText="1"/>
    </xf>
    <xf numFmtId="49" fontId="17" fillId="7" borderId="20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vertical="center" wrapText="1"/>
    </xf>
    <xf numFmtId="164" fontId="16" fillId="7" borderId="18" xfId="0" applyNumberFormat="1" applyFont="1" applyFill="1" applyBorder="1" applyAlignment="1">
      <alignment horizontal="center" vertical="center" wrapText="1"/>
    </xf>
    <xf numFmtId="164" fontId="17" fillId="7" borderId="1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6" fillId="7" borderId="18" xfId="0" applyNumberFormat="1" applyFont="1" applyFill="1" applyBorder="1" applyAlignment="1">
      <alignment horizontal="left" vertical="center" wrapText="1"/>
    </xf>
    <xf numFmtId="49" fontId="16" fillId="7" borderId="18" xfId="0" applyNumberFormat="1" applyFont="1" applyFill="1" applyBorder="1" applyAlignment="1">
      <alignment horizontal="center" vertical="center" wrapText="1"/>
    </xf>
    <xf numFmtId="49" fontId="17" fillId="7" borderId="18" xfId="0" applyNumberFormat="1" applyFont="1" applyFill="1" applyBorder="1" applyAlignment="1">
      <alignment horizontal="center" vertical="center" wrapText="1"/>
    </xf>
    <xf numFmtId="49" fontId="16" fillId="7" borderId="19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vertical="center" wrapText="1"/>
    </xf>
    <xf numFmtId="164" fontId="16" fillId="7" borderId="1" xfId="0" applyNumberFormat="1" applyFont="1" applyFill="1" applyBorder="1" applyAlignment="1">
      <alignment horizontal="center" vertical="center" wrapText="1"/>
    </xf>
    <xf numFmtId="164" fontId="17" fillId="7" borderId="16" xfId="0" applyNumberFormat="1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49" fontId="16" fillId="7" borderId="1" xfId="0" applyNumberFormat="1" applyFont="1" applyFill="1" applyBorder="1" applyAlignment="1">
      <alignment horizontal="left" vertical="center" wrapText="1"/>
    </xf>
    <xf numFmtId="49" fontId="16" fillId="7" borderId="1" xfId="0" applyNumberFormat="1" applyFont="1" applyFill="1" applyBorder="1" applyAlignment="1">
      <alignment horizontal="center" vertical="center" wrapText="1"/>
    </xf>
    <xf numFmtId="49" fontId="17" fillId="7" borderId="1" xfId="0" applyNumberFormat="1" applyFont="1" applyFill="1" applyBorder="1" applyAlignment="1">
      <alignment horizontal="center" vertical="center" wrapText="1"/>
    </xf>
    <xf numFmtId="49" fontId="16" fillId="7" borderId="22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vertical="center" wrapText="1"/>
    </xf>
    <xf numFmtId="0" fontId="18" fillId="7" borderId="13" xfId="0" applyFont="1" applyFill="1" applyBorder="1" applyAlignment="1">
      <alignment horizontal="center" vertical="center" wrapText="1"/>
    </xf>
    <xf numFmtId="0" fontId="18" fillId="6" borderId="13" xfId="0" applyFont="1" applyFill="1" applyBorder="1" applyAlignment="1">
      <alignment horizontal="center" vertical="center" wrapText="1"/>
    </xf>
    <xf numFmtId="164" fontId="17" fillId="7" borderId="18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164" fontId="17" fillId="7" borderId="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6" borderId="26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7" fillId="7" borderId="20" xfId="0" applyFont="1" applyFill="1" applyBorder="1" applyAlignment="1">
      <alignment horizontal="center" vertical="center" wrapText="1"/>
    </xf>
    <xf numFmtId="0" fontId="17" fillId="7" borderId="18" xfId="0" applyFont="1" applyFill="1" applyBorder="1" applyAlignment="1">
      <alignment horizontal="center" vertical="center" wrapText="1"/>
    </xf>
    <xf numFmtId="0" fontId="17" fillId="6" borderId="20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vertical="center" wrapText="1"/>
    </xf>
    <xf numFmtId="164" fontId="16" fillId="7" borderId="10" xfId="0" applyNumberFormat="1" applyFont="1" applyFill="1" applyBorder="1" applyAlignment="1">
      <alignment horizontal="center" vertical="center" wrapText="1"/>
    </xf>
    <xf numFmtId="164" fontId="17" fillId="7" borderId="10" xfId="0" applyNumberFormat="1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7" fillId="7" borderId="10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vertical="center" wrapText="1"/>
    </xf>
    <xf numFmtId="164" fontId="16" fillId="7" borderId="29" xfId="0" applyNumberFormat="1" applyFont="1" applyFill="1" applyBorder="1" applyAlignment="1">
      <alignment horizontal="center" vertical="center" wrapText="1"/>
    </xf>
    <xf numFmtId="164" fontId="17" fillId="7" borderId="29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49" fontId="16" fillId="7" borderId="29" xfId="0" applyNumberFormat="1" applyFont="1" applyFill="1" applyBorder="1" applyAlignment="1">
      <alignment horizontal="left" vertical="center" wrapText="1"/>
    </xf>
    <xf numFmtId="0" fontId="17" fillId="7" borderId="29" xfId="0" applyFont="1" applyFill="1" applyBorder="1" applyAlignment="1">
      <alignment horizontal="center" vertical="center" wrapText="1"/>
    </xf>
    <xf numFmtId="49" fontId="16" fillId="7" borderId="30" xfId="0" applyNumberFormat="1" applyFont="1" applyFill="1" applyBorder="1" applyAlignment="1">
      <alignment horizontal="center" vertical="center" wrapText="1"/>
    </xf>
    <xf numFmtId="0" fontId="16" fillId="6" borderId="32" xfId="0" applyFont="1" applyFill="1" applyBorder="1" applyAlignment="1">
      <alignment horizontal="center" vertical="center" wrapText="1"/>
    </xf>
    <xf numFmtId="0" fontId="16" fillId="6" borderId="33" xfId="0" applyFont="1" applyFill="1" applyBorder="1" applyAlignment="1">
      <alignment horizontal="center" vertical="center" wrapText="1"/>
    </xf>
    <xf numFmtId="0" fontId="16" fillId="7" borderId="34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49" fontId="16" fillId="7" borderId="16" xfId="0" applyNumberFormat="1" applyFont="1" applyFill="1" applyBorder="1" applyAlignment="1">
      <alignment horizontal="left" vertical="center" wrapText="1"/>
    </xf>
    <xf numFmtId="0" fontId="17" fillId="7" borderId="16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horizontal="center" vertical="center" wrapText="1"/>
    </xf>
    <xf numFmtId="0" fontId="16" fillId="7" borderId="35" xfId="0" applyFont="1" applyFill="1" applyBorder="1" applyAlignment="1">
      <alignment horizontal="center" vertical="center" wrapText="1"/>
    </xf>
    <xf numFmtId="0" fontId="16" fillId="7" borderId="36" xfId="0" applyFont="1" applyFill="1" applyBorder="1" applyAlignment="1">
      <alignment horizontal="center" vertical="center" wrapText="1"/>
    </xf>
    <xf numFmtId="0" fontId="16" fillId="6" borderId="37" xfId="0" applyFont="1" applyFill="1" applyBorder="1" applyAlignment="1">
      <alignment horizontal="center" vertical="center" wrapText="1"/>
    </xf>
    <xf numFmtId="0" fontId="16" fillId="6" borderId="36" xfId="0" applyFont="1" applyFill="1" applyBorder="1" applyAlignment="1">
      <alignment horizontal="center" vertical="center" wrapText="1"/>
    </xf>
    <xf numFmtId="0" fontId="16" fillId="7" borderId="37" xfId="0" applyFont="1" applyFill="1" applyBorder="1" applyAlignment="1">
      <alignment horizontal="center" vertical="center" wrapText="1"/>
    </xf>
    <xf numFmtId="0" fontId="16" fillId="6" borderId="35" xfId="0" applyFont="1" applyFill="1" applyBorder="1" applyAlignment="1">
      <alignment horizontal="center" vertical="center" wrapText="1"/>
    </xf>
    <xf numFmtId="0" fontId="18" fillId="7" borderId="20" xfId="0" applyFont="1" applyFill="1" applyBorder="1" applyAlignment="1">
      <alignment horizontal="center" vertical="center" wrapText="1"/>
    </xf>
    <xf numFmtId="0" fontId="18" fillId="7" borderId="1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39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left" vertical="center" wrapText="1"/>
    </xf>
    <xf numFmtId="0" fontId="18" fillId="7" borderId="10" xfId="0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6" borderId="39" xfId="0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vertical="center" wrapText="1"/>
    </xf>
    <xf numFmtId="164" fontId="16" fillId="6" borderId="10" xfId="0" applyNumberFormat="1" applyFont="1" applyFill="1" applyBorder="1" applyAlignment="1">
      <alignment horizontal="center" vertical="center" wrapText="1"/>
    </xf>
    <xf numFmtId="164" fontId="17" fillId="6" borderId="10" xfId="0" applyNumberFormat="1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center" vertical="center" wrapText="1"/>
    </xf>
    <xf numFmtId="49" fontId="16" fillId="6" borderId="27" xfId="0" applyNumberFormat="1" applyFont="1" applyFill="1" applyBorder="1" applyAlignment="1">
      <alignment horizontal="center" vertical="center" wrapText="1"/>
    </xf>
    <xf numFmtId="0" fontId="17" fillId="6" borderId="13" xfId="0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6" fillId="6" borderId="40" xfId="0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6" fillId="6" borderId="11" xfId="0" applyNumberFormat="1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center" vertical="center" wrapText="1"/>
    </xf>
    <xf numFmtId="49" fontId="16" fillId="6" borderId="41" xfId="0" applyNumberFormat="1" applyFont="1" applyFill="1" applyBorder="1" applyAlignment="1">
      <alignment horizontal="center" vertical="center" wrapText="1"/>
    </xf>
    <xf numFmtId="0" fontId="16" fillId="7" borderId="40" xfId="0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49" fontId="16" fillId="7" borderId="11" xfId="0" applyNumberFormat="1" applyFont="1" applyFill="1" applyBorder="1" applyAlignment="1">
      <alignment horizontal="left" vertical="center" wrapText="1"/>
    </xf>
    <xf numFmtId="0" fontId="18" fillId="7" borderId="11" xfId="0" applyFont="1" applyFill="1" applyBorder="1" applyAlignment="1">
      <alignment horizontal="center" vertical="center" wrapText="1"/>
    </xf>
    <xf numFmtId="49" fontId="16" fillId="7" borderId="41" xfId="0" applyNumberFormat="1" applyFont="1" applyFill="1" applyBorder="1" applyAlignment="1">
      <alignment horizontal="center" vertical="center" wrapText="1"/>
    </xf>
    <xf numFmtId="0" fontId="18" fillId="7" borderId="1" xfId="0" applyFont="1" applyFill="1" applyBorder="1" applyAlignment="1">
      <alignment horizontal="center" vertical="center" wrapText="1"/>
    </xf>
    <xf numFmtId="0" fontId="17" fillId="6" borderId="11" xfId="0" applyFont="1" applyFill="1" applyBorder="1" applyAlignment="1">
      <alignment horizontal="center" vertical="center" wrapText="1"/>
    </xf>
    <xf numFmtId="0" fontId="17" fillId="7" borderId="11" xfId="0" applyFont="1" applyFill="1" applyBorder="1" applyAlignment="1">
      <alignment horizontal="center" vertical="center" wrapText="1"/>
    </xf>
    <xf numFmtId="0" fontId="16" fillId="6" borderId="34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8" fillId="6" borderId="16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6" fillId="8" borderId="9" xfId="0" applyFont="1" applyFill="1" applyBorder="1" applyAlignment="1">
      <alignment horizontal="center" vertical="center" wrapText="1"/>
    </xf>
    <xf numFmtId="0" fontId="16" fillId="8" borderId="26" xfId="0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vertical="center" wrapText="1"/>
    </xf>
    <xf numFmtId="164" fontId="16" fillId="8" borderId="13" xfId="0" applyNumberFormat="1" applyFont="1" applyFill="1" applyBorder="1" applyAlignment="1">
      <alignment horizontal="center" vertical="center" wrapText="1"/>
    </xf>
    <xf numFmtId="164" fontId="17" fillId="8" borderId="13" xfId="0" applyNumberFormat="1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horizontal="center" vertical="center" wrapText="1"/>
    </xf>
    <xf numFmtId="49" fontId="16" fillId="8" borderId="13" xfId="0" applyNumberFormat="1" applyFont="1" applyFill="1" applyBorder="1" applyAlignment="1">
      <alignment horizontal="left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6" fillId="6" borderId="42" xfId="0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vertical="center" wrapText="1"/>
    </xf>
    <xf numFmtId="164" fontId="16" fillId="6" borderId="29" xfId="0" applyNumberFormat="1" applyFont="1" applyFill="1" applyBorder="1" applyAlignment="1">
      <alignment horizontal="center" vertical="center" wrapText="1"/>
    </xf>
    <xf numFmtId="164" fontId="17" fillId="6" borderId="29" xfId="0" applyNumberFormat="1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6" fillId="6" borderId="29" xfId="0" applyNumberFormat="1" applyFont="1" applyFill="1" applyBorder="1" applyAlignment="1">
      <alignment horizontal="left" vertical="center" wrapText="1"/>
    </xf>
    <xf numFmtId="0" fontId="18" fillId="6" borderId="29" xfId="0" applyFont="1" applyFill="1" applyBorder="1" applyAlignment="1">
      <alignment horizontal="center" vertical="center" wrapText="1"/>
    </xf>
    <xf numFmtId="49" fontId="16" fillId="6" borderId="30" xfId="0" applyNumberFormat="1" applyFont="1" applyFill="1" applyBorder="1" applyAlignment="1">
      <alignment horizontal="center" vertical="center" wrapText="1"/>
    </xf>
    <xf numFmtId="0" fontId="16" fillId="9" borderId="36" xfId="0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vertical="center" wrapText="1"/>
    </xf>
    <xf numFmtId="164" fontId="16" fillId="9" borderId="18" xfId="0" applyNumberFormat="1" applyFont="1" applyFill="1" applyBorder="1" applyAlignment="1">
      <alignment horizontal="center" vertical="center" wrapText="1"/>
    </xf>
    <xf numFmtId="164" fontId="17" fillId="9" borderId="18" xfId="0" applyNumberFormat="1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6" fillId="9" borderId="18" xfId="0" applyNumberFormat="1" applyFont="1" applyFill="1" applyBorder="1" applyAlignment="1">
      <alignment horizontal="left" vertical="center" wrapText="1"/>
    </xf>
    <xf numFmtId="0" fontId="18" fillId="9" borderId="18" xfId="0" applyFont="1" applyFill="1" applyBorder="1" applyAlignment="1">
      <alignment horizontal="center" vertical="center" wrapText="1"/>
    </xf>
    <xf numFmtId="49" fontId="16" fillId="9" borderId="19" xfId="0" applyNumberFormat="1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6" borderId="21" xfId="0" applyFont="1" applyFill="1" applyBorder="1" applyAlignment="1">
      <alignment horizontal="center" vertical="center" wrapText="1"/>
    </xf>
    <xf numFmtId="0" fontId="18" fillId="6" borderId="44" xfId="0" applyFont="1" applyFill="1" applyBorder="1" applyAlignment="1">
      <alignment horizontal="center" vertical="center" wrapText="1"/>
    </xf>
    <xf numFmtId="0" fontId="18" fillId="6" borderId="45" xfId="0" applyFont="1" applyFill="1" applyBorder="1" applyAlignment="1">
      <alignment horizontal="center" vertical="center" wrapText="1"/>
    </xf>
    <xf numFmtId="0" fontId="18" fillId="7" borderId="44" xfId="0" applyFont="1" applyFill="1" applyBorder="1" applyAlignment="1">
      <alignment horizontal="center" vertical="center" wrapText="1"/>
    </xf>
    <xf numFmtId="0" fontId="18" fillId="7" borderId="46" xfId="0" applyFont="1" applyFill="1" applyBorder="1" applyAlignment="1">
      <alignment horizontal="center" vertical="center" wrapText="1"/>
    </xf>
    <xf numFmtId="0" fontId="18" fillId="7" borderId="45" xfId="0" applyFont="1" applyFill="1" applyBorder="1" applyAlignment="1">
      <alignment horizontal="center" vertical="center" wrapText="1"/>
    </xf>
    <xf numFmtId="0" fontId="16" fillId="9" borderId="9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vertical="center" wrapText="1"/>
    </xf>
    <xf numFmtId="164" fontId="16" fillId="9" borderId="13" xfId="0" applyNumberFormat="1" applyFont="1" applyFill="1" applyBorder="1" applyAlignment="1">
      <alignment horizontal="center" vertical="center" wrapText="1"/>
    </xf>
    <xf numFmtId="164" fontId="17" fillId="9" borderId="13" xfId="0" applyNumberFormat="1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6" fillId="9" borderId="13" xfId="0" applyNumberFormat="1" applyFont="1" applyFill="1" applyBorder="1" applyAlignment="1">
      <alignment horizontal="left" vertical="center" wrapText="1"/>
    </xf>
    <xf numFmtId="49" fontId="16" fillId="9" borderId="41" xfId="0" applyNumberFormat="1" applyFont="1" applyFill="1" applyBorder="1" applyAlignment="1">
      <alignment horizontal="center" vertical="center" wrapText="1"/>
    </xf>
    <xf numFmtId="0" fontId="16" fillId="11" borderId="9" xfId="0" applyFont="1" applyFill="1" applyBorder="1" applyAlignment="1">
      <alignment horizontal="center" vertical="center" wrapText="1"/>
    </xf>
    <xf numFmtId="0" fontId="16" fillId="11" borderId="26" xfId="0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vertical="center" wrapText="1"/>
    </xf>
    <xf numFmtId="164" fontId="16" fillId="11" borderId="13" xfId="0" applyNumberFormat="1" applyFont="1" applyFill="1" applyBorder="1" applyAlignment="1">
      <alignment horizontal="center" vertical="center" wrapText="1"/>
    </xf>
    <xf numFmtId="164" fontId="17" fillId="11" borderId="13" xfId="0" applyNumberFormat="1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6" fillId="11" borderId="13" xfId="0" applyNumberFormat="1" applyFont="1" applyFill="1" applyBorder="1" applyAlignment="1">
      <alignment horizontal="left" vertical="center" wrapText="1"/>
    </xf>
    <xf numFmtId="0" fontId="18" fillId="11" borderId="13" xfId="0" applyFont="1" applyFill="1" applyBorder="1" applyAlignment="1">
      <alignment horizontal="center" vertical="center" wrapText="1"/>
    </xf>
    <xf numFmtId="49" fontId="16" fillId="11" borderId="14" xfId="0" applyNumberFormat="1" applyFont="1" applyFill="1" applyBorder="1" applyAlignment="1">
      <alignment horizontal="center" vertical="center" wrapText="1"/>
    </xf>
    <xf numFmtId="0" fontId="16" fillId="7" borderId="32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vertical="center" wrapText="1"/>
    </xf>
    <xf numFmtId="0" fontId="17" fillId="11" borderId="13" xfId="0" applyFont="1" applyFill="1" applyBorder="1" applyAlignment="1">
      <alignment horizontal="center" vertical="center" wrapText="1"/>
    </xf>
    <xf numFmtId="0" fontId="16" fillId="7" borderId="47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vertical="center" wrapText="1"/>
    </xf>
    <xf numFmtId="0" fontId="16" fillId="9" borderId="48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vertical="center" wrapText="1"/>
    </xf>
    <xf numFmtId="164" fontId="16" fillId="9" borderId="1" xfId="0" applyNumberFormat="1" applyFont="1" applyFill="1" applyBorder="1" applyAlignment="1">
      <alignment horizontal="center" vertical="center" wrapText="1"/>
    </xf>
    <xf numFmtId="164" fontId="17" fillId="9" borderId="1" xfId="0" applyNumberFormat="1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6" fillId="9" borderId="1" xfId="0" applyNumberFormat="1" applyFont="1" applyFill="1" applyBorder="1" applyAlignment="1">
      <alignment horizontal="left" vertical="center" wrapText="1"/>
    </xf>
    <xf numFmtId="0" fontId="18" fillId="9" borderId="1" xfId="0" applyFont="1" applyFill="1" applyBorder="1" applyAlignment="1">
      <alignment horizontal="center" vertical="center" wrapText="1"/>
    </xf>
    <xf numFmtId="49" fontId="16" fillId="9" borderId="22" xfId="0" applyNumberFormat="1" applyFont="1" applyFill="1" applyBorder="1" applyAlignment="1">
      <alignment horizontal="center" vertical="center" wrapText="1"/>
    </xf>
    <xf numFmtId="0" fontId="16" fillId="11" borderId="33" xfId="0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vertical="center" wrapText="1"/>
    </xf>
    <xf numFmtId="164" fontId="16" fillId="11" borderId="18" xfId="0" applyNumberFormat="1" applyFont="1" applyFill="1" applyBorder="1" applyAlignment="1">
      <alignment horizontal="center" vertical="center" wrapText="1"/>
    </xf>
    <xf numFmtId="164" fontId="17" fillId="11" borderId="18" xfId="0" applyNumberFormat="1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horizontal="center" vertical="center" wrapText="1"/>
    </xf>
    <xf numFmtId="49" fontId="16" fillId="11" borderId="18" xfId="0" applyNumberFormat="1" applyFont="1" applyFill="1" applyBorder="1" applyAlignment="1">
      <alignment horizontal="left" vertical="center" wrapText="1"/>
    </xf>
    <xf numFmtId="0" fontId="18" fillId="11" borderId="11" xfId="0" applyFont="1" applyFill="1" applyBorder="1" applyAlignment="1">
      <alignment horizontal="center" vertical="center" wrapText="1"/>
    </xf>
    <xf numFmtId="49" fontId="16" fillId="11" borderId="19" xfId="0" applyNumberFormat="1" applyFont="1" applyFill="1" applyBorder="1" applyAlignment="1">
      <alignment horizontal="center" vertical="center" wrapText="1"/>
    </xf>
    <xf numFmtId="0" fontId="16" fillId="9" borderId="49" xfId="0" applyFont="1" applyFill="1" applyBorder="1" applyAlignment="1">
      <alignment horizontal="center" vertical="center" wrapText="1"/>
    </xf>
    <xf numFmtId="0" fontId="16" fillId="9" borderId="50" xfId="0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vertical="center" wrapText="1"/>
    </xf>
    <xf numFmtId="164" fontId="16" fillId="9" borderId="24" xfId="0" applyNumberFormat="1" applyFont="1" applyFill="1" applyBorder="1" applyAlignment="1">
      <alignment horizontal="center" vertical="center" wrapText="1"/>
    </xf>
    <xf numFmtId="164" fontId="17" fillId="9" borderId="24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left" vertical="center" wrapText="1"/>
    </xf>
    <xf numFmtId="0" fontId="17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center" vertical="center" wrapText="1"/>
    </xf>
    <xf numFmtId="0" fontId="16" fillId="12" borderId="9" xfId="0" applyFont="1" applyFill="1" applyBorder="1" applyAlignment="1">
      <alignment horizontal="center" vertical="center" wrapText="1"/>
    </xf>
    <xf numFmtId="0" fontId="16" fillId="12" borderId="26" xfId="0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vertical="center" wrapText="1"/>
    </xf>
    <xf numFmtId="164" fontId="16" fillId="12" borderId="13" xfId="0" applyNumberFormat="1" applyFont="1" applyFill="1" applyBorder="1" applyAlignment="1">
      <alignment horizontal="center" vertical="center" wrapText="1"/>
    </xf>
    <xf numFmtId="164" fontId="17" fillId="12" borderId="13" xfId="0" applyNumberFormat="1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horizontal="center" vertical="center" wrapText="1"/>
    </xf>
    <xf numFmtId="49" fontId="16" fillId="12" borderId="13" xfId="0" applyNumberFormat="1" applyFont="1" applyFill="1" applyBorder="1" applyAlignment="1">
      <alignment horizontal="left" vertical="center" wrapText="1"/>
    </xf>
    <xf numFmtId="0" fontId="17" fillId="12" borderId="13" xfId="0" applyFont="1" applyFill="1" applyBorder="1" applyAlignment="1">
      <alignment horizontal="center" vertical="center" wrapText="1"/>
    </xf>
    <xf numFmtId="49" fontId="16" fillId="12" borderId="14" xfId="0" applyNumberFormat="1" applyFont="1" applyFill="1" applyBorder="1" applyAlignment="1">
      <alignment horizontal="center" vertical="center" wrapText="1"/>
    </xf>
    <xf numFmtId="0" fontId="16" fillId="12" borderId="37" xfId="0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vertical="center" wrapText="1"/>
    </xf>
    <xf numFmtId="164" fontId="16" fillId="12" borderId="20" xfId="0" applyNumberFormat="1" applyFont="1" applyFill="1" applyBorder="1" applyAlignment="1">
      <alignment horizontal="center" vertical="center" wrapText="1"/>
    </xf>
    <xf numFmtId="164" fontId="17" fillId="12" borderId="20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49" fontId="16" fillId="12" borderId="20" xfId="0" applyNumberFormat="1" applyFont="1" applyFill="1" applyBorder="1" applyAlignment="1">
      <alignment horizontal="left" vertical="center" wrapText="1"/>
    </xf>
    <xf numFmtId="0" fontId="17" fillId="12" borderId="20" xfId="0" applyFont="1" applyFill="1" applyBorder="1" applyAlignment="1">
      <alignment horizontal="center" vertical="center" wrapText="1"/>
    </xf>
    <xf numFmtId="49" fontId="16" fillId="12" borderId="21" xfId="0" applyNumberFormat="1" applyFont="1" applyFill="1" applyBorder="1" applyAlignment="1">
      <alignment horizontal="center" vertical="center" wrapText="1"/>
    </xf>
    <xf numFmtId="0" fontId="16" fillId="7" borderId="51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51" xfId="0" applyFont="1" applyFill="1" applyBorder="1" applyAlignment="1">
      <alignment horizontal="center" vertical="center" wrapText="1"/>
    </xf>
    <xf numFmtId="0" fontId="16" fillId="7" borderId="52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7" borderId="50" xfId="0" applyFont="1" applyFill="1" applyBorder="1" applyAlignment="1">
      <alignment horizontal="center" vertical="center" wrapText="1"/>
    </xf>
    <xf numFmtId="0" fontId="17" fillId="7" borderId="24" xfId="0" applyFont="1" applyFill="1" applyBorder="1" applyAlignment="1">
      <alignment horizontal="center" vertical="center" wrapText="1"/>
    </xf>
    <xf numFmtId="0" fontId="18" fillId="7" borderId="24" xfId="0" applyFont="1" applyFill="1" applyBorder="1" applyAlignment="1">
      <alignment horizontal="center" vertical="center" wrapText="1"/>
    </xf>
    <xf numFmtId="0" fontId="16" fillId="6" borderId="52" xfId="0" applyFont="1" applyFill="1" applyBorder="1" applyAlignment="1">
      <alignment horizontal="center" vertical="center" wrapText="1"/>
    </xf>
    <xf numFmtId="0" fontId="16" fillId="6" borderId="47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6" borderId="50" xfId="0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vertical="center" wrapText="1"/>
    </xf>
    <xf numFmtId="164" fontId="16" fillId="6" borderId="24" xfId="0" applyNumberFormat="1" applyFont="1" applyFill="1" applyBorder="1" applyAlignment="1">
      <alignment horizontal="center" vertical="center" wrapText="1"/>
    </xf>
    <xf numFmtId="164" fontId="17" fillId="6" borderId="24" xfId="0" applyNumberFormat="1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horizontal="center" vertical="center" wrapText="1"/>
    </xf>
    <xf numFmtId="49" fontId="16" fillId="6" borderId="24" xfId="0" applyNumberFormat="1" applyFont="1" applyFill="1" applyBorder="1" applyAlignment="1">
      <alignment horizontal="left" vertical="center" wrapText="1"/>
    </xf>
    <xf numFmtId="0" fontId="17" fillId="6" borderId="24" xfId="0" applyFont="1" applyFill="1" applyBorder="1" applyAlignment="1">
      <alignment horizontal="center" vertical="center" wrapText="1"/>
    </xf>
    <xf numFmtId="49" fontId="16" fillId="6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16" fillId="9" borderId="35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center" vertical="center" wrapText="1"/>
    </xf>
    <xf numFmtId="0" fontId="16" fillId="9" borderId="53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16" fillId="6" borderId="53" xfId="0" applyFont="1" applyFill="1" applyBorder="1" applyAlignment="1">
      <alignment horizontal="center" vertical="center" wrapText="1"/>
    </xf>
    <xf numFmtId="0" fontId="20" fillId="6" borderId="18" xfId="0" applyFont="1" applyFill="1" applyBorder="1" applyAlignment="1">
      <alignment horizontal="center" vertical="center" wrapText="1"/>
    </xf>
    <xf numFmtId="0" fontId="16" fillId="6" borderId="54" xfId="0" applyFont="1" applyFill="1" applyBorder="1" applyAlignment="1">
      <alignment horizontal="center" vertical="center" wrapText="1"/>
    </xf>
    <xf numFmtId="0" fontId="20" fillId="7" borderId="16" xfId="0" applyFont="1" applyFill="1" applyBorder="1" applyAlignment="1">
      <alignment horizontal="center" vertical="center" wrapText="1"/>
    </xf>
    <xf numFmtId="0" fontId="20" fillId="7" borderId="11" xfId="0" applyFont="1" applyFill="1" applyBorder="1" applyAlignment="1">
      <alignment horizontal="center" vertical="center" wrapText="1"/>
    </xf>
    <xf numFmtId="0" fontId="16" fillId="6" borderId="55" xfId="0" applyFont="1" applyFill="1" applyBorder="1" applyAlignment="1">
      <alignment horizontal="center" vertical="center" wrapText="1"/>
    </xf>
    <xf numFmtId="0" fontId="16" fillId="7" borderId="55" xfId="0" applyFont="1" applyFill="1" applyBorder="1" applyAlignment="1">
      <alignment horizontal="center" vertical="center" wrapText="1"/>
    </xf>
    <xf numFmtId="0" fontId="16" fillId="7" borderId="54" xfId="0" applyFont="1" applyFill="1" applyBorder="1" applyAlignment="1">
      <alignment horizontal="center" vertical="center" wrapText="1"/>
    </xf>
    <xf numFmtId="0" fontId="16" fillId="6" borderId="56" xfId="0" applyFont="1" applyFill="1" applyBorder="1" applyAlignment="1">
      <alignment horizontal="center" vertical="center" wrapText="1"/>
    </xf>
    <xf numFmtId="0" fontId="16" fillId="7" borderId="21" xfId="0" applyFont="1" applyFill="1" applyBorder="1" applyAlignment="1">
      <alignment horizontal="center" vertical="center" wrapText="1"/>
    </xf>
    <xf numFmtId="0" fontId="16" fillId="7" borderId="22" xfId="0" applyFont="1" applyFill="1" applyBorder="1" applyAlignment="1">
      <alignment horizontal="center" vertical="center" wrapText="1"/>
    </xf>
    <xf numFmtId="0" fontId="16" fillId="7" borderId="19" xfId="0" applyFont="1" applyFill="1" applyBorder="1" applyAlignment="1">
      <alignment horizontal="center" vertical="center" wrapText="1"/>
    </xf>
    <xf numFmtId="0" fontId="16" fillId="7" borderId="53" xfId="0" applyFont="1" applyFill="1" applyBorder="1" applyAlignment="1">
      <alignment horizontal="center" vertical="center" wrapText="1"/>
    </xf>
    <xf numFmtId="20" fontId="16" fillId="6" borderId="21" xfId="0" applyNumberFormat="1" applyFont="1" applyFill="1" applyBorder="1" applyAlignment="1">
      <alignment horizontal="center" vertical="center" wrapText="1"/>
    </xf>
    <xf numFmtId="20" fontId="16" fillId="6" borderId="19" xfId="0" applyNumberFormat="1" applyFont="1" applyFill="1" applyBorder="1" applyAlignment="1">
      <alignment horizontal="center" vertical="center" wrapText="1"/>
    </xf>
    <xf numFmtId="20" fontId="16" fillId="7" borderId="14" xfId="0" applyNumberFormat="1" applyFont="1" applyFill="1" applyBorder="1" applyAlignment="1">
      <alignment horizontal="center" vertical="center" wrapText="1"/>
    </xf>
    <xf numFmtId="20" fontId="16" fillId="6" borderId="22" xfId="0" applyNumberFormat="1" applyFont="1" applyFill="1" applyBorder="1" applyAlignment="1">
      <alignment horizontal="center" vertical="center" wrapText="1"/>
    </xf>
    <xf numFmtId="20" fontId="16" fillId="7" borderId="21" xfId="0" applyNumberFormat="1" applyFont="1" applyFill="1" applyBorder="1" applyAlignment="1">
      <alignment horizontal="center" vertical="center" wrapText="1"/>
    </xf>
    <xf numFmtId="20" fontId="16" fillId="7" borderId="22" xfId="0" applyNumberFormat="1" applyFont="1" applyFill="1" applyBorder="1" applyAlignment="1">
      <alignment horizontal="center" vertical="center" wrapText="1"/>
    </xf>
    <xf numFmtId="20" fontId="16" fillId="7" borderId="19" xfId="0" applyNumberFormat="1" applyFont="1" applyFill="1" applyBorder="1" applyAlignment="1">
      <alignment horizontal="center" vertical="center" wrapText="1"/>
    </xf>
    <xf numFmtId="20" fontId="16" fillId="6" borderId="14" xfId="0" applyNumberFormat="1" applyFont="1" applyFill="1" applyBorder="1" applyAlignment="1">
      <alignment horizontal="center" vertical="center" wrapText="1"/>
    </xf>
    <xf numFmtId="20" fontId="16" fillId="6" borderId="41" xfId="0" applyNumberFormat="1" applyFont="1" applyFill="1" applyBorder="1" applyAlignment="1">
      <alignment horizontal="center" vertical="center" wrapText="1"/>
    </xf>
    <xf numFmtId="20" fontId="16" fillId="6" borderId="30" xfId="0" applyNumberFormat="1" applyFont="1" applyFill="1" applyBorder="1" applyAlignment="1">
      <alignment horizontal="center" vertical="center" wrapText="1"/>
    </xf>
    <xf numFmtId="20" fontId="16" fillId="7" borderId="41" xfId="0" applyNumberFormat="1" applyFont="1" applyFill="1" applyBorder="1" applyAlignment="1">
      <alignment horizontal="center" vertical="center" wrapText="1"/>
    </xf>
    <xf numFmtId="0" fontId="16" fillId="7" borderId="42" xfId="0" applyFont="1" applyFill="1" applyBorder="1" applyAlignment="1">
      <alignment horizontal="center" vertical="center" wrapText="1"/>
    </xf>
    <xf numFmtId="20" fontId="16" fillId="7" borderId="30" xfId="0" applyNumberFormat="1" applyFont="1" applyFill="1" applyBorder="1" applyAlignment="1">
      <alignment horizontal="center" vertical="center" wrapText="1"/>
    </xf>
    <xf numFmtId="0" fontId="16" fillId="6" borderId="57" xfId="0" applyFont="1" applyFill="1" applyBorder="1" applyAlignment="1">
      <alignment horizontal="center" vertical="center" wrapText="1"/>
    </xf>
    <xf numFmtId="20" fontId="16" fillId="6" borderId="17" xfId="0" applyNumberFormat="1" applyFont="1" applyFill="1" applyBorder="1" applyAlignment="1">
      <alignment horizontal="center" vertical="center" wrapText="1"/>
    </xf>
    <xf numFmtId="0" fontId="18" fillId="12" borderId="20" xfId="0" applyFont="1" applyFill="1" applyBorder="1" applyAlignment="1">
      <alignment horizontal="center" vertical="center" wrapText="1"/>
    </xf>
    <xf numFmtId="0" fontId="16" fillId="13" borderId="40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vertical="center" wrapText="1"/>
    </xf>
    <xf numFmtId="164" fontId="16" fillId="13" borderId="11" xfId="0" applyNumberFormat="1" applyFont="1" applyFill="1" applyBorder="1" applyAlignment="1">
      <alignment horizontal="center" vertical="center" wrapText="1"/>
    </xf>
    <xf numFmtId="164" fontId="17" fillId="13" borderId="11" xfId="0" applyNumberFormat="1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6" fillId="13" borderId="11" xfId="0" applyNumberFormat="1" applyFont="1" applyFill="1" applyBorder="1" applyAlignment="1">
      <alignment horizontal="left" vertical="center" wrapText="1"/>
    </xf>
    <xf numFmtId="0" fontId="18" fillId="13" borderId="11" xfId="0" applyFont="1" applyFill="1" applyBorder="1" applyAlignment="1">
      <alignment horizontal="center" vertical="center" wrapText="1"/>
    </xf>
    <xf numFmtId="49" fontId="16" fillId="13" borderId="41" xfId="0" applyNumberFormat="1" applyFont="1" applyFill="1" applyBorder="1" applyAlignment="1">
      <alignment horizontal="center" vertical="center" wrapText="1"/>
    </xf>
    <xf numFmtId="0" fontId="16" fillId="13" borderId="37" xfId="0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vertical="center" wrapText="1"/>
    </xf>
    <xf numFmtId="164" fontId="16" fillId="13" borderId="20" xfId="0" applyNumberFormat="1" applyFont="1" applyFill="1" applyBorder="1" applyAlignment="1">
      <alignment horizontal="center" vertical="center" wrapText="1"/>
    </xf>
    <xf numFmtId="164" fontId="17" fillId="13" borderId="20" xfId="0" applyNumberFormat="1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6" fillId="13" borderId="20" xfId="0" applyNumberFormat="1" applyFont="1" applyFill="1" applyBorder="1" applyAlignment="1">
      <alignment horizontal="left" vertical="center" wrapText="1"/>
    </xf>
    <xf numFmtId="0" fontId="18" fillId="13" borderId="20" xfId="0" applyFont="1" applyFill="1" applyBorder="1" applyAlignment="1">
      <alignment horizontal="center" vertical="center" wrapText="1"/>
    </xf>
    <xf numFmtId="49" fontId="16" fillId="13" borderId="21" xfId="0" applyNumberFormat="1" applyFont="1" applyFill="1" applyBorder="1" applyAlignment="1">
      <alignment horizontal="center" vertical="center" wrapText="1"/>
    </xf>
    <xf numFmtId="0" fontId="16" fillId="12" borderId="34" xfId="0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vertical="center" wrapText="1"/>
    </xf>
    <xf numFmtId="164" fontId="16" fillId="12" borderId="16" xfId="0" applyNumberFormat="1" applyFont="1" applyFill="1" applyBorder="1" applyAlignment="1">
      <alignment horizontal="center" vertical="center" wrapText="1"/>
    </xf>
    <xf numFmtId="164" fontId="17" fillId="12" borderId="16" xfId="0" applyNumberFormat="1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6" fillId="12" borderId="16" xfId="0" applyNumberFormat="1" applyFont="1" applyFill="1" applyBorder="1" applyAlignment="1">
      <alignment horizontal="left" vertical="center" wrapText="1"/>
    </xf>
    <xf numFmtId="0" fontId="18" fillId="12" borderId="16" xfId="0" applyFont="1" applyFill="1" applyBorder="1" applyAlignment="1">
      <alignment horizontal="center" vertical="center" wrapText="1"/>
    </xf>
    <xf numFmtId="49" fontId="16" fillId="12" borderId="17" xfId="0" applyNumberFormat="1" applyFont="1" applyFill="1" applyBorder="1" applyAlignment="1">
      <alignment horizontal="center" vertical="center" wrapText="1"/>
    </xf>
    <xf numFmtId="0" fontId="16" fillId="12" borderId="40" xfId="0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vertical="center" wrapText="1"/>
    </xf>
    <xf numFmtId="164" fontId="16" fillId="12" borderId="11" xfId="0" applyNumberFormat="1" applyFont="1" applyFill="1" applyBorder="1" applyAlignment="1">
      <alignment horizontal="center" vertical="center" wrapText="1"/>
    </xf>
    <xf numFmtId="164" fontId="17" fillId="12" borderId="11" xfId="0" applyNumberFormat="1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6" fillId="12" borderId="11" xfId="0" applyNumberFormat="1" applyFont="1" applyFill="1" applyBorder="1" applyAlignment="1">
      <alignment horizontal="left" vertical="center" wrapText="1"/>
    </xf>
    <xf numFmtId="0" fontId="18" fillId="12" borderId="11" xfId="0" applyFont="1" applyFill="1" applyBorder="1" applyAlignment="1">
      <alignment horizontal="center" vertical="center" wrapText="1"/>
    </xf>
    <xf numFmtId="49" fontId="16" fillId="12" borderId="41" xfId="0" applyNumberFormat="1" applyFont="1" applyFill="1" applyBorder="1" applyAlignment="1">
      <alignment horizontal="center" vertical="center" wrapText="1"/>
    </xf>
    <xf numFmtId="49" fontId="17" fillId="6" borderId="21" xfId="0" applyNumberFormat="1" applyFont="1" applyFill="1" applyBorder="1" applyAlignment="1">
      <alignment horizontal="center" vertical="center" wrapText="1"/>
    </xf>
    <xf numFmtId="20" fontId="16" fillId="7" borderId="17" xfId="0" applyNumberFormat="1" applyFont="1" applyFill="1" applyBorder="1" applyAlignment="1">
      <alignment horizontal="center" vertical="center" wrapText="1"/>
    </xf>
    <xf numFmtId="20" fontId="16" fillId="7" borderId="27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0" fontId="16" fillId="9" borderId="39" xfId="0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vertical="center" wrapText="1"/>
    </xf>
    <xf numFmtId="164" fontId="16" fillId="9" borderId="10" xfId="0" applyNumberFormat="1" applyFont="1" applyFill="1" applyBorder="1" applyAlignment="1">
      <alignment horizontal="center" vertical="center" wrapText="1"/>
    </xf>
    <xf numFmtId="164" fontId="17" fillId="9" borderId="10" xfId="0" applyNumberFormat="1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left" vertical="center" wrapText="1"/>
    </xf>
    <xf numFmtId="0" fontId="18" fillId="9" borderId="10" xfId="0" applyFont="1" applyFill="1" applyBorder="1" applyAlignment="1">
      <alignment horizontal="center" vertical="center" wrapText="1"/>
    </xf>
    <xf numFmtId="49" fontId="16" fillId="9" borderId="27" xfId="0" applyNumberFormat="1" applyFont="1" applyFill="1" applyBorder="1" applyAlignment="1">
      <alignment horizontal="center" vertical="center" wrapText="1"/>
    </xf>
    <xf numFmtId="20" fontId="16" fillId="9" borderId="27" xfId="0" applyNumberFormat="1" applyFont="1" applyFill="1" applyBorder="1" applyAlignment="1">
      <alignment horizontal="center" vertical="center" wrapText="1"/>
    </xf>
    <xf numFmtId="0" fontId="21" fillId="7" borderId="1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left" vertical="center" wrapText="1"/>
    </xf>
    <xf numFmtId="49" fontId="21" fillId="7" borderId="13" xfId="0" applyNumberFormat="1" applyFont="1" applyFill="1" applyBorder="1" applyAlignment="1">
      <alignment horizontal="left" vertical="center" wrapText="1"/>
    </xf>
    <xf numFmtId="164" fontId="18" fillId="7" borderId="20" xfId="0" applyNumberFormat="1" applyFont="1" applyFill="1" applyBorder="1" applyAlignment="1">
      <alignment horizontal="center" vertical="center" wrapText="1"/>
    </xf>
    <xf numFmtId="164" fontId="18" fillId="7" borderId="11" xfId="0" applyNumberFormat="1" applyFont="1" applyFill="1" applyBorder="1" applyAlignment="1">
      <alignment horizontal="center" vertical="center" wrapText="1"/>
    </xf>
    <xf numFmtId="164" fontId="18" fillId="6" borderId="13" xfId="0" applyNumberFormat="1" applyFont="1" applyFill="1" applyBorder="1" applyAlignment="1">
      <alignment horizontal="center" vertical="center" wrapText="1"/>
    </xf>
    <xf numFmtId="164" fontId="18" fillId="7" borderId="13" xfId="0" applyNumberFormat="1" applyFont="1" applyFill="1" applyBorder="1" applyAlignment="1">
      <alignment horizontal="center" vertical="center" wrapText="1"/>
    </xf>
    <xf numFmtId="164" fontId="18" fillId="7" borderId="16" xfId="0" applyNumberFormat="1" applyFont="1" applyFill="1" applyBorder="1" applyAlignment="1">
      <alignment horizontal="center" vertical="center" wrapText="1"/>
    </xf>
    <xf numFmtId="164" fontId="18" fillId="6" borderId="20" xfId="0" applyNumberFormat="1" applyFont="1" applyFill="1" applyBorder="1" applyAlignment="1">
      <alignment horizontal="center" vertical="center" wrapText="1"/>
    </xf>
    <xf numFmtId="164" fontId="18" fillId="6" borderId="16" xfId="0" applyNumberFormat="1" applyFont="1" applyFill="1" applyBorder="1" applyAlignment="1">
      <alignment horizontal="center" vertical="center" wrapText="1"/>
    </xf>
    <xf numFmtId="164" fontId="18" fillId="6" borderId="1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left" vertical="center" wrapText="1"/>
    </xf>
    <xf numFmtId="0" fontId="18" fillId="6" borderId="24" xfId="0" applyFont="1" applyFill="1" applyBorder="1" applyAlignment="1">
      <alignment horizontal="center" vertical="center" wrapText="1"/>
    </xf>
    <xf numFmtId="20" fontId="16" fillId="6" borderId="25" xfId="0" applyNumberFormat="1" applyFont="1" applyFill="1" applyBorder="1" applyAlignment="1">
      <alignment horizontal="center" vertical="center" wrapText="1"/>
    </xf>
    <xf numFmtId="0" fontId="16" fillId="14" borderId="9" xfId="0" applyFont="1" applyFill="1" applyBorder="1" applyAlignment="1">
      <alignment horizontal="center" vertical="center" wrapText="1"/>
    </xf>
    <xf numFmtId="0" fontId="16" fillId="14" borderId="26" xfId="0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vertical="center" wrapText="1"/>
    </xf>
    <xf numFmtId="164" fontId="16" fillId="14" borderId="13" xfId="0" applyNumberFormat="1" applyFont="1" applyFill="1" applyBorder="1" applyAlignment="1">
      <alignment horizontal="center" vertical="center" wrapText="1"/>
    </xf>
    <xf numFmtId="164" fontId="17" fillId="14" borderId="13" xfId="0" applyNumberFormat="1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6" fillId="14" borderId="13" xfId="0" applyNumberFormat="1" applyFont="1" applyFill="1" applyBorder="1" applyAlignment="1">
      <alignment horizontal="left" vertical="center" wrapText="1"/>
    </xf>
    <xf numFmtId="0" fontId="18" fillId="14" borderId="13" xfId="0" applyFont="1" applyFill="1" applyBorder="1" applyAlignment="1">
      <alignment horizontal="center" vertical="center" wrapText="1"/>
    </xf>
    <xf numFmtId="49" fontId="16" fillId="14" borderId="14" xfId="0" applyNumberFormat="1" applyFont="1" applyFill="1" applyBorder="1" applyAlignment="1">
      <alignment horizontal="center" vertical="center" wrapText="1"/>
    </xf>
    <xf numFmtId="20" fontId="16" fillId="14" borderId="14" xfId="0" applyNumberFormat="1" applyFont="1" applyFill="1" applyBorder="1" applyAlignment="1">
      <alignment horizontal="center" vertical="center" wrapText="1"/>
    </xf>
    <xf numFmtId="164" fontId="21" fillId="6" borderId="18" xfId="0" applyNumberFormat="1" applyFont="1" applyFill="1" applyBorder="1" applyAlignment="1">
      <alignment horizontal="center" vertical="center" wrapText="1"/>
    </xf>
    <xf numFmtId="164" fontId="21" fillId="7" borderId="13" xfId="0" applyNumberFormat="1" applyFont="1" applyFill="1" applyBorder="1" applyAlignment="1">
      <alignment horizontal="center" vertical="center" wrapText="1"/>
    </xf>
    <xf numFmtId="164" fontId="21" fillId="6" borderId="20" xfId="0" applyNumberFormat="1" applyFont="1" applyFill="1" applyBorder="1" applyAlignment="1">
      <alignment horizontal="center" vertical="center" wrapText="1"/>
    </xf>
    <xf numFmtId="164" fontId="21" fillId="6" borderId="1" xfId="0" applyNumberFormat="1" applyFont="1" applyFill="1" applyBorder="1" applyAlignment="1">
      <alignment horizontal="center" vertical="center" wrapText="1"/>
    </xf>
    <xf numFmtId="164" fontId="21" fillId="7" borderId="20" xfId="0" applyNumberFormat="1" applyFont="1" applyFill="1" applyBorder="1" applyAlignment="1">
      <alignment horizontal="center" vertical="center" wrapText="1"/>
    </xf>
    <xf numFmtId="164" fontId="21" fillId="7" borderId="18" xfId="0" applyNumberFormat="1" applyFont="1" applyFill="1" applyBorder="1" applyAlignment="1">
      <alignment horizontal="center" vertical="center" wrapText="1"/>
    </xf>
    <xf numFmtId="164" fontId="21" fillId="7" borderId="1" xfId="0" applyNumberFormat="1" applyFont="1" applyFill="1" applyBorder="1" applyAlignment="1">
      <alignment horizontal="center" vertical="center" wrapText="1"/>
    </xf>
    <xf numFmtId="49" fontId="17" fillId="7" borderId="11" xfId="0" applyNumberFormat="1" applyFont="1" applyFill="1" applyBorder="1" applyAlignment="1">
      <alignment horizontal="left" vertical="center" wrapText="1"/>
    </xf>
    <xf numFmtId="164" fontId="21" fillId="6" borderId="13" xfId="0" applyNumberFormat="1" applyFont="1" applyFill="1" applyBorder="1" applyAlignment="1">
      <alignment horizontal="center" vertical="center" wrapText="1"/>
    </xf>
    <xf numFmtId="4" fontId="16" fillId="6" borderId="13" xfId="0" applyNumberFormat="1" applyFont="1" applyFill="1" applyBorder="1" applyAlignment="1">
      <alignment horizontal="center" vertical="center" wrapText="1"/>
    </xf>
    <xf numFmtId="0" fontId="16" fillId="15" borderId="37" xfId="0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vertical="center" wrapText="1"/>
    </xf>
    <xf numFmtId="164" fontId="16" fillId="15" borderId="20" xfId="0" applyNumberFormat="1" applyFont="1" applyFill="1" applyBorder="1" applyAlignment="1">
      <alignment horizontal="center" vertical="center" wrapText="1"/>
    </xf>
    <xf numFmtId="164" fontId="17" fillId="15" borderId="20" xfId="0" applyNumberFormat="1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horizontal="center" vertical="center" wrapText="1"/>
    </xf>
    <xf numFmtId="0" fontId="17" fillId="15" borderId="20" xfId="0" applyFont="1" applyFill="1" applyBorder="1" applyAlignment="1">
      <alignment horizontal="center" vertical="center" wrapText="1"/>
    </xf>
    <xf numFmtId="20" fontId="16" fillId="15" borderId="21" xfId="0" applyNumberFormat="1" applyFont="1" applyFill="1" applyBorder="1" applyAlignment="1">
      <alignment horizontal="center" vertical="center" wrapText="1"/>
    </xf>
    <xf numFmtId="0" fontId="16" fillId="15" borderId="34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vertical="center" wrapText="1"/>
    </xf>
    <xf numFmtId="164" fontId="16" fillId="15" borderId="1" xfId="0" applyNumberFormat="1" applyFont="1" applyFill="1" applyBorder="1" applyAlignment="1">
      <alignment horizontal="center" vertical="center" wrapText="1"/>
    </xf>
    <xf numFmtId="164" fontId="17" fillId="15" borderId="1" xfId="0" applyNumberFormat="1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7" fillId="15" borderId="16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horizontal="center" vertical="center" wrapText="1"/>
    </xf>
    <xf numFmtId="20" fontId="16" fillId="15" borderId="22" xfId="0" applyNumberFormat="1" applyFont="1" applyFill="1" applyBorder="1" applyAlignment="1">
      <alignment horizontal="center" vertical="center" wrapText="1"/>
    </xf>
    <xf numFmtId="0" fontId="16" fillId="15" borderId="40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vertical="center" wrapText="1"/>
    </xf>
    <xf numFmtId="164" fontId="16" fillId="15" borderId="18" xfId="0" applyNumberFormat="1" applyFont="1" applyFill="1" applyBorder="1" applyAlignment="1">
      <alignment horizontal="center" vertical="center" wrapText="1"/>
    </xf>
    <xf numFmtId="164" fontId="17" fillId="15" borderId="18" xfId="0" applyNumberFormat="1" applyFont="1" applyFill="1" applyBorder="1" applyAlignment="1">
      <alignment horizontal="center" vertical="center" wrapText="1"/>
    </xf>
    <xf numFmtId="0" fontId="16" fillId="15" borderId="11" xfId="0" applyFont="1" applyFill="1" applyBorder="1" applyAlignment="1">
      <alignment horizontal="center" vertical="center" wrapText="1"/>
    </xf>
    <xf numFmtId="0" fontId="17" fillId="15" borderId="11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horizontal="center" vertical="center" wrapText="1"/>
    </xf>
    <xf numFmtId="20" fontId="16" fillId="15" borderId="19" xfId="0" applyNumberFormat="1" applyFont="1" applyFill="1" applyBorder="1" applyAlignment="1">
      <alignment horizontal="center" vertical="center" wrapText="1"/>
    </xf>
    <xf numFmtId="20" fontId="16" fillId="6" borderId="27" xfId="0" applyNumberFormat="1" applyFont="1" applyFill="1" applyBorder="1" applyAlignment="1">
      <alignment horizontal="center" vertical="center" wrapText="1"/>
    </xf>
    <xf numFmtId="20" fontId="16" fillId="7" borderId="25" xfId="0" applyNumberFormat="1" applyFont="1" applyFill="1" applyBorder="1" applyAlignment="1">
      <alignment horizontal="center" vertical="center" wrapText="1"/>
    </xf>
    <xf numFmtId="0" fontId="22" fillId="6" borderId="20" xfId="0" applyFont="1" applyFill="1" applyBorder="1" applyAlignment="1">
      <alignment horizontal="center" vertical="center" wrapText="1"/>
    </xf>
    <xf numFmtId="0" fontId="22" fillId="6" borderId="16" xfId="0" applyFont="1" applyFill="1" applyBorder="1" applyAlignment="1">
      <alignment horizontal="center" vertical="center" wrapText="1"/>
    </xf>
    <xf numFmtId="0" fontId="22" fillId="6" borderId="11" xfId="0" applyFont="1" applyFill="1" applyBorder="1" applyAlignment="1">
      <alignment horizontal="center" vertical="center" wrapText="1"/>
    </xf>
    <xf numFmtId="0" fontId="18" fillId="9" borderId="13" xfId="0" applyFont="1" applyFill="1" applyBorder="1" applyAlignment="1">
      <alignment horizontal="center" vertical="center" wrapText="1"/>
    </xf>
    <xf numFmtId="49" fontId="16" fillId="9" borderId="14" xfId="0" applyNumberFormat="1" applyFont="1" applyFill="1" applyBorder="1" applyAlignment="1">
      <alignment horizontal="center" vertical="center" wrapText="1"/>
    </xf>
    <xf numFmtId="20" fontId="16" fillId="9" borderId="14" xfId="0" applyNumberFormat="1" applyFont="1" applyFill="1" applyBorder="1" applyAlignment="1">
      <alignment horizontal="center" vertical="center" wrapText="1"/>
    </xf>
    <xf numFmtId="0" fontId="16" fillId="9" borderId="37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vertical="center" wrapText="1"/>
    </xf>
    <xf numFmtId="164" fontId="16" fillId="9" borderId="20" xfId="0" applyNumberFormat="1" applyFont="1" applyFill="1" applyBorder="1" applyAlignment="1">
      <alignment horizontal="center" vertical="center" wrapText="1"/>
    </xf>
    <xf numFmtId="164" fontId="17" fillId="9" borderId="20" xfId="0" applyNumberFormat="1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0" fontId="18" fillId="9" borderId="20" xfId="0" applyFont="1" applyFill="1" applyBorder="1" applyAlignment="1">
      <alignment horizontal="center" vertical="center" wrapText="1"/>
    </xf>
    <xf numFmtId="49" fontId="16" fillId="9" borderId="21" xfId="0" applyNumberFormat="1" applyFont="1" applyFill="1" applyBorder="1" applyAlignment="1">
      <alignment horizontal="center" vertical="center" wrapText="1"/>
    </xf>
    <xf numFmtId="20" fontId="16" fillId="9" borderId="21" xfId="0" applyNumberFormat="1" applyFont="1" applyFill="1" applyBorder="1" applyAlignment="1">
      <alignment horizontal="center" vertical="center" wrapText="1"/>
    </xf>
    <xf numFmtId="0" fontId="18" fillId="9" borderId="24" xfId="0" applyFont="1" applyFill="1" applyBorder="1" applyAlignment="1">
      <alignment horizontal="center" vertical="center" wrapText="1"/>
    </xf>
    <xf numFmtId="49" fontId="16" fillId="9" borderId="25" xfId="0" applyNumberFormat="1" applyFont="1" applyFill="1" applyBorder="1" applyAlignment="1">
      <alignment horizontal="center" vertical="center" wrapText="1"/>
    </xf>
    <xf numFmtId="20" fontId="16" fillId="9" borderId="25" xfId="0" applyNumberFormat="1" applyFont="1" applyFill="1" applyBorder="1" applyAlignment="1">
      <alignment horizontal="center" vertical="center" wrapText="1"/>
    </xf>
    <xf numFmtId="0" fontId="16" fillId="7" borderId="33" xfId="0" applyFont="1" applyFill="1" applyBorder="1" applyAlignment="1">
      <alignment horizontal="center" vertical="center" wrapText="1"/>
    </xf>
    <xf numFmtId="49" fontId="21" fillId="7" borderId="14" xfId="0" applyNumberFormat="1" applyFont="1" applyFill="1" applyBorder="1" applyAlignment="1">
      <alignment horizontal="center" vertical="center" wrapText="1"/>
    </xf>
    <xf numFmtId="2" fontId="16" fillId="7" borderId="1" xfId="0" applyNumberFormat="1" applyFont="1" applyFill="1" applyBorder="1" applyAlignment="1">
      <alignment horizontal="center" vertical="center" wrapText="1"/>
    </xf>
    <xf numFmtId="2" fontId="17" fillId="7" borderId="1" xfId="0" applyNumberFormat="1" applyFont="1" applyFill="1" applyBorder="1" applyAlignment="1">
      <alignment horizontal="center" vertical="center" wrapText="1"/>
    </xf>
    <xf numFmtId="0" fontId="18" fillId="7" borderId="29" xfId="0" applyFont="1" applyFill="1" applyBorder="1" applyAlignment="1">
      <alignment horizontal="center" vertical="center" wrapText="1"/>
    </xf>
    <xf numFmtId="2" fontId="16" fillId="7" borderId="11" xfId="0" applyNumberFormat="1" applyFont="1" applyFill="1" applyBorder="1" applyAlignment="1">
      <alignment horizontal="center" vertical="center" wrapText="1"/>
    </xf>
    <xf numFmtId="2" fontId="17" fillId="7" borderId="11" xfId="0" applyNumberFormat="1" applyFont="1" applyFill="1" applyBorder="1" applyAlignment="1">
      <alignment horizontal="center" vertical="center" wrapText="1"/>
    </xf>
    <xf numFmtId="2" fontId="17" fillId="6" borderId="16" xfId="0" applyNumberFormat="1" applyFont="1" applyFill="1" applyBorder="1" applyAlignment="1">
      <alignment horizontal="center" vertical="center" wrapText="1"/>
    </xf>
    <xf numFmtId="2" fontId="16" fillId="6" borderId="11" xfId="0" applyNumberFormat="1" applyFont="1" applyFill="1" applyBorder="1" applyAlignment="1">
      <alignment horizontal="center" vertical="center" wrapText="1"/>
    </xf>
    <xf numFmtId="2" fontId="17" fillId="6" borderId="11" xfId="0" applyNumberFormat="1" applyFont="1" applyFill="1" applyBorder="1" applyAlignment="1">
      <alignment horizontal="center" vertical="center" wrapText="1"/>
    </xf>
    <xf numFmtId="2" fontId="16" fillId="7" borderId="16" xfId="0" applyNumberFormat="1" applyFont="1" applyFill="1" applyBorder="1" applyAlignment="1">
      <alignment horizontal="center" vertical="center" wrapText="1"/>
    </xf>
    <xf numFmtId="2" fontId="17" fillId="7" borderId="16" xfId="0" applyNumberFormat="1" applyFont="1" applyFill="1" applyBorder="1" applyAlignment="1">
      <alignment horizontal="center" vertical="center" wrapText="1"/>
    </xf>
    <xf numFmtId="164" fontId="21" fillId="7" borderId="11" xfId="0" applyNumberFormat="1" applyFont="1" applyFill="1" applyBorder="1" applyAlignment="1">
      <alignment horizontal="center" vertical="center" wrapText="1"/>
    </xf>
    <xf numFmtId="164" fontId="21" fillId="6" borderId="11" xfId="0" applyNumberFormat="1" applyFont="1" applyFill="1" applyBorder="1" applyAlignment="1">
      <alignment horizontal="center" vertical="center" wrapText="1"/>
    </xf>
    <xf numFmtId="164" fontId="21" fillId="7" borderId="16" xfId="0" applyNumberFormat="1" applyFont="1" applyFill="1" applyBorder="1" applyAlignment="1">
      <alignment horizontal="center" vertical="center" wrapText="1"/>
    </xf>
    <xf numFmtId="164" fontId="21" fillId="7" borderId="24" xfId="0" applyNumberFormat="1" applyFont="1" applyFill="1" applyBorder="1" applyAlignment="1">
      <alignment horizontal="center" vertical="center" wrapText="1"/>
    </xf>
    <xf numFmtId="0" fontId="16" fillId="7" borderId="0" xfId="0" applyFont="1" applyFill="1" applyAlignment="1">
      <alignment horizontal="center" vertical="center" wrapText="1"/>
    </xf>
    <xf numFmtId="164" fontId="16" fillId="7" borderId="50" xfId="0" applyNumberFormat="1" applyFont="1" applyFill="1" applyBorder="1" applyAlignment="1">
      <alignment horizontal="center" vertical="center" wrapText="1"/>
    </xf>
    <xf numFmtId="0" fontId="22" fillId="6" borderId="24" xfId="0" applyFont="1" applyFill="1" applyBorder="1" applyAlignment="1">
      <alignment horizontal="center" vertical="center" wrapText="1"/>
    </xf>
    <xf numFmtId="0" fontId="23" fillId="7" borderId="16" xfId="0" applyFont="1" applyFill="1" applyBorder="1" applyAlignment="1">
      <alignment horizontal="center" vertical="center" wrapText="1"/>
    </xf>
    <xf numFmtId="0" fontId="23" fillId="7" borderId="24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vertical="center" wrapText="1"/>
    </xf>
    <xf numFmtId="164" fontId="16" fillId="0" borderId="16" xfId="0" applyNumberFormat="1" applyFont="1" applyBorder="1" applyAlignment="1">
      <alignment horizontal="center" vertical="center" wrapText="1"/>
    </xf>
    <xf numFmtId="164" fontId="17" fillId="0" borderId="16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left" vertical="center" wrapText="1"/>
    </xf>
    <xf numFmtId="0" fontId="18" fillId="0" borderId="16" xfId="0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6" borderId="37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vertical="center" wrapText="1"/>
    </xf>
    <xf numFmtId="164" fontId="16" fillId="16" borderId="20" xfId="0" applyNumberFormat="1" applyFont="1" applyFill="1" applyBorder="1" applyAlignment="1">
      <alignment horizontal="center" vertical="center" wrapText="1"/>
    </xf>
    <xf numFmtId="164" fontId="17" fillId="16" borderId="20" xfId="0" applyNumberFormat="1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0" fontId="18" fillId="16" borderId="20" xfId="0" applyFont="1" applyFill="1" applyBorder="1" applyAlignment="1">
      <alignment horizontal="center" vertical="center" wrapText="1"/>
    </xf>
    <xf numFmtId="49" fontId="16" fillId="16" borderId="21" xfId="0" applyNumberFormat="1" applyFont="1" applyFill="1" applyBorder="1" applyAlignment="1">
      <alignment horizontal="center" vertical="center" wrapText="1"/>
    </xf>
    <xf numFmtId="20" fontId="16" fillId="16" borderId="21" xfId="0" applyNumberFormat="1" applyFont="1" applyFill="1" applyBorder="1" applyAlignment="1">
      <alignment horizontal="center" vertical="center" wrapText="1"/>
    </xf>
    <xf numFmtId="0" fontId="16" fillId="16" borderId="40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vertical="center" wrapText="1"/>
    </xf>
    <xf numFmtId="164" fontId="16" fillId="16" borderId="11" xfId="0" applyNumberFormat="1" applyFont="1" applyFill="1" applyBorder="1" applyAlignment="1">
      <alignment horizontal="center" vertical="center" wrapText="1"/>
    </xf>
    <xf numFmtId="164" fontId="17" fillId="16" borderId="11" xfId="0" applyNumberFormat="1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0" fontId="18" fillId="16" borderId="11" xfId="0" applyFont="1" applyFill="1" applyBorder="1" applyAlignment="1">
      <alignment horizontal="center" vertical="center" wrapText="1"/>
    </xf>
    <xf numFmtId="49" fontId="16" fillId="16" borderId="41" xfId="0" applyNumberFormat="1" applyFont="1" applyFill="1" applyBorder="1" applyAlignment="1">
      <alignment horizontal="center" vertical="center" wrapText="1"/>
    </xf>
    <xf numFmtId="20" fontId="16" fillId="16" borderId="41" xfId="0" applyNumberFormat="1" applyFont="1" applyFill="1" applyBorder="1" applyAlignment="1">
      <alignment horizontal="center" vertical="center" wrapText="1"/>
    </xf>
    <xf numFmtId="0" fontId="16" fillId="16" borderId="50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vertical="center" wrapText="1"/>
    </xf>
    <xf numFmtId="164" fontId="16" fillId="16" borderId="24" xfId="0" applyNumberFormat="1" applyFont="1" applyFill="1" applyBorder="1" applyAlignment="1">
      <alignment horizontal="center" vertical="center" wrapText="1"/>
    </xf>
    <xf numFmtId="164" fontId="17" fillId="16" borderId="24" xfId="0" applyNumberFormat="1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0" fontId="18" fillId="16" borderId="24" xfId="0" applyFont="1" applyFill="1" applyBorder="1" applyAlignment="1">
      <alignment horizontal="center" vertical="center" wrapText="1"/>
    </xf>
    <xf numFmtId="49" fontId="16" fillId="16" borderId="25" xfId="0" applyNumberFormat="1" applyFont="1" applyFill="1" applyBorder="1" applyAlignment="1">
      <alignment horizontal="center" vertical="center" wrapText="1"/>
    </xf>
    <xf numFmtId="20" fontId="16" fillId="16" borderId="25" xfId="0" applyNumberFormat="1" applyFont="1" applyFill="1" applyBorder="1" applyAlignment="1">
      <alignment horizontal="center" vertical="center" wrapText="1"/>
    </xf>
    <xf numFmtId="0" fontId="16" fillId="17" borderId="9" xfId="0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vertical="center" wrapText="1"/>
    </xf>
    <xf numFmtId="164" fontId="16" fillId="17" borderId="13" xfId="0" applyNumberFormat="1" applyFont="1" applyFill="1" applyBorder="1" applyAlignment="1">
      <alignment horizontal="center" vertical="center" wrapText="1"/>
    </xf>
    <xf numFmtId="164" fontId="17" fillId="17" borderId="13" xfId="0" applyNumberFormat="1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6" fillId="17" borderId="13" xfId="0" applyNumberFormat="1" applyFont="1" applyFill="1" applyBorder="1" applyAlignment="1">
      <alignment horizontal="left" vertical="center" wrapText="1"/>
    </xf>
    <xf numFmtId="0" fontId="18" fillId="17" borderId="13" xfId="0" applyFont="1" applyFill="1" applyBorder="1" applyAlignment="1">
      <alignment horizontal="center" vertical="center" wrapText="1"/>
    </xf>
    <xf numFmtId="49" fontId="16" fillId="17" borderId="14" xfId="0" applyNumberFormat="1" applyFont="1" applyFill="1" applyBorder="1" applyAlignment="1">
      <alignment horizontal="center" vertical="center" wrapText="1"/>
    </xf>
    <xf numFmtId="20" fontId="16" fillId="17" borderId="14" xfId="0" applyNumberFormat="1" applyFont="1" applyFill="1" applyBorder="1" applyAlignment="1">
      <alignment horizontal="center" vertical="center" wrapText="1"/>
    </xf>
    <xf numFmtId="0" fontId="16" fillId="16" borderId="9" xfId="0" applyFont="1" applyFill="1" applyBorder="1" applyAlignment="1">
      <alignment horizontal="center" vertical="center" wrapText="1"/>
    </xf>
    <xf numFmtId="0" fontId="16" fillId="16" borderId="26" xfId="0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vertical="center" wrapText="1"/>
    </xf>
    <xf numFmtId="164" fontId="16" fillId="16" borderId="13" xfId="0" applyNumberFormat="1" applyFont="1" applyFill="1" applyBorder="1" applyAlignment="1">
      <alignment horizontal="center" vertical="center" wrapText="1"/>
    </xf>
    <xf numFmtId="164" fontId="17" fillId="16" borderId="13" xfId="0" applyNumberFormat="1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left" vertical="center" wrapText="1"/>
    </xf>
    <xf numFmtId="0" fontId="18" fillId="16" borderId="13" xfId="0" applyFont="1" applyFill="1" applyBorder="1" applyAlignment="1">
      <alignment horizontal="center" vertical="center" wrapText="1"/>
    </xf>
    <xf numFmtId="49" fontId="16" fillId="16" borderId="14" xfId="0" applyNumberFormat="1" applyFont="1" applyFill="1" applyBorder="1" applyAlignment="1">
      <alignment horizontal="center" vertical="center" wrapText="1"/>
    </xf>
    <xf numFmtId="20" fontId="16" fillId="16" borderId="14" xfId="0" applyNumberFormat="1" applyFont="1" applyFill="1" applyBorder="1" applyAlignment="1">
      <alignment horizontal="center" vertical="center" wrapText="1"/>
    </xf>
    <xf numFmtId="0" fontId="16" fillId="16" borderId="34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vertical="center" wrapText="1"/>
    </xf>
    <xf numFmtId="164" fontId="16" fillId="16" borderId="16" xfId="0" applyNumberFormat="1" applyFont="1" applyFill="1" applyBorder="1" applyAlignment="1">
      <alignment horizontal="center" vertical="center" wrapText="1"/>
    </xf>
    <xf numFmtId="164" fontId="17" fillId="16" borderId="16" xfId="0" applyNumberFormat="1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0" fontId="18" fillId="16" borderId="16" xfId="0" applyFont="1" applyFill="1" applyBorder="1" applyAlignment="1">
      <alignment horizontal="center" vertical="center" wrapText="1"/>
    </xf>
    <xf numFmtId="49" fontId="16" fillId="16" borderId="17" xfId="0" applyNumberFormat="1" applyFont="1" applyFill="1" applyBorder="1" applyAlignment="1">
      <alignment horizontal="center" vertical="center" wrapText="1"/>
    </xf>
    <xf numFmtId="20" fontId="16" fillId="16" borderId="17" xfId="0" applyNumberFormat="1" applyFont="1" applyFill="1" applyBorder="1" applyAlignment="1">
      <alignment horizontal="center" vertical="center" wrapText="1"/>
    </xf>
    <xf numFmtId="0" fontId="16" fillId="17" borderId="37" xfId="0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vertical="center" wrapText="1"/>
    </xf>
    <xf numFmtId="164" fontId="16" fillId="17" borderId="20" xfId="0" applyNumberFormat="1" applyFont="1" applyFill="1" applyBorder="1" applyAlignment="1">
      <alignment horizontal="center" vertical="center" wrapText="1"/>
    </xf>
    <xf numFmtId="164" fontId="17" fillId="17" borderId="20" xfId="0" applyNumberFormat="1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8" fillId="17" borderId="20" xfId="0" applyFont="1" applyFill="1" applyBorder="1" applyAlignment="1">
      <alignment horizontal="center" vertical="center" wrapText="1"/>
    </xf>
    <xf numFmtId="49" fontId="16" fillId="17" borderId="21" xfId="0" applyNumberFormat="1" applyFont="1" applyFill="1" applyBorder="1" applyAlignment="1">
      <alignment horizontal="center" vertical="center" wrapText="1"/>
    </xf>
    <xf numFmtId="20" fontId="16" fillId="17" borderId="21" xfId="0" applyNumberFormat="1" applyFont="1" applyFill="1" applyBorder="1" applyAlignment="1">
      <alignment horizontal="center" vertical="center" wrapText="1"/>
    </xf>
    <xf numFmtId="0" fontId="16" fillId="17" borderId="40" xfId="0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vertical="center" wrapText="1"/>
    </xf>
    <xf numFmtId="164" fontId="16" fillId="17" borderId="11" xfId="0" applyNumberFormat="1" applyFont="1" applyFill="1" applyBorder="1" applyAlignment="1">
      <alignment horizontal="center" vertical="center" wrapText="1"/>
    </xf>
    <xf numFmtId="164" fontId="17" fillId="17" borderId="11" xfId="0" applyNumberFormat="1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left" vertical="center" wrapText="1"/>
    </xf>
    <xf numFmtId="0" fontId="18" fillId="17" borderId="11" xfId="0" applyFont="1" applyFill="1" applyBorder="1" applyAlignment="1">
      <alignment horizontal="center" vertical="center" wrapText="1"/>
    </xf>
    <xf numFmtId="49" fontId="16" fillId="17" borderId="41" xfId="0" applyNumberFormat="1" applyFont="1" applyFill="1" applyBorder="1" applyAlignment="1">
      <alignment horizontal="center" vertical="center" wrapText="1"/>
    </xf>
    <xf numFmtId="20" fontId="16" fillId="17" borderId="41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11" xfId="0" applyNumberFormat="1" applyFont="1" applyFill="1" applyBorder="1" applyAlignment="1">
      <alignment horizontal="left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39" xfId="0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vertical="center" wrapText="1"/>
    </xf>
    <xf numFmtId="164" fontId="16" fillId="17" borderId="10" xfId="0" applyNumberFormat="1" applyFont="1" applyFill="1" applyBorder="1" applyAlignment="1">
      <alignment horizontal="center" vertical="center" wrapText="1"/>
    </xf>
    <xf numFmtId="164" fontId="17" fillId="17" borderId="10" xfId="0" applyNumberFormat="1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0" fontId="18" fillId="17" borderId="10" xfId="0" applyFont="1" applyFill="1" applyBorder="1" applyAlignment="1">
      <alignment horizontal="center" vertical="center" wrapText="1"/>
    </xf>
    <xf numFmtId="49" fontId="16" fillId="17" borderId="27" xfId="0" applyNumberFormat="1" applyFont="1" applyFill="1" applyBorder="1" applyAlignment="1">
      <alignment horizontal="center" vertical="center" wrapText="1"/>
    </xf>
    <xf numFmtId="20" fontId="16" fillId="17" borderId="27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0" fontId="16" fillId="17" borderId="34" xfId="0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vertical="center" wrapText="1"/>
    </xf>
    <xf numFmtId="164" fontId="16" fillId="17" borderId="16" xfId="0" applyNumberFormat="1" applyFont="1" applyFill="1" applyBorder="1" applyAlignment="1">
      <alignment horizontal="center" vertical="center" wrapText="1"/>
    </xf>
    <xf numFmtId="164" fontId="17" fillId="17" borderId="16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6" fillId="17" borderId="16" xfId="0" applyNumberFormat="1" applyFont="1" applyFill="1" applyBorder="1" applyAlignment="1">
      <alignment horizontal="left" vertical="center" wrapText="1"/>
    </xf>
    <xf numFmtId="0" fontId="18" fillId="17" borderId="16" xfId="0" applyFont="1" applyFill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center" vertical="center" wrapText="1"/>
    </xf>
    <xf numFmtId="20" fontId="16" fillId="17" borderId="17" xfId="0" applyNumberFormat="1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39" xfId="0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vertical="center" wrapText="1"/>
    </xf>
    <xf numFmtId="164" fontId="16" fillId="16" borderId="10" xfId="0" applyNumberFormat="1" applyFont="1" applyFill="1" applyBorder="1" applyAlignment="1">
      <alignment horizontal="center" vertical="center" wrapText="1"/>
    </xf>
    <xf numFmtId="164" fontId="17" fillId="16" borderId="10" xfId="0" applyNumberFormat="1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0" fontId="18" fillId="16" borderId="10" xfId="0" applyFont="1" applyFill="1" applyBorder="1" applyAlignment="1">
      <alignment horizontal="center" vertical="center" wrapText="1"/>
    </xf>
    <xf numFmtId="49" fontId="16" fillId="16" borderId="27" xfId="0" applyNumberFormat="1" applyFont="1" applyFill="1" applyBorder="1" applyAlignment="1">
      <alignment horizontal="center" vertical="center" wrapText="1"/>
    </xf>
    <xf numFmtId="20" fontId="16" fillId="16" borderId="27" xfId="0" applyNumberFormat="1" applyFont="1" applyFill="1" applyBorder="1" applyAlignment="1">
      <alignment horizontal="center" vertical="center" wrapText="1"/>
    </xf>
    <xf numFmtId="0" fontId="16" fillId="17" borderId="36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vertical="center" wrapText="1"/>
    </xf>
    <xf numFmtId="164" fontId="16" fillId="17" borderId="18" xfId="0" applyNumberFormat="1" applyFont="1" applyFill="1" applyBorder="1" applyAlignment="1">
      <alignment horizontal="center" vertical="center" wrapText="1"/>
    </xf>
    <xf numFmtId="164" fontId="17" fillId="17" borderId="18" xfId="0" applyNumberFormat="1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0" fontId="18" fillId="17" borderId="18" xfId="0" applyFont="1" applyFill="1" applyBorder="1" applyAlignment="1">
      <alignment horizontal="center" vertical="center" wrapText="1"/>
    </xf>
    <xf numFmtId="49" fontId="16" fillId="17" borderId="19" xfId="0" applyNumberFormat="1" applyFont="1" applyFill="1" applyBorder="1" applyAlignment="1">
      <alignment horizontal="center" vertical="center" wrapText="1"/>
    </xf>
    <xf numFmtId="20" fontId="16" fillId="17" borderId="19" xfId="0" applyNumberFormat="1" applyFont="1" applyFill="1" applyBorder="1" applyAlignment="1">
      <alignment horizontal="center" vertical="center" wrapText="1"/>
    </xf>
    <xf numFmtId="0" fontId="16" fillId="17" borderId="50" xfId="0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vertical="center" wrapText="1"/>
    </xf>
    <xf numFmtId="164" fontId="16" fillId="17" borderId="24" xfId="0" applyNumberFormat="1" applyFont="1" applyFill="1" applyBorder="1" applyAlignment="1">
      <alignment horizontal="center" vertical="center" wrapText="1"/>
    </xf>
    <xf numFmtId="164" fontId="17" fillId="17" borderId="24" xfId="0" applyNumberFormat="1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0" fontId="18" fillId="17" borderId="24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center" vertical="center" wrapText="1"/>
    </xf>
    <xf numFmtId="20" fontId="16" fillId="17" borderId="25" xfId="0" applyNumberFormat="1" applyFont="1" applyFill="1" applyBorder="1" applyAlignment="1">
      <alignment horizontal="center" vertical="center" wrapText="1"/>
    </xf>
    <xf numFmtId="164" fontId="21" fillId="17" borderId="10" xfId="0" applyNumberFormat="1" applyFont="1" applyFill="1" applyBorder="1" applyAlignment="1">
      <alignment horizontal="center" vertical="center" wrapText="1"/>
    </xf>
    <xf numFmtId="2" fontId="16" fillId="17" borderId="16" xfId="0" applyNumberFormat="1" applyFont="1" applyFill="1" applyBorder="1" applyAlignment="1">
      <alignment horizontal="center" vertical="center" wrapText="1"/>
    </xf>
    <xf numFmtId="2" fontId="16" fillId="16" borderId="16" xfId="0" applyNumberFormat="1" applyFont="1" applyFill="1" applyBorder="1" applyAlignment="1">
      <alignment horizontal="center" vertical="center" wrapText="1"/>
    </xf>
    <xf numFmtId="2" fontId="17" fillId="16" borderId="16" xfId="0" applyNumberFormat="1" applyFont="1" applyFill="1" applyBorder="1" applyAlignment="1">
      <alignment horizontal="center" vertical="center" wrapText="1"/>
    </xf>
    <xf numFmtId="2" fontId="17" fillId="17" borderId="16" xfId="0" applyNumberFormat="1" applyFont="1" applyFill="1" applyBorder="1" applyAlignment="1">
      <alignment horizontal="center" vertical="center" wrapText="1"/>
    </xf>
    <xf numFmtId="0" fontId="16" fillId="16" borderId="48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vertical="center" wrapText="1"/>
    </xf>
    <xf numFmtId="164" fontId="16" fillId="16" borderId="1" xfId="0" applyNumberFormat="1" applyFont="1" applyFill="1" applyBorder="1" applyAlignment="1">
      <alignment horizontal="center" vertical="center" wrapText="1"/>
    </xf>
    <xf numFmtId="164" fontId="17" fillId="16" borderId="1" xfId="0" applyNumberFormat="1" applyFont="1" applyFill="1" applyBorder="1" applyAlignment="1">
      <alignment horizontal="center" vertical="center" wrapText="1"/>
    </xf>
    <xf numFmtId="0" fontId="18" fillId="16" borderId="1" xfId="0" applyFont="1" applyFill="1" applyBorder="1" applyAlignment="1">
      <alignment horizontal="center" vertical="center" wrapText="1"/>
    </xf>
    <xf numFmtId="0" fontId="16" fillId="16" borderId="32" xfId="0" applyFont="1" applyFill="1" applyBorder="1" applyAlignment="1">
      <alignment horizontal="center" vertical="center" wrapText="1"/>
    </xf>
    <xf numFmtId="49" fontId="16" fillId="16" borderId="22" xfId="0" applyNumberFormat="1" applyFont="1" applyFill="1" applyBorder="1" applyAlignment="1">
      <alignment horizontal="center" vertical="center" wrapText="1"/>
    </xf>
    <xf numFmtId="0" fontId="16" fillId="16" borderId="15" xfId="0" applyFont="1" applyFill="1" applyBorder="1" applyAlignment="1">
      <alignment horizontal="center" vertical="center" wrapText="1"/>
    </xf>
    <xf numFmtId="20" fontId="16" fillId="16" borderId="22" xfId="0" applyNumberFormat="1" applyFont="1" applyFill="1" applyBorder="1" applyAlignment="1">
      <alignment horizontal="center" vertical="center" wrapText="1"/>
    </xf>
    <xf numFmtId="2" fontId="16" fillId="16" borderId="11" xfId="0" applyNumberFormat="1" applyFont="1" applyFill="1" applyBorder="1" applyAlignment="1">
      <alignment horizontal="center" vertical="center" wrapText="1"/>
    </xf>
    <xf numFmtId="2" fontId="17" fillId="16" borderId="11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vertical="center" wrapText="1"/>
    </xf>
    <xf numFmtId="164" fontId="16" fillId="17" borderId="1" xfId="0" applyNumberFormat="1" applyFont="1" applyFill="1" applyBorder="1" applyAlignment="1">
      <alignment horizontal="center" vertical="center" wrapText="1"/>
    </xf>
    <xf numFmtId="164" fontId="17" fillId="17" borderId="1" xfId="0" applyNumberFormat="1" applyFont="1" applyFill="1" applyBorder="1" applyAlignment="1">
      <alignment horizontal="center" vertical="center" wrapText="1"/>
    </xf>
    <xf numFmtId="49" fontId="16" fillId="17" borderId="1" xfId="0" applyNumberFormat="1" applyFont="1" applyFill="1" applyBorder="1" applyAlignment="1">
      <alignment horizontal="left" vertical="center" wrapText="1"/>
    </xf>
    <xf numFmtId="0" fontId="18" fillId="17" borderId="1" xfId="0" applyFont="1" applyFill="1" applyBorder="1" applyAlignment="1">
      <alignment horizontal="center" vertical="center" wrapText="1"/>
    </xf>
    <xf numFmtId="0" fontId="16" fillId="16" borderId="36" xfId="0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vertical="center" wrapText="1"/>
    </xf>
    <xf numFmtId="164" fontId="16" fillId="16" borderId="18" xfId="0" applyNumberFormat="1" applyFont="1" applyFill="1" applyBorder="1" applyAlignment="1">
      <alignment horizontal="center" vertical="center" wrapText="1"/>
    </xf>
    <xf numFmtId="164" fontId="17" fillId="16" borderId="18" xfId="0" applyNumberFormat="1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6" fillId="16" borderId="18" xfId="0" applyNumberFormat="1" applyFont="1" applyFill="1" applyBorder="1" applyAlignment="1">
      <alignment horizontal="left" vertical="center" wrapText="1"/>
    </xf>
    <xf numFmtId="0" fontId="18" fillId="16" borderId="18" xfId="0" applyFont="1" applyFill="1" applyBorder="1" applyAlignment="1">
      <alignment horizontal="center" vertical="center" wrapText="1"/>
    </xf>
    <xf numFmtId="49" fontId="16" fillId="16" borderId="19" xfId="0" applyNumberFormat="1" applyFont="1" applyFill="1" applyBorder="1" applyAlignment="1">
      <alignment horizontal="center" vertical="center" wrapText="1"/>
    </xf>
    <xf numFmtId="20" fontId="16" fillId="16" borderId="19" xfId="0" applyNumberFormat="1" applyFont="1" applyFill="1" applyBorder="1" applyAlignment="1">
      <alignment horizontal="center" vertical="center" wrapText="1"/>
    </xf>
    <xf numFmtId="0" fontId="16" fillId="17" borderId="35" xfId="0" applyFont="1" applyFill="1" applyBorder="1" applyAlignment="1">
      <alignment horizontal="center" vertical="center" wrapText="1"/>
    </xf>
    <xf numFmtId="49" fontId="16" fillId="17" borderId="22" xfId="0" applyNumberFormat="1" applyFont="1" applyFill="1" applyBorder="1" applyAlignment="1">
      <alignment horizontal="center" vertical="center" wrapText="1"/>
    </xf>
    <xf numFmtId="20" fontId="16" fillId="17" borderId="22" xfId="0" applyNumberFormat="1" applyFont="1" applyFill="1" applyBorder="1" applyAlignment="1">
      <alignment horizontal="center" vertical="center" wrapText="1"/>
    </xf>
    <xf numFmtId="49" fontId="16" fillId="17" borderId="18" xfId="0" applyNumberFormat="1" applyFont="1" applyFill="1" applyBorder="1" applyAlignment="1">
      <alignment horizontal="left" vertical="center" wrapText="1"/>
    </xf>
    <xf numFmtId="0" fontId="16" fillId="17" borderId="68" xfId="0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vertical="center" wrapText="1"/>
    </xf>
    <xf numFmtId="164" fontId="16" fillId="17" borderId="69" xfId="0" applyNumberFormat="1" applyFont="1" applyFill="1" applyBorder="1" applyAlignment="1">
      <alignment horizontal="center" vertical="center" wrapText="1"/>
    </xf>
    <xf numFmtId="164" fontId="17" fillId="17" borderId="69" xfId="0" applyNumberFormat="1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8" fillId="17" borderId="69" xfId="0" applyFont="1" applyFill="1" applyBorder="1" applyAlignment="1">
      <alignment horizontal="center" vertical="center" wrapText="1"/>
    </xf>
    <xf numFmtId="49" fontId="16" fillId="17" borderId="70" xfId="0" applyNumberFormat="1" applyFont="1" applyFill="1" applyBorder="1" applyAlignment="1">
      <alignment horizontal="center" vertical="center" wrapText="1"/>
    </xf>
    <xf numFmtId="20" fontId="16" fillId="17" borderId="70" xfId="0" applyNumberFormat="1" applyFont="1" applyFill="1" applyBorder="1" applyAlignment="1">
      <alignment horizontal="center" vertical="center" wrapText="1"/>
    </xf>
    <xf numFmtId="0" fontId="16" fillId="16" borderId="68" xfId="0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vertical="center" wrapText="1"/>
    </xf>
    <xf numFmtId="164" fontId="16" fillId="16" borderId="69" xfId="0" applyNumberFormat="1" applyFont="1" applyFill="1" applyBorder="1" applyAlignment="1">
      <alignment horizontal="center" vertical="center" wrapText="1"/>
    </xf>
    <xf numFmtId="164" fontId="17" fillId="16" borderId="69" xfId="0" applyNumberFormat="1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0" fontId="18" fillId="16" borderId="69" xfId="0" applyFont="1" applyFill="1" applyBorder="1" applyAlignment="1">
      <alignment horizontal="center" vertical="center" wrapText="1"/>
    </xf>
    <xf numFmtId="49" fontId="16" fillId="16" borderId="70" xfId="0" applyNumberFormat="1" applyFont="1" applyFill="1" applyBorder="1" applyAlignment="1">
      <alignment horizontal="center" vertical="center" wrapText="1"/>
    </xf>
    <xf numFmtId="20" fontId="16" fillId="16" borderId="70" xfId="0" applyNumberFormat="1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vertical="center" wrapText="1"/>
    </xf>
    <xf numFmtId="2" fontId="16" fillId="16" borderId="69" xfId="0" applyNumberFormat="1" applyFont="1" applyFill="1" applyBorder="1" applyAlignment="1">
      <alignment horizontal="center" vertical="center" wrapText="1"/>
    </xf>
    <xf numFmtId="2" fontId="16" fillId="17" borderId="69" xfId="0" applyNumberFormat="1" applyFont="1" applyFill="1" applyBorder="1" applyAlignment="1">
      <alignment horizontal="center" vertical="center" wrapText="1"/>
    </xf>
    <xf numFmtId="2" fontId="17" fillId="17" borderId="69" xfId="0" applyNumberFormat="1" applyFont="1" applyFill="1" applyBorder="1" applyAlignment="1">
      <alignment horizontal="center" vertical="center" wrapText="1"/>
    </xf>
    <xf numFmtId="2" fontId="17" fillId="16" borderId="69" xfId="0" applyNumberFormat="1" applyFont="1" applyFill="1" applyBorder="1" applyAlignment="1">
      <alignment horizontal="center" vertical="center" wrapText="1"/>
    </xf>
    <xf numFmtId="0" fontId="16" fillId="17" borderId="25" xfId="0" applyFont="1" applyFill="1" applyBorder="1" applyAlignment="1">
      <alignment horizontal="center" vertical="center" wrapText="1"/>
    </xf>
    <xf numFmtId="165" fontId="16" fillId="16" borderId="69" xfId="0" applyNumberFormat="1" applyFont="1" applyFill="1" applyBorder="1" applyAlignment="1">
      <alignment horizontal="center" vertical="center" wrapText="1"/>
    </xf>
    <xf numFmtId="165" fontId="17" fillId="16" borderId="69" xfId="0" applyNumberFormat="1" applyFont="1" applyFill="1" applyBorder="1" applyAlignment="1">
      <alignment horizontal="center" vertical="center" wrapText="1"/>
    </xf>
    <xf numFmtId="0" fontId="16" fillId="40" borderId="9" xfId="0" applyFont="1" applyFill="1" applyBorder="1" applyAlignment="1">
      <alignment horizontal="center" vertical="center" wrapText="1"/>
    </xf>
    <xf numFmtId="0" fontId="16" fillId="40" borderId="26" xfId="0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vertical="center" wrapText="1"/>
    </xf>
    <xf numFmtId="164" fontId="16" fillId="40" borderId="13" xfId="0" applyNumberFormat="1" applyFont="1" applyFill="1" applyBorder="1" applyAlignment="1">
      <alignment horizontal="center" vertical="center" wrapText="1"/>
    </xf>
    <xf numFmtId="164" fontId="17" fillId="40" borderId="13" xfId="0" applyNumberFormat="1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6" fillId="40" borderId="13" xfId="0" applyNumberFormat="1" applyFont="1" applyFill="1" applyBorder="1" applyAlignment="1">
      <alignment horizontal="left" vertical="center" wrapText="1"/>
    </xf>
    <xf numFmtId="0" fontId="18" fillId="40" borderId="13" xfId="0" applyFont="1" applyFill="1" applyBorder="1" applyAlignment="1">
      <alignment horizontal="center" vertical="center" wrapText="1"/>
    </xf>
    <xf numFmtId="49" fontId="16" fillId="40" borderId="14" xfId="0" applyNumberFormat="1" applyFont="1" applyFill="1" applyBorder="1" applyAlignment="1">
      <alignment horizontal="center" vertical="center" wrapText="1"/>
    </xf>
    <xf numFmtId="20" fontId="16" fillId="40" borderId="14" xfId="0" applyNumberFormat="1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0" fontId="16" fillId="41" borderId="16" xfId="0" applyFont="1" applyFill="1" applyBorder="1" applyAlignment="1">
      <alignment vertical="center" wrapText="1"/>
    </xf>
    <xf numFmtId="164" fontId="16" fillId="41" borderId="16" xfId="0" applyNumberFormat="1" applyFont="1" applyFill="1" applyBorder="1" applyAlignment="1">
      <alignment horizontal="center" vertical="center" wrapText="1"/>
    </xf>
    <xf numFmtId="164" fontId="17" fillId="41" borderId="16" xfId="0" applyNumberFormat="1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left" vertical="center" wrapText="1"/>
    </xf>
    <xf numFmtId="0" fontId="18" fillId="41" borderId="16" xfId="0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center" vertical="center" wrapText="1"/>
    </xf>
    <xf numFmtId="17" fontId="16" fillId="41" borderId="16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vertical="center" wrapText="1"/>
    </xf>
    <xf numFmtId="164" fontId="16" fillId="42" borderId="16" xfId="0" applyNumberFormat="1" applyFont="1" applyFill="1" applyBorder="1" applyAlignment="1">
      <alignment horizontal="center" vertical="center" wrapText="1"/>
    </xf>
    <xf numFmtId="164" fontId="17" fillId="42" borderId="16" xfId="0" applyNumberFormat="1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left" vertical="center" wrapText="1"/>
    </xf>
    <xf numFmtId="0" fontId="18" fillId="42" borderId="16" xfId="0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center" vertical="center" wrapText="1"/>
    </xf>
    <xf numFmtId="17" fontId="16" fillId="0" borderId="16" xfId="0" applyNumberFormat="1" applyFont="1" applyBorder="1" applyAlignment="1">
      <alignment horizontal="center" vertical="center" wrapText="1"/>
    </xf>
    <xf numFmtId="0" fontId="16" fillId="43" borderId="16" xfId="0" applyFont="1" applyFill="1" applyBorder="1" applyAlignment="1">
      <alignment horizontal="center" vertical="center" wrapText="1"/>
    </xf>
    <xf numFmtId="0" fontId="41" fillId="43" borderId="16" xfId="0" applyFont="1" applyFill="1" applyBorder="1" applyAlignment="1">
      <alignment horizontal="center" vertical="center" wrapText="1"/>
    </xf>
    <xf numFmtId="0" fontId="42" fillId="0" borderId="16" xfId="0" applyFont="1" applyBorder="1" applyAlignment="1">
      <alignment horizontal="center" vertical="center" wrapText="1"/>
    </xf>
    <xf numFmtId="0" fontId="42" fillId="0" borderId="16" xfId="0" applyFont="1" applyBorder="1" applyAlignment="1">
      <alignment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164" fontId="43" fillId="0" borderId="16" xfId="0" applyNumberFormat="1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left" vertical="center" wrapText="1"/>
    </xf>
    <xf numFmtId="0" fontId="43" fillId="0" borderId="16" xfId="0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164" fontId="44" fillId="0" borderId="16" xfId="0" applyNumberFormat="1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left" vertical="center" wrapText="1"/>
    </xf>
    <xf numFmtId="0" fontId="44" fillId="0" borderId="16" xfId="0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center" vertical="center" wrapText="1"/>
    </xf>
    <xf numFmtId="0" fontId="16" fillId="41" borderId="24" xfId="0" applyFont="1" applyFill="1" applyBorder="1" applyAlignment="1">
      <alignment horizontal="center" vertical="center" wrapText="1"/>
    </xf>
    <xf numFmtId="0" fontId="16" fillId="41" borderId="24" xfId="0" applyFont="1" applyFill="1" applyBorder="1" applyAlignment="1">
      <alignment vertical="center" wrapText="1"/>
    </xf>
    <xf numFmtId="164" fontId="16" fillId="41" borderId="24" xfId="0" applyNumberFormat="1" applyFont="1" applyFill="1" applyBorder="1" applyAlignment="1">
      <alignment horizontal="center" vertical="center" wrapText="1"/>
    </xf>
    <xf numFmtId="164" fontId="17" fillId="41" borderId="24" xfId="0" applyNumberFormat="1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left" vertical="center" wrapText="1"/>
    </xf>
    <xf numFmtId="0" fontId="18" fillId="41" borderId="24" xfId="0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center" vertical="center" wrapText="1"/>
    </xf>
    <xf numFmtId="0" fontId="16" fillId="41" borderId="9" xfId="0" applyFont="1" applyFill="1" applyBorder="1" applyAlignment="1">
      <alignment horizontal="center" vertical="center" wrapText="1"/>
    </xf>
    <xf numFmtId="0" fontId="16" fillId="41" borderId="26" xfId="0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vertical="center" wrapText="1"/>
    </xf>
    <xf numFmtId="164" fontId="16" fillId="41" borderId="13" xfId="0" applyNumberFormat="1" applyFont="1" applyFill="1" applyBorder="1" applyAlignment="1">
      <alignment horizontal="center" vertical="center" wrapText="1"/>
    </xf>
    <xf numFmtId="164" fontId="17" fillId="41" borderId="13" xfId="0" applyNumberFormat="1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6" fillId="41" borderId="13" xfId="0" applyNumberFormat="1" applyFont="1" applyFill="1" applyBorder="1" applyAlignment="1">
      <alignment horizontal="left" vertical="center" wrapText="1"/>
    </xf>
    <xf numFmtId="0" fontId="18" fillId="41" borderId="13" xfId="0" applyFont="1" applyFill="1" applyBorder="1" applyAlignment="1">
      <alignment horizontal="center" vertical="center" wrapText="1"/>
    </xf>
    <xf numFmtId="49" fontId="16" fillId="41" borderId="14" xfId="0" applyNumberFormat="1" applyFont="1" applyFill="1" applyBorder="1" applyAlignment="1">
      <alignment horizontal="center" vertical="center" wrapText="1"/>
    </xf>
    <xf numFmtId="20" fontId="16" fillId="41" borderId="14" xfId="0" applyNumberFormat="1" applyFont="1" applyFill="1" applyBorder="1" applyAlignment="1">
      <alignment horizontal="center" vertical="center" wrapText="1"/>
    </xf>
    <xf numFmtId="0" fontId="16" fillId="41" borderId="37" xfId="0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vertical="center" wrapText="1"/>
    </xf>
    <xf numFmtId="164" fontId="16" fillId="41" borderId="20" xfId="0" applyNumberFormat="1" applyFont="1" applyFill="1" applyBorder="1" applyAlignment="1">
      <alignment horizontal="center" vertical="center" wrapText="1"/>
    </xf>
    <xf numFmtId="164" fontId="17" fillId="41" borderId="20" xfId="0" applyNumberFormat="1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6" fillId="41" borderId="20" xfId="0" applyNumberFormat="1" applyFont="1" applyFill="1" applyBorder="1" applyAlignment="1">
      <alignment horizontal="left" vertical="center" wrapText="1"/>
    </xf>
    <xf numFmtId="0" fontId="18" fillId="41" borderId="20" xfId="0" applyFont="1" applyFill="1" applyBorder="1" applyAlignment="1">
      <alignment horizontal="center" vertical="center" wrapText="1"/>
    </xf>
    <xf numFmtId="49" fontId="16" fillId="41" borderId="21" xfId="0" applyNumberFormat="1" applyFont="1" applyFill="1" applyBorder="1" applyAlignment="1">
      <alignment horizontal="center" vertical="center" wrapText="1"/>
    </xf>
    <xf numFmtId="20" fontId="16" fillId="41" borderId="21" xfId="0" applyNumberFormat="1" applyFont="1" applyFill="1" applyBorder="1" applyAlignment="1">
      <alignment horizontal="center" vertical="center" wrapText="1"/>
    </xf>
    <xf numFmtId="0" fontId="16" fillId="41" borderId="34" xfId="0" applyFont="1" applyFill="1" applyBorder="1" applyAlignment="1">
      <alignment horizontal="center" vertical="center" wrapText="1"/>
    </xf>
    <xf numFmtId="49" fontId="16" fillId="41" borderId="17" xfId="0" applyNumberFormat="1" applyFont="1" applyFill="1" applyBorder="1" applyAlignment="1">
      <alignment horizontal="center" vertical="center" wrapText="1"/>
    </xf>
    <xf numFmtId="20" fontId="16" fillId="41" borderId="17" xfId="0" applyNumberFormat="1" applyFont="1" applyFill="1" applyBorder="1" applyAlignment="1">
      <alignment horizontal="center" vertical="center" wrapText="1"/>
    </xf>
    <xf numFmtId="0" fontId="16" fillId="41" borderId="68" xfId="0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vertical="center" wrapText="1"/>
    </xf>
    <xf numFmtId="164" fontId="16" fillId="41" borderId="69" xfId="0" applyNumberFormat="1" applyFont="1" applyFill="1" applyBorder="1" applyAlignment="1">
      <alignment horizontal="center" vertical="center" wrapText="1"/>
    </xf>
    <xf numFmtId="164" fontId="17" fillId="41" borderId="69" xfId="0" applyNumberFormat="1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6" fillId="41" borderId="69" xfId="0" applyNumberFormat="1" applyFont="1" applyFill="1" applyBorder="1" applyAlignment="1">
      <alignment horizontal="left" vertical="center" wrapText="1"/>
    </xf>
    <xf numFmtId="0" fontId="18" fillId="41" borderId="69" xfId="0" applyFont="1" applyFill="1" applyBorder="1" applyAlignment="1">
      <alignment horizontal="center" vertical="center" wrapText="1"/>
    </xf>
    <xf numFmtId="49" fontId="16" fillId="41" borderId="70" xfId="0" applyNumberFormat="1" applyFont="1" applyFill="1" applyBorder="1" applyAlignment="1">
      <alignment horizontal="center" vertical="center" wrapText="1"/>
    </xf>
    <xf numFmtId="20" fontId="16" fillId="41" borderId="70" xfId="0" applyNumberFormat="1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40" borderId="37" xfId="0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vertical="center" wrapText="1"/>
    </xf>
    <xf numFmtId="164" fontId="16" fillId="40" borderId="20" xfId="0" applyNumberFormat="1" applyFont="1" applyFill="1" applyBorder="1" applyAlignment="1">
      <alignment horizontal="center" vertical="center" wrapText="1"/>
    </xf>
    <xf numFmtId="164" fontId="17" fillId="40" borderId="20" xfId="0" applyNumberFormat="1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horizontal="center" vertical="center" wrapText="1"/>
    </xf>
    <xf numFmtId="49" fontId="16" fillId="40" borderId="21" xfId="0" applyNumberFormat="1" applyFont="1" applyFill="1" applyBorder="1" applyAlignment="1">
      <alignment horizontal="center" vertical="center" wrapText="1"/>
    </xf>
    <xf numFmtId="20" fontId="16" fillId="40" borderId="21" xfId="0" applyNumberFormat="1" applyFont="1" applyFill="1" applyBorder="1" applyAlignment="1">
      <alignment horizontal="center" vertical="center" wrapText="1"/>
    </xf>
    <xf numFmtId="49" fontId="16" fillId="40" borderId="10" xfId="0" applyNumberFormat="1" applyFont="1" applyFill="1" applyBorder="1" applyAlignment="1">
      <alignment horizontal="left" vertical="center" wrapText="1"/>
    </xf>
    <xf numFmtId="0" fontId="45" fillId="0" borderId="0" xfId="0" applyFont="1" applyAlignment="1">
      <alignment vertical="center" wrapText="1"/>
    </xf>
    <xf numFmtId="0" fontId="16" fillId="17" borderId="32" xfId="0" applyFont="1" applyFill="1" applyBorder="1" applyAlignment="1">
      <alignment horizontal="center" vertical="center" wrapText="1"/>
    </xf>
    <xf numFmtId="0" fontId="16" fillId="17" borderId="47" xfId="0" applyFont="1" applyFill="1" applyBorder="1" applyAlignment="1">
      <alignment horizontal="center" vertical="center" wrapText="1"/>
    </xf>
    <xf numFmtId="0" fontId="16" fillId="17" borderId="17" xfId="0" applyFont="1" applyFill="1" applyBorder="1" applyAlignment="1">
      <alignment horizontal="center" vertical="center" wrapText="1"/>
    </xf>
    <xf numFmtId="0" fontId="16" fillId="17" borderId="23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vertical="center" wrapText="1"/>
    </xf>
    <xf numFmtId="164" fontId="16" fillId="16" borderId="71" xfId="0" applyNumberFormat="1" applyFont="1" applyFill="1" applyBorder="1" applyAlignment="1">
      <alignment horizontal="center" vertical="center" wrapText="1"/>
    </xf>
    <xf numFmtId="164" fontId="17" fillId="16" borderId="71" xfId="0" applyNumberFormat="1" applyFont="1" applyFill="1" applyBorder="1" applyAlignment="1">
      <alignment horizontal="center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0" fontId="18" fillId="16" borderId="71" xfId="0" applyFont="1" applyFill="1" applyBorder="1" applyAlignment="1">
      <alignment horizontal="center" vertical="center" wrapText="1"/>
    </xf>
    <xf numFmtId="0" fontId="16" fillId="16" borderId="77" xfId="0" applyFont="1" applyFill="1" applyBorder="1" applyAlignment="1">
      <alignment horizontal="center" vertical="center" wrapText="1"/>
    </xf>
    <xf numFmtId="20" fontId="16" fillId="16" borderId="78" xfId="0" applyNumberFormat="1" applyFont="1" applyFill="1" applyBorder="1" applyAlignment="1">
      <alignment horizontal="center" vertical="center" wrapText="1"/>
    </xf>
    <xf numFmtId="0" fontId="16" fillId="16" borderId="79" xfId="0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vertical="center" wrapText="1"/>
    </xf>
    <xf numFmtId="164" fontId="16" fillId="16" borderId="72" xfId="0" applyNumberFormat="1" applyFont="1" applyFill="1" applyBorder="1" applyAlignment="1">
      <alignment horizontal="center" vertical="center" wrapText="1"/>
    </xf>
    <xf numFmtId="164" fontId="17" fillId="16" borderId="72" xfId="0" applyNumberFormat="1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8" fillId="16" borderId="72" xfId="0" applyFont="1" applyFill="1" applyBorder="1" applyAlignment="1">
      <alignment horizontal="center" vertical="center" wrapText="1"/>
    </xf>
    <xf numFmtId="20" fontId="16" fillId="16" borderId="80" xfId="0" applyNumberFormat="1" applyFont="1" applyFill="1" applyBorder="1" applyAlignment="1">
      <alignment horizontal="center" vertical="center" wrapText="1"/>
    </xf>
    <xf numFmtId="49" fontId="16" fillId="16" borderId="78" xfId="0" applyNumberFormat="1" applyFont="1" applyFill="1" applyBorder="1" applyAlignment="1">
      <alignment horizontal="center" vertical="center" wrapText="1"/>
    </xf>
    <xf numFmtId="49" fontId="16" fillId="16" borderId="80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left" vertical="center" wrapText="1"/>
    </xf>
    <xf numFmtId="0" fontId="18" fillId="17" borderId="71" xfId="0" applyFont="1" applyFill="1" applyBorder="1" applyAlignment="1">
      <alignment horizontal="center" vertical="center" wrapText="1"/>
    </xf>
    <xf numFmtId="0" fontId="45" fillId="43" borderId="0" xfId="0" applyFont="1" applyFill="1" applyAlignment="1">
      <alignment vertical="center" wrapText="1"/>
    </xf>
    <xf numFmtId="20" fontId="16" fillId="17" borderId="80" xfId="0" applyNumberFormat="1" applyFont="1" applyFill="1" applyBorder="1" applyAlignment="1">
      <alignment horizontal="center" vertical="center" wrapText="1"/>
    </xf>
    <xf numFmtId="0" fontId="46" fillId="17" borderId="79" xfId="0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vertical="center" wrapText="1"/>
    </xf>
    <xf numFmtId="164" fontId="46" fillId="17" borderId="72" xfId="0" applyNumberFormat="1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horizontal="center" vertical="center" wrapText="1"/>
    </xf>
    <xf numFmtId="49" fontId="46" fillId="17" borderId="72" xfId="0" applyNumberFormat="1" applyFont="1" applyFill="1" applyBorder="1" applyAlignment="1">
      <alignment horizontal="left" vertical="center" wrapText="1"/>
    </xf>
    <xf numFmtId="49" fontId="46" fillId="17" borderId="80" xfId="0" applyNumberFormat="1" applyFont="1" applyFill="1" applyBorder="1" applyAlignment="1">
      <alignment horizontal="center" vertical="center" wrapText="1"/>
    </xf>
    <xf numFmtId="0" fontId="16" fillId="16" borderId="83" xfId="0" applyFont="1" applyFill="1" applyBorder="1" applyAlignment="1">
      <alignment horizontal="center" vertical="center" wrapText="1"/>
    </xf>
    <xf numFmtId="0" fontId="46" fillId="16" borderId="23" xfId="0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vertical="center" wrapText="1"/>
    </xf>
    <xf numFmtId="164" fontId="46" fillId="16" borderId="24" xfId="0" applyNumberFormat="1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horizontal="center" vertical="center" wrapText="1"/>
    </xf>
    <xf numFmtId="49" fontId="46" fillId="16" borderId="24" xfId="0" applyNumberFormat="1" applyFont="1" applyFill="1" applyBorder="1" applyAlignment="1">
      <alignment horizontal="left" vertical="center" wrapText="1"/>
    </xf>
    <xf numFmtId="49" fontId="46" fillId="16" borderId="25" xfId="0" applyNumberFormat="1" applyFont="1" applyFill="1" applyBorder="1" applyAlignment="1">
      <alignment horizontal="center" vertical="center" wrapText="1"/>
    </xf>
    <xf numFmtId="0" fontId="46" fillId="17" borderId="85" xfId="0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vertical="center" wrapText="1"/>
    </xf>
    <xf numFmtId="164" fontId="46" fillId="17" borderId="86" xfId="0" applyNumberFormat="1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horizontal="left" vertical="center" wrapText="1"/>
    </xf>
    <xf numFmtId="49" fontId="46" fillId="17" borderId="87" xfId="0" applyNumberFormat="1" applyFont="1" applyFill="1" applyBorder="1" applyAlignment="1">
      <alignment horizontal="center" vertical="center" wrapText="1"/>
    </xf>
    <xf numFmtId="20" fontId="16" fillId="17" borderId="87" xfId="0" applyNumberFormat="1" applyFont="1" applyFill="1" applyBorder="1" applyAlignment="1">
      <alignment horizontal="center" vertical="center" wrapText="1"/>
    </xf>
    <xf numFmtId="0" fontId="46" fillId="16" borderId="79" xfId="0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vertical="center" wrapText="1"/>
    </xf>
    <xf numFmtId="164" fontId="46" fillId="16" borderId="72" xfId="0" applyNumberFormat="1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horizontal="center" vertical="center" wrapText="1"/>
    </xf>
    <xf numFmtId="49" fontId="46" fillId="16" borderId="72" xfId="0" applyNumberFormat="1" applyFont="1" applyFill="1" applyBorder="1" applyAlignment="1">
      <alignment horizontal="left" vertical="center" wrapText="1"/>
    </xf>
    <xf numFmtId="49" fontId="46" fillId="16" borderId="80" xfId="0" applyNumberFormat="1" applyFont="1" applyFill="1" applyBorder="1" applyAlignment="1">
      <alignment horizontal="center" vertical="center" wrapText="1"/>
    </xf>
    <xf numFmtId="20" fontId="16" fillId="17" borderId="78" xfId="0" applyNumberFormat="1" applyFont="1" applyFill="1" applyBorder="1" applyAlignment="1">
      <alignment horizontal="center" vertical="center" wrapText="1"/>
    </xf>
    <xf numFmtId="0" fontId="16" fillId="17" borderId="88" xfId="0" applyFont="1" applyFill="1" applyBorder="1" applyAlignment="1">
      <alignment horizontal="center" vertical="center" wrapText="1"/>
    </xf>
    <xf numFmtId="0" fontId="46" fillId="17" borderId="77" xfId="0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vertical="center" wrapText="1"/>
    </xf>
    <xf numFmtId="164" fontId="46" fillId="17" borderId="71" xfId="0" applyNumberFormat="1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horizontal="center" vertical="center" wrapText="1"/>
    </xf>
    <xf numFmtId="49" fontId="46" fillId="17" borderId="71" xfId="0" applyNumberFormat="1" applyFont="1" applyFill="1" applyBorder="1" applyAlignment="1">
      <alignment horizontal="left" vertical="center" wrapText="1"/>
    </xf>
    <xf numFmtId="49" fontId="46" fillId="17" borderId="78" xfId="0" applyNumberFormat="1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vertical="center" wrapText="1"/>
    </xf>
    <xf numFmtId="164" fontId="16" fillId="17" borderId="71" xfId="0" applyNumberFormat="1" applyFont="1" applyFill="1" applyBorder="1" applyAlignment="1">
      <alignment horizontal="center" vertical="center" wrapText="1"/>
    </xf>
    <xf numFmtId="164" fontId="17" fillId="17" borderId="71" xfId="0" applyNumberFormat="1" applyFont="1" applyFill="1" applyBorder="1" applyAlignment="1">
      <alignment horizontal="center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0" fontId="16" fillId="17" borderId="77" xfId="0" applyFont="1" applyFill="1" applyBorder="1" applyAlignment="1">
      <alignment horizontal="center" vertical="center" wrapText="1"/>
    </xf>
    <xf numFmtId="49" fontId="16" fillId="17" borderId="78" xfId="0" applyNumberFormat="1" applyFont="1" applyFill="1" applyBorder="1" applyAlignment="1">
      <alignment horizontal="center" vertical="center" wrapText="1"/>
    </xf>
    <xf numFmtId="0" fontId="46" fillId="17" borderId="88" xfId="0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vertical="center" wrapText="1"/>
    </xf>
    <xf numFmtId="164" fontId="46" fillId="17" borderId="69" xfId="0" applyNumberFormat="1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horizontal="center" vertical="center" wrapText="1"/>
    </xf>
    <xf numFmtId="49" fontId="46" fillId="17" borderId="69" xfId="0" applyNumberFormat="1" applyFont="1" applyFill="1" applyBorder="1" applyAlignment="1">
      <alignment horizontal="left" vertical="center" wrapText="1"/>
    </xf>
    <xf numFmtId="49" fontId="46" fillId="17" borderId="70" xfId="0" applyNumberFormat="1" applyFont="1" applyFill="1" applyBorder="1" applyAlignment="1">
      <alignment horizontal="center" vertical="center" wrapText="1"/>
    </xf>
    <xf numFmtId="0" fontId="46" fillId="17" borderId="68" xfId="0" applyFont="1" applyFill="1" applyBorder="1" applyAlignment="1">
      <alignment horizontal="center" vertical="center" wrapText="1"/>
    </xf>
    <xf numFmtId="0" fontId="16" fillId="0" borderId="0" xfId="0" applyFont="1" applyAlignment="1">
      <alignment vertical="center"/>
    </xf>
    <xf numFmtId="0" fontId="45" fillId="0" borderId="0" xfId="0" applyFont="1" applyAlignment="1">
      <alignment horizontal="left" vertical="center"/>
    </xf>
    <xf numFmtId="166" fontId="45" fillId="0" borderId="0" xfId="0" applyNumberFormat="1" applyFont="1" applyAlignment="1">
      <alignment horizontal="right" vertical="center"/>
    </xf>
    <xf numFmtId="0" fontId="46" fillId="17" borderId="50" xfId="0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vertical="center" wrapText="1"/>
    </xf>
    <xf numFmtId="164" fontId="46" fillId="17" borderId="24" xfId="0" applyNumberFormat="1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horizontal="center" vertical="center" wrapText="1"/>
    </xf>
    <xf numFmtId="49" fontId="46" fillId="17" borderId="25" xfId="0" applyNumberFormat="1" applyFont="1" applyFill="1" applyBorder="1" applyAlignment="1">
      <alignment horizontal="center" vertical="center" wrapText="1"/>
    </xf>
    <xf numFmtId="0" fontId="46" fillId="16" borderId="85" xfId="0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vertical="center" wrapText="1"/>
    </xf>
    <xf numFmtId="164" fontId="46" fillId="16" borderId="86" xfId="0" applyNumberFormat="1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horizontal="center" vertical="center" wrapText="1"/>
    </xf>
    <xf numFmtId="49" fontId="46" fillId="16" borderId="87" xfId="0" applyNumberFormat="1" applyFont="1" applyFill="1" applyBorder="1" applyAlignment="1">
      <alignment horizontal="center" vertical="center" wrapText="1"/>
    </xf>
    <xf numFmtId="20" fontId="16" fillId="16" borderId="87" xfId="0" applyNumberFormat="1" applyFont="1" applyFill="1" applyBorder="1" applyAlignment="1">
      <alignment horizontal="center" vertical="center" wrapText="1"/>
    </xf>
    <xf numFmtId="166" fontId="45" fillId="0" borderId="0" xfId="0" applyNumberFormat="1" applyFont="1" applyAlignment="1">
      <alignment horizontal="left" vertical="center"/>
    </xf>
    <xf numFmtId="0" fontId="46" fillId="17" borderId="42" xfId="0" applyFont="1" applyFill="1" applyBorder="1" applyAlignment="1">
      <alignment horizontal="center" vertical="center" wrapText="1"/>
    </xf>
    <xf numFmtId="0" fontId="16" fillId="17" borderId="83" xfId="0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left" vertical="center" wrapText="1"/>
    </xf>
    <xf numFmtId="49" fontId="46" fillId="16" borderId="86" xfId="0" applyNumberFormat="1" applyFont="1" applyFill="1" applyBorder="1" applyAlignment="1">
      <alignment horizontal="left" vertical="center" wrapText="1"/>
    </xf>
    <xf numFmtId="0" fontId="46" fillId="17" borderId="23" xfId="0" applyFont="1" applyFill="1" applyBorder="1" applyAlignment="1">
      <alignment horizontal="center" vertical="center" wrapText="1"/>
    </xf>
    <xf numFmtId="0" fontId="46" fillId="16" borderId="88" xfId="0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vertical="center" wrapText="1"/>
    </xf>
    <xf numFmtId="164" fontId="46" fillId="16" borderId="69" xfId="0" applyNumberFormat="1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horizontal="center" vertical="center" wrapText="1"/>
    </xf>
    <xf numFmtId="49" fontId="46" fillId="16" borderId="69" xfId="0" applyNumberFormat="1" applyFont="1" applyFill="1" applyBorder="1" applyAlignment="1">
      <alignment horizontal="left" vertical="center" wrapText="1"/>
    </xf>
    <xf numFmtId="49" fontId="46" fillId="16" borderId="70" xfId="0" applyNumberFormat="1" applyFont="1" applyFill="1" applyBorder="1" applyAlignment="1">
      <alignment horizontal="center" vertical="center" wrapText="1"/>
    </xf>
    <xf numFmtId="0" fontId="46" fillId="16" borderId="68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vertical="center" wrapText="1"/>
    </xf>
    <xf numFmtId="164" fontId="46" fillId="16" borderId="71" xfId="0" applyNumberFormat="1" applyFont="1" applyFill="1" applyBorder="1" applyAlignment="1">
      <alignment horizontal="center" vertical="center" wrapText="1"/>
    </xf>
    <xf numFmtId="49" fontId="46" fillId="16" borderId="71" xfId="0" applyNumberFormat="1" applyFont="1" applyFill="1" applyBorder="1" applyAlignment="1">
      <alignment horizontal="left" vertical="center" wrapText="1"/>
    </xf>
    <xf numFmtId="0" fontId="46" fillId="16" borderId="77" xfId="0" applyFont="1" applyFill="1" applyBorder="1" applyAlignment="1">
      <alignment horizontal="center" vertical="center" wrapText="1"/>
    </xf>
    <xf numFmtId="49" fontId="46" fillId="16" borderId="78" xfId="0" applyNumberFormat="1" applyFont="1" applyFill="1" applyBorder="1" applyAlignment="1">
      <alignment horizontal="center" vertical="center" wrapText="1"/>
    </xf>
    <xf numFmtId="0" fontId="16" fillId="16" borderId="47" xfId="0" applyFont="1" applyFill="1" applyBorder="1" applyAlignment="1">
      <alignment horizontal="center" vertical="center" wrapText="1"/>
    </xf>
    <xf numFmtId="0" fontId="45" fillId="0" borderId="0" xfId="0" applyFont="1" applyAlignment="1">
      <alignment horizontal="left" vertical="center" wrapText="1"/>
    </xf>
    <xf numFmtId="49" fontId="16" fillId="16" borderId="14" xfId="0" applyNumberFormat="1" applyFont="1" applyFill="1" applyBorder="1" applyAlignment="1">
      <alignment horizontal="left" vertical="center" wrapText="1"/>
    </xf>
    <xf numFmtId="0" fontId="16" fillId="17" borderId="81" xfId="0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vertical="center" wrapText="1"/>
    </xf>
    <xf numFmtId="164" fontId="16" fillId="17" borderId="72" xfId="0" applyNumberFormat="1" applyFont="1" applyFill="1" applyBorder="1" applyAlignment="1">
      <alignment horizontal="center" vertical="center" wrapText="1"/>
    </xf>
    <xf numFmtId="164" fontId="17" fillId="17" borderId="72" xfId="0" applyNumberFormat="1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horizontal="center" vertical="center" wrapText="1"/>
    </xf>
    <xf numFmtId="49" fontId="16" fillId="17" borderId="72" xfId="0" applyNumberFormat="1" applyFont="1" applyFill="1" applyBorder="1" applyAlignment="1">
      <alignment horizontal="left" vertical="center" wrapText="1"/>
    </xf>
    <xf numFmtId="0" fontId="18" fillId="17" borderId="72" xfId="0" applyFont="1" applyFill="1" applyBorder="1" applyAlignment="1">
      <alignment horizontal="center" vertical="center" wrapText="1"/>
    </xf>
    <xf numFmtId="49" fontId="16" fillId="17" borderId="80" xfId="0" applyNumberFormat="1" applyFont="1" applyFill="1" applyBorder="1" applyAlignment="1">
      <alignment horizontal="center" vertical="center" wrapText="1"/>
    </xf>
    <xf numFmtId="0" fontId="46" fillId="17" borderId="81" xfId="0" applyFont="1" applyFill="1" applyBorder="1" applyAlignment="1">
      <alignment horizontal="center" vertical="center" wrapText="1"/>
    </xf>
    <xf numFmtId="0" fontId="16" fillId="16" borderId="42" xfId="0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vertical="center" wrapText="1"/>
    </xf>
    <xf numFmtId="164" fontId="16" fillId="16" borderId="86" xfId="0" applyNumberFormat="1" applyFont="1" applyFill="1" applyBorder="1" applyAlignment="1">
      <alignment horizontal="center" vertical="center" wrapText="1"/>
    </xf>
    <xf numFmtId="164" fontId="17" fillId="16" borderId="86" xfId="0" applyNumberFormat="1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8" fillId="16" borderId="86" xfId="0" applyFont="1" applyFill="1" applyBorder="1" applyAlignment="1">
      <alignment horizontal="center" vertical="center" wrapText="1"/>
    </xf>
    <xf numFmtId="49" fontId="16" fillId="16" borderId="87" xfId="0" applyNumberFormat="1" applyFont="1" applyFill="1" applyBorder="1" applyAlignment="1">
      <alignment horizontal="center" vertical="center" wrapText="1"/>
    </xf>
    <xf numFmtId="0" fontId="46" fillId="16" borderId="42" xfId="0" applyFont="1" applyFill="1" applyBorder="1" applyAlignment="1">
      <alignment horizontal="center" vertical="center" wrapText="1"/>
    </xf>
    <xf numFmtId="0" fontId="46" fillId="16" borderId="81" xfId="0" applyFont="1" applyFill="1" applyBorder="1" applyAlignment="1">
      <alignment horizontal="center" vertical="center" wrapText="1"/>
    </xf>
    <xf numFmtId="0" fontId="16" fillId="17" borderId="85" xfId="0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vertical="center" wrapText="1"/>
    </xf>
    <xf numFmtId="164" fontId="16" fillId="17" borderId="86" xfId="0" applyNumberFormat="1" applyFont="1" applyFill="1" applyBorder="1" applyAlignment="1">
      <alignment horizontal="center" vertical="center" wrapText="1"/>
    </xf>
    <xf numFmtId="164" fontId="17" fillId="17" borderId="86" xfId="0" applyNumberFormat="1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horizontal="center" vertical="center" wrapText="1"/>
    </xf>
    <xf numFmtId="0" fontId="18" fillId="17" borderId="86" xfId="0" applyFont="1" applyFill="1" applyBorder="1" applyAlignment="1">
      <alignment horizontal="center" vertical="center" wrapText="1"/>
    </xf>
    <xf numFmtId="49" fontId="16" fillId="17" borderId="87" xfId="0" applyNumberFormat="1" applyFont="1" applyFill="1" applyBorder="1" applyAlignment="1">
      <alignment horizontal="center" vertical="center" wrapText="1"/>
    </xf>
    <xf numFmtId="166" fontId="46" fillId="0" borderId="0" xfId="0" applyNumberFormat="1" applyFont="1" applyAlignment="1">
      <alignment vertical="center"/>
    </xf>
    <xf numFmtId="0" fontId="19" fillId="5" borderId="14" xfId="0" applyFont="1" applyFill="1" applyBorder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49" fontId="16" fillId="17" borderId="20" xfId="0" applyNumberFormat="1" applyFont="1" applyFill="1" applyBorder="1" applyAlignment="1">
      <alignment vertical="center" wrapText="1"/>
    </xf>
    <xf numFmtId="49" fontId="16" fillId="16" borderId="20" xfId="0" applyNumberFormat="1" applyFont="1" applyFill="1" applyBorder="1" applyAlignment="1">
      <alignment vertical="center" wrapText="1"/>
    </xf>
    <xf numFmtId="167" fontId="45" fillId="0" borderId="0" xfId="0" applyNumberFormat="1" applyFont="1" applyAlignment="1">
      <alignment horizontal="left" vertical="center"/>
    </xf>
    <xf numFmtId="49" fontId="46" fillId="17" borderId="72" xfId="0" applyNumberFormat="1" applyFont="1" applyFill="1" applyBorder="1" applyAlignment="1">
      <alignment vertical="center" wrapText="1"/>
    </xf>
    <xf numFmtId="49" fontId="46" fillId="16" borderId="69" xfId="0" applyNumberFormat="1" applyFont="1" applyFill="1" applyBorder="1" applyAlignment="1">
      <alignment vertical="center" wrapText="1"/>
    </xf>
    <xf numFmtId="49" fontId="46" fillId="16" borderId="71" xfId="0" applyNumberFormat="1" applyFont="1" applyFill="1" applyBorder="1" applyAlignment="1">
      <alignment vertical="center" wrapText="1"/>
    </xf>
    <xf numFmtId="49" fontId="46" fillId="16" borderId="24" xfId="0" applyNumberFormat="1" applyFont="1" applyFill="1" applyBorder="1" applyAlignment="1">
      <alignment vertical="center" wrapText="1"/>
    </xf>
    <xf numFmtId="0" fontId="46" fillId="17" borderId="34" xfId="0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vertical="center" wrapText="1"/>
    </xf>
    <xf numFmtId="164" fontId="46" fillId="17" borderId="16" xfId="0" applyNumberFormat="1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horizontal="center" vertical="center" wrapText="1"/>
    </xf>
    <xf numFmtId="49" fontId="46" fillId="17" borderId="16" xfId="0" applyNumberFormat="1" applyFont="1" applyFill="1" applyBorder="1" applyAlignment="1">
      <alignment horizontal="left" vertical="center" wrapText="1"/>
    </xf>
    <xf numFmtId="49" fontId="46" fillId="17" borderId="17" xfId="0" applyNumberFormat="1" applyFont="1" applyFill="1" applyBorder="1" applyAlignment="1">
      <alignment horizontal="center" vertical="center" wrapText="1"/>
    </xf>
    <xf numFmtId="0" fontId="16" fillId="40" borderId="34" xfId="0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vertical="center" wrapText="1"/>
    </xf>
    <xf numFmtId="164" fontId="16" fillId="40" borderId="16" xfId="0" applyNumberFormat="1" applyFont="1" applyFill="1" applyBorder="1" applyAlignment="1">
      <alignment horizontal="center" vertical="center" wrapText="1"/>
    </xf>
    <xf numFmtId="164" fontId="17" fillId="40" borderId="16" xfId="0" applyNumberFormat="1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horizontal="center" vertical="center" wrapText="1"/>
    </xf>
    <xf numFmtId="49" fontId="16" fillId="40" borderId="16" xfId="0" applyNumberFormat="1" applyFont="1" applyFill="1" applyBorder="1" applyAlignment="1">
      <alignment horizontal="left" vertical="center" wrapText="1"/>
    </xf>
    <xf numFmtId="0" fontId="18" fillId="40" borderId="16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center" vertical="center" wrapText="1"/>
    </xf>
    <xf numFmtId="20" fontId="16" fillId="40" borderId="17" xfId="0" applyNumberFormat="1" applyFont="1" applyFill="1" applyBorder="1" applyAlignment="1">
      <alignment horizontal="center" vertical="center" wrapText="1"/>
    </xf>
    <xf numFmtId="0" fontId="16" fillId="40" borderId="0" xfId="0" applyFont="1" applyFill="1" applyAlignment="1">
      <alignment horizontal="left" vertical="center" wrapText="1"/>
    </xf>
    <xf numFmtId="0" fontId="45" fillId="40" borderId="0" xfId="0" applyFont="1" applyFill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39" xfId="0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vertical="center" wrapText="1"/>
    </xf>
    <xf numFmtId="164" fontId="16" fillId="40" borderId="10" xfId="0" applyNumberFormat="1" applyFont="1" applyFill="1" applyBorder="1" applyAlignment="1">
      <alignment horizontal="center" vertical="center" wrapText="1"/>
    </xf>
    <xf numFmtId="164" fontId="17" fillId="40" borderId="10" xfId="0" applyNumberFormat="1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horizontal="center" vertical="center" wrapText="1"/>
    </xf>
    <xf numFmtId="0" fontId="18" fillId="40" borderId="10" xfId="0" applyFont="1" applyFill="1" applyBorder="1" applyAlignment="1">
      <alignment horizontal="center" vertical="center" wrapText="1"/>
    </xf>
    <xf numFmtId="49" fontId="16" fillId="40" borderId="27" xfId="0" applyNumberFormat="1" applyFont="1" applyFill="1" applyBorder="1" applyAlignment="1">
      <alignment horizontal="center" vertical="center" wrapText="1"/>
    </xf>
    <xf numFmtId="20" fontId="16" fillId="40" borderId="27" xfId="0" applyNumberFormat="1" applyFont="1" applyFill="1" applyBorder="1" applyAlignment="1">
      <alignment horizontal="center" vertical="center" wrapText="1"/>
    </xf>
    <xf numFmtId="49" fontId="16" fillId="40" borderId="20" xfId="0" applyNumberFormat="1" applyFont="1" applyFill="1" applyBorder="1" applyAlignment="1">
      <alignment horizontal="left" vertical="center" wrapText="1"/>
    </xf>
    <xf numFmtId="0" fontId="18" fillId="40" borderId="20" xfId="0" applyFont="1" applyFill="1" applyBorder="1" applyAlignment="1">
      <alignment horizontal="center" vertical="center" wrapText="1"/>
    </xf>
    <xf numFmtId="0" fontId="16" fillId="40" borderId="68" xfId="0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vertical="center" wrapText="1"/>
    </xf>
    <xf numFmtId="164" fontId="16" fillId="40" borderId="69" xfId="0" applyNumberFormat="1" applyFont="1" applyFill="1" applyBorder="1" applyAlignment="1">
      <alignment horizontal="center" vertical="center" wrapText="1"/>
    </xf>
    <xf numFmtId="164" fontId="17" fillId="40" borderId="69" xfId="0" applyNumberFormat="1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horizontal="center" vertical="center" wrapText="1"/>
    </xf>
    <xf numFmtId="49" fontId="16" fillId="40" borderId="69" xfId="0" applyNumberFormat="1" applyFont="1" applyFill="1" applyBorder="1" applyAlignment="1">
      <alignment horizontal="left" vertical="center" wrapText="1"/>
    </xf>
    <xf numFmtId="0" fontId="18" fillId="40" borderId="69" xfId="0" applyFont="1" applyFill="1" applyBorder="1" applyAlignment="1">
      <alignment horizontal="center" vertical="center" wrapText="1"/>
    </xf>
    <xf numFmtId="49" fontId="16" fillId="40" borderId="70" xfId="0" applyNumberFormat="1" applyFont="1" applyFill="1" applyBorder="1" applyAlignment="1">
      <alignment horizontal="center" vertical="center" wrapText="1"/>
    </xf>
    <xf numFmtId="20" fontId="16" fillId="40" borderId="70" xfId="0" applyNumberFormat="1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vertical="center" wrapText="1"/>
    </xf>
    <xf numFmtId="166" fontId="16" fillId="0" borderId="0" xfId="0" applyNumberFormat="1" applyFont="1" applyAlignment="1">
      <alignment vertical="center"/>
    </xf>
    <xf numFmtId="0" fontId="46" fillId="16" borderId="34" xfId="0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vertical="center" wrapText="1"/>
    </xf>
    <xf numFmtId="164" fontId="46" fillId="16" borderId="16" xfId="0" applyNumberFormat="1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horizontal="center" vertical="center" wrapText="1"/>
    </xf>
    <xf numFmtId="49" fontId="46" fillId="16" borderId="16" xfId="0" applyNumberFormat="1" applyFont="1" applyFill="1" applyBorder="1" applyAlignment="1">
      <alignment horizontal="left" vertical="center" wrapText="1"/>
    </xf>
    <xf numFmtId="49" fontId="46" fillId="16" borderId="17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vertical="center" wrapText="1"/>
    </xf>
    <xf numFmtId="0" fontId="16" fillId="17" borderId="79" xfId="0" applyFont="1" applyFill="1" applyBorder="1" applyAlignment="1">
      <alignment horizontal="center" vertical="center" wrapText="1"/>
    </xf>
    <xf numFmtId="0" fontId="47" fillId="0" borderId="0" xfId="0" applyFont="1"/>
    <xf numFmtId="0" fontId="16" fillId="40" borderId="50" xfId="0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vertical="center" wrapText="1"/>
    </xf>
    <xf numFmtId="164" fontId="16" fillId="40" borderId="24" xfId="0" applyNumberFormat="1" applyFont="1" applyFill="1" applyBorder="1" applyAlignment="1">
      <alignment horizontal="center" vertical="center" wrapText="1"/>
    </xf>
    <xf numFmtId="164" fontId="17" fillId="40" borderId="24" xfId="0" applyNumberFormat="1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horizontal="center" vertical="center" wrapText="1"/>
    </xf>
    <xf numFmtId="49" fontId="16" fillId="40" borderId="24" xfId="0" applyNumberFormat="1" applyFont="1" applyFill="1" applyBorder="1" applyAlignment="1">
      <alignment horizontal="left" vertical="center" wrapText="1"/>
    </xf>
    <xf numFmtId="0" fontId="18" fillId="40" borderId="24" xfId="0" applyFont="1" applyFill="1" applyBorder="1" applyAlignment="1">
      <alignment horizontal="center" vertical="center" wrapText="1"/>
    </xf>
    <xf numFmtId="49" fontId="16" fillId="40" borderId="25" xfId="0" applyNumberFormat="1" applyFont="1" applyFill="1" applyBorder="1" applyAlignment="1">
      <alignment horizontal="center" vertical="center" wrapText="1"/>
    </xf>
    <xf numFmtId="20" fontId="16" fillId="40" borderId="25" xfId="0" applyNumberFormat="1" applyFont="1" applyFill="1" applyBorder="1" applyAlignment="1">
      <alignment horizontal="center" vertical="center" wrapText="1"/>
    </xf>
    <xf numFmtId="0" fontId="16" fillId="44" borderId="16" xfId="0" applyFont="1" applyFill="1" applyBorder="1" applyAlignment="1">
      <alignment vertical="center" wrapText="1"/>
    </xf>
    <xf numFmtId="0" fontId="16" fillId="44" borderId="16" xfId="0" applyFont="1" applyFill="1" applyBorder="1" applyAlignment="1">
      <alignment horizontal="center" vertical="center" wrapText="1"/>
    </xf>
    <xf numFmtId="0" fontId="16" fillId="44" borderId="69" xfId="0" applyFont="1" applyFill="1" applyBorder="1" applyAlignment="1">
      <alignment vertical="center" wrapText="1"/>
    </xf>
    <xf numFmtId="0" fontId="16" fillId="44" borderId="69" xfId="0" applyFont="1" applyFill="1" applyBorder="1" applyAlignment="1">
      <alignment horizontal="center" vertical="center" wrapText="1"/>
    </xf>
    <xf numFmtId="0" fontId="16" fillId="44" borderId="13" xfId="0" applyFont="1" applyFill="1" applyBorder="1" applyAlignment="1">
      <alignment vertical="center" wrapText="1"/>
    </xf>
    <xf numFmtId="0" fontId="16" fillId="44" borderId="13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horizontal="center" vertical="center" wrapText="1"/>
    </xf>
    <xf numFmtId="49" fontId="21" fillId="16" borderId="13" xfId="0" applyNumberFormat="1" applyFont="1" applyFill="1" applyBorder="1" applyAlignment="1">
      <alignment horizontal="center" vertical="center" wrapText="1"/>
    </xf>
    <xf numFmtId="49" fontId="21" fillId="17" borderId="20" xfId="0" applyNumberFormat="1" applyFont="1" applyFill="1" applyBorder="1" applyAlignment="1">
      <alignment horizontal="center" vertical="center" wrapText="1"/>
    </xf>
    <xf numFmtId="49" fontId="21" fillId="17" borderId="6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vertical="center" wrapText="1"/>
    </xf>
    <xf numFmtId="164" fontId="46" fillId="16" borderId="2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left" vertical="center" wrapText="1"/>
    </xf>
    <xf numFmtId="20" fontId="46" fillId="16" borderId="78" xfId="0" applyNumberFormat="1" applyFont="1" applyFill="1" applyBorder="1" applyAlignment="1">
      <alignment horizontal="center" vertical="center" wrapText="1"/>
    </xf>
    <xf numFmtId="20" fontId="46" fillId="16" borderId="80" xfId="0" applyNumberFormat="1" applyFont="1" applyFill="1" applyBorder="1" applyAlignment="1">
      <alignment horizontal="center" vertical="center" wrapText="1"/>
    </xf>
    <xf numFmtId="0" fontId="16" fillId="40" borderId="47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left" vertical="center" wrapText="1"/>
    </xf>
    <xf numFmtId="0" fontId="45" fillId="46" borderId="0" xfId="0" applyFont="1" applyFill="1" applyAlignment="1">
      <alignment horizontal="left" vertical="center" wrapText="1"/>
    </xf>
    <xf numFmtId="49" fontId="46" fillId="16" borderId="20" xfId="0" applyNumberFormat="1" applyFont="1" applyFill="1" applyBorder="1" applyAlignment="1">
      <alignment horizontal="left" vertical="center" wrapText="1"/>
    </xf>
    <xf numFmtId="0" fontId="46" fillId="40" borderId="34" xfId="0" applyFont="1" applyFill="1" applyBorder="1" applyAlignment="1">
      <alignment horizontal="center" vertical="center" wrapText="1"/>
    </xf>
    <xf numFmtId="0" fontId="46" fillId="40" borderId="16" xfId="0" applyFont="1" applyFill="1" applyBorder="1" applyAlignment="1">
      <alignment vertical="center" wrapText="1"/>
    </xf>
    <xf numFmtId="164" fontId="46" fillId="40" borderId="16" xfId="0" applyNumberFormat="1" applyFont="1" applyFill="1" applyBorder="1" applyAlignment="1">
      <alignment horizontal="center" vertical="center" wrapText="1"/>
    </xf>
    <xf numFmtId="0" fontId="46" fillId="40" borderId="16" xfId="0" applyFont="1" applyFill="1" applyBorder="1" applyAlignment="1">
      <alignment horizontal="center" vertical="center" wrapText="1"/>
    </xf>
    <xf numFmtId="49" fontId="46" fillId="40" borderId="16" xfId="0" applyNumberFormat="1" applyFont="1" applyFill="1" applyBorder="1" applyAlignment="1">
      <alignment horizontal="left" vertical="center" wrapText="1"/>
    </xf>
    <xf numFmtId="49" fontId="46" fillId="40" borderId="17" xfId="0" applyNumberFormat="1" applyFont="1" applyFill="1" applyBorder="1" applyAlignment="1">
      <alignment horizontal="center" vertical="center" wrapText="1"/>
    </xf>
    <xf numFmtId="164" fontId="21" fillId="17" borderId="16" xfId="0" applyNumberFormat="1" applyFont="1" applyFill="1" applyBorder="1" applyAlignment="1">
      <alignment horizontal="center" vertical="center" wrapText="1"/>
    </xf>
    <xf numFmtId="164" fontId="21" fillId="17" borderId="24" xfId="0" applyNumberFormat="1" applyFont="1" applyFill="1" applyBorder="1" applyAlignment="1">
      <alignment horizontal="center" vertical="center" wrapText="1"/>
    </xf>
    <xf numFmtId="164" fontId="21" fillId="40" borderId="20" xfId="0" applyNumberFormat="1" applyFont="1" applyFill="1" applyBorder="1" applyAlignment="1">
      <alignment horizontal="center" vertical="center" wrapText="1"/>
    </xf>
    <xf numFmtId="0" fontId="46" fillId="40" borderId="23" xfId="0" applyFont="1" applyFill="1" applyBorder="1" applyAlignment="1">
      <alignment horizontal="center" vertical="center" wrapText="1"/>
    </xf>
    <xf numFmtId="0" fontId="46" fillId="40" borderId="24" xfId="0" applyFont="1" applyFill="1" applyBorder="1" applyAlignment="1">
      <alignment vertical="center" wrapText="1"/>
    </xf>
    <xf numFmtId="164" fontId="46" fillId="40" borderId="24" xfId="0" applyNumberFormat="1" applyFont="1" applyFill="1" applyBorder="1" applyAlignment="1">
      <alignment horizontal="center" vertical="center" wrapText="1"/>
    </xf>
    <xf numFmtId="0" fontId="46" fillId="40" borderId="24" xfId="0" applyFont="1" applyFill="1" applyBorder="1" applyAlignment="1">
      <alignment horizontal="center" vertical="center" wrapText="1"/>
    </xf>
    <xf numFmtId="49" fontId="46" fillId="40" borderId="71" xfId="0" applyNumberFormat="1" applyFont="1" applyFill="1" applyBorder="1" applyAlignment="1">
      <alignment horizontal="left" vertical="center" wrapText="1"/>
    </xf>
    <xf numFmtId="49" fontId="46" fillId="40" borderId="25" xfId="0" applyNumberFormat="1" applyFont="1" applyFill="1" applyBorder="1" applyAlignment="1">
      <alignment horizontal="center" vertical="center" wrapText="1"/>
    </xf>
    <xf numFmtId="0" fontId="16" fillId="47" borderId="32" xfId="0" applyFont="1" applyFill="1" applyBorder="1" applyAlignment="1">
      <alignment horizontal="center" vertical="center" wrapText="1"/>
    </xf>
    <xf numFmtId="0" fontId="16" fillId="47" borderId="20" xfId="0" applyFont="1" applyFill="1" applyBorder="1" applyAlignment="1">
      <alignment vertical="center" wrapText="1"/>
    </xf>
    <xf numFmtId="164" fontId="16" fillId="47" borderId="20" xfId="0" applyNumberFormat="1" applyFont="1" applyFill="1" applyBorder="1" applyAlignment="1">
      <alignment horizontal="center" vertical="center" wrapText="1"/>
    </xf>
    <xf numFmtId="164" fontId="17" fillId="47" borderId="20" xfId="0" applyNumberFormat="1" applyFont="1" applyFill="1" applyBorder="1" applyAlignment="1">
      <alignment horizontal="center" vertical="center" wrapText="1"/>
    </xf>
    <xf numFmtId="0" fontId="16" fillId="47" borderId="20" xfId="0" applyFont="1" applyFill="1" applyBorder="1" applyAlignment="1">
      <alignment horizontal="center" vertical="center" wrapText="1"/>
    </xf>
    <xf numFmtId="0" fontId="18" fillId="47" borderId="20" xfId="0" applyFont="1" applyFill="1" applyBorder="1" applyAlignment="1">
      <alignment horizontal="center" vertical="center" wrapText="1"/>
    </xf>
    <xf numFmtId="49" fontId="16" fillId="47" borderId="21" xfId="0" applyNumberFormat="1" applyFont="1" applyFill="1" applyBorder="1" applyAlignment="1">
      <alignment horizontal="center" vertical="center" wrapText="1"/>
    </xf>
    <xf numFmtId="20" fontId="16" fillId="47" borderId="21" xfId="0" applyNumberFormat="1" applyFont="1" applyFill="1" applyBorder="1" applyAlignment="1">
      <alignment horizontal="center" vertical="center" wrapText="1"/>
    </xf>
    <xf numFmtId="0" fontId="16" fillId="47" borderId="77" xfId="0" applyFont="1" applyFill="1" applyBorder="1" applyAlignment="1">
      <alignment horizontal="center" vertical="center" wrapText="1"/>
    </xf>
    <xf numFmtId="0" fontId="16" fillId="47" borderId="71" xfId="0" applyFont="1" applyFill="1" applyBorder="1" applyAlignment="1">
      <alignment vertical="center" wrapText="1"/>
    </xf>
    <xf numFmtId="164" fontId="16" fillId="47" borderId="71" xfId="0" applyNumberFormat="1" applyFont="1" applyFill="1" applyBorder="1" applyAlignment="1">
      <alignment horizontal="center" vertical="center" wrapText="1"/>
    </xf>
    <xf numFmtId="164" fontId="17" fillId="47" borderId="71" xfId="0" applyNumberFormat="1" applyFont="1" applyFill="1" applyBorder="1" applyAlignment="1">
      <alignment horizontal="center" vertical="center" wrapText="1"/>
    </xf>
    <xf numFmtId="0" fontId="16" fillId="47" borderId="71" xfId="0" applyFont="1" applyFill="1" applyBorder="1" applyAlignment="1">
      <alignment horizontal="center" vertical="center" wrapText="1"/>
    </xf>
    <xf numFmtId="49" fontId="16" fillId="47" borderId="71" xfId="0" applyNumberFormat="1" applyFont="1" applyFill="1" applyBorder="1" applyAlignment="1">
      <alignment horizontal="left" vertical="center" wrapText="1"/>
    </xf>
    <xf numFmtId="0" fontId="18" fillId="47" borderId="71" xfId="0" applyFont="1" applyFill="1" applyBorder="1" applyAlignment="1">
      <alignment horizontal="center" vertical="center" wrapText="1"/>
    </xf>
    <xf numFmtId="49" fontId="16" fillId="47" borderId="78" xfId="0" applyNumberFormat="1" applyFont="1" applyFill="1" applyBorder="1" applyAlignment="1">
      <alignment horizontal="center" vertical="center" wrapText="1"/>
    </xf>
    <xf numFmtId="20" fontId="16" fillId="47" borderId="78" xfId="0" applyNumberFormat="1" applyFont="1" applyFill="1" applyBorder="1" applyAlignment="1">
      <alignment horizontal="center" vertical="center" wrapText="1"/>
    </xf>
    <xf numFmtId="0" fontId="46" fillId="47" borderId="77" xfId="0" applyFont="1" applyFill="1" applyBorder="1" applyAlignment="1">
      <alignment horizontal="center" vertical="center" wrapText="1"/>
    </xf>
    <xf numFmtId="0" fontId="46" fillId="47" borderId="71" xfId="0" applyFont="1" applyFill="1" applyBorder="1" applyAlignment="1">
      <alignment vertical="center" wrapText="1"/>
    </xf>
    <xf numFmtId="164" fontId="46" fillId="47" borderId="71" xfId="0" applyNumberFormat="1" applyFont="1" applyFill="1" applyBorder="1" applyAlignment="1">
      <alignment horizontal="center" vertical="center" wrapText="1"/>
    </xf>
    <xf numFmtId="0" fontId="46" fillId="47" borderId="71" xfId="0" applyFont="1" applyFill="1" applyBorder="1" applyAlignment="1">
      <alignment horizontal="center" vertical="center" wrapText="1"/>
    </xf>
    <xf numFmtId="49" fontId="46" fillId="47" borderId="71" xfId="0" applyNumberFormat="1" applyFont="1" applyFill="1" applyBorder="1" applyAlignment="1">
      <alignment horizontal="left" vertical="center" wrapText="1"/>
    </xf>
    <xf numFmtId="49" fontId="46" fillId="47" borderId="78" xfId="0" applyNumberFormat="1" applyFont="1" applyFill="1" applyBorder="1" applyAlignment="1">
      <alignment horizontal="center" vertical="center" wrapText="1"/>
    </xf>
    <xf numFmtId="0" fontId="46" fillId="47" borderId="79" xfId="0" applyFont="1" applyFill="1" applyBorder="1" applyAlignment="1">
      <alignment horizontal="center" vertical="center" wrapText="1"/>
    </xf>
    <xf numFmtId="0" fontId="46" fillId="47" borderId="72" xfId="0" applyFont="1" applyFill="1" applyBorder="1" applyAlignment="1">
      <alignment vertical="center" wrapText="1"/>
    </xf>
    <xf numFmtId="164" fontId="46" fillId="47" borderId="72" xfId="0" applyNumberFormat="1" applyFont="1" applyFill="1" applyBorder="1" applyAlignment="1">
      <alignment horizontal="center" vertical="center" wrapText="1"/>
    </xf>
    <xf numFmtId="0" fontId="46" fillId="47" borderId="72" xfId="0" applyFont="1" applyFill="1" applyBorder="1" applyAlignment="1">
      <alignment horizontal="center" vertical="center" wrapText="1"/>
    </xf>
    <xf numFmtId="49" fontId="46" fillId="47" borderId="72" xfId="0" applyNumberFormat="1" applyFont="1" applyFill="1" applyBorder="1" applyAlignment="1">
      <alignment horizontal="left" vertical="center" wrapText="1"/>
    </xf>
    <xf numFmtId="49" fontId="46" fillId="47" borderId="80" xfId="0" applyNumberFormat="1" applyFont="1" applyFill="1" applyBorder="1" applyAlignment="1">
      <alignment horizontal="center" vertical="center" wrapText="1"/>
    </xf>
    <xf numFmtId="20" fontId="16" fillId="47" borderId="80" xfId="0" applyNumberFormat="1" applyFont="1" applyFill="1" applyBorder="1" applyAlignment="1">
      <alignment horizontal="center" vertical="center" wrapText="1"/>
    </xf>
    <xf numFmtId="49" fontId="17" fillId="47" borderId="20" xfId="0" applyNumberFormat="1" applyFont="1" applyFill="1" applyBorder="1" applyAlignment="1">
      <alignment horizontal="left" vertical="center" wrapText="1"/>
    </xf>
    <xf numFmtId="0" fontId="16" fillId="43" borderId="68" xfId="0" applyFont="1" applyFill="1" applyBorder="1" applyAlignment="1">
      <alignment horizontal="center" vertical="center" wrapText="1"/>
    </xf>
    <xf numFmtId="0" fontId="16" fillId="43" borderId="69" xfId="0" applyFont="1" applyFill="1" applyBorder="1" applyAlignment="1">
      <alignment vertical="center" wrapText="1"/>
    </xf>
    <xf numFmtId="164" fontId="16" fillId="43" borderId="69" xfId="0" applyNumberFormat="1" applyFont="1" applyFill="1" applyBorder="1" applyAlignment="1">
      <alignment horizontal="center" vertical="center" wrapText="1"/>
    </xf>
    <xf numFmtId="164" fontId="17" fillId="43" borderId="69" xfId="0" applyNumberFormat="1" applyFont="1" applyFill="1" applyBorder="1" applyAlignment="1">
      <alignment horizontal="center" vertical="center" wrapText="1"/>
    </xf>
    <xf numFmtId="0" fontId="16" fillId="43" borderId="69" xfId="0" applyFont="1" applyFill="1" applyBorder="1" applyAlignment="1">
      <alignment horizontal="center" vertical="center" wrapText="1"/>
    </xf>
    <xf numFmtId="0" fontId="18" fillId="43" borderId="69" xfId="0" applyFont="1" applyFill="1" applyBorder="1" applyAlignment="1">
      <alignment horizontal="center" vertical="center" wrapText="1"/>
    </xf>
    <xf numFmtId="49" fontId="16" fillId="43" borderId="70" xfId="0" applyNumberFormat="1" applyFont="1" applyFill="1" applyBorder="1" applyAlignment="1">
      <alignment horizontal="center" vertical="center" wrapText="1"/>
    </xf>
    <xf numFmtId="20" fontId="16" fillId="43" borderId="70" xfId="0" applyNumberFormat="1" applyFont="1" applyFill="1" applyBorder="1" applyAlignment="1">
      <alignment horizontal="center" vertical="center" wrapText="1"/>
    </xf>
    <xf numFmtId="0" fontId="46" fillId="16" borderId="50" xfId="0" applyFont="1" applyFill="1" applyBorder="1" applyAlignment="1">
      <alignment horizontal="center" vertical="center" wrapText="1"/>
    </xf>
    <xf numFmtId="0" fontId="46" fillId="40" borderId="85" xfId="0" applyFont="1" applyFill="1" applyBorder="1" applyAlignment="1">
      <alignment horizontal="center" vertical="center" wrapText="1"/>
    </xf>
    <xf numFmtId="0" fontId="46" fillId="40" borderId="86" xfId="0" applyFont="1" applyFill="1" applyBorder="1" applyAlignment="1">
      <alignment vertical="center" wrapText="1"/>
    </xf>
    <xf numFmtId="164" fontId="46" fillId="40" borderId="86" xfId="0" applyNumberFormat="1" applyFont="1" applyFill="1" applyBorder="1" applyAlignment="1">
      <alignment horizontal="center" vertical="center" wrapText="1"/>
    </xf>
    <xf numFmtId="0" fontId="46" fillId="40" borderId="86" xfId="0" applyFont="1" applyFill="1" applyBorder="1" applyAlignment="1">
      <alignment horizontal="center" vertical="center" wrapText="1"/>
    </xf>
    <xf numFmtId="49" fontId="46" fillId="40" borderId="86" xfId="0" applyNumberFormat="1" applyFont="1" applyFill="1" applyBorder="1" applyAlignment="1">
      <alignment horizontal="left" vertical="center" wrapText="1"/>
    </xf>
    <xf numFmtId="49" fontId="46" fillId="40" borderId="87" xfId="0" applyNumberFormat="1" applyFont="1" applyFill="1" applyBorder="1" applyAlignment="1">
      <alignment horizontal="center" vertical="center" wrapText="1"/>
    </xf>
    <xf numFmtId="20" fontId="16" fillId="40" borderId="87" xfId="0" applyNumberFormat="1" applyFont="1" applyFill="1" applyBorder="1" applyAlignment="1">
      <alignment horizontal="center" vertical="center" wrapText="1"/>
    </xf>
    <xf numFmtId="0" fontId="46" fillId="16" borderId="83" xfId="0" applyFont="1" applyFill="1" applyBorder="1" applyAlignment="1">
      <alignment horizontal="center" vertical="center" wrapText="1"/>
    </xf>
    <xf numFmtId="0" fontId="16" fillId="16" borderId="31" xfId="0" applyFont="1" applyFill="1" applyBorder="1" applyAlignment="1">
      <alignment horizontal="center" vertical="center" wrapText="1"/>
    </xf>
    <xf numFmtId="0" fontId="16" fillId="16" borderId="12" xfId="0" applyFont="1" applyFill="1" applyBorder="1" applyAlignment="1">
      <alignment horizontal="center" vertical="center" wrapText="1"/>
    </xf>
    <xf numFmtId="0" fontId="46" fillId="17" borderId="83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7" borderId="38" xfId="0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0" fontId="16" fillId="17" borderId="84" xfId="0" applyFont="1" applyFill="1" applyBorder="1" applyAlignment="1">
      <alignment horizontal="center" vertical="center" wrapText="1"/>
    </xf>
    <xf numFmtId="0" fontId="16" fillId="17" borderId="75" xfId="0" applyFont="1" applyFill="1" applyBorder="1" applyAlignment="1">
      <alignment horizontal="center" vertical="center" wrapText="1"/>
    </xf>
    <xf numFmtId="0" fontId="16" fillId="17" borderId="82" xfId="0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17" borderId="49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6" fillId="16" borderId="49" xfId="0" applyFont="1" applyFill="1" applyBorder="1" applyAlignment="1">
      <alignment horizontal="center" vertical="center" wrapText="1"/>
    </xf>
    <xf numFmtId="0" fontId="16" fillId="16" borderId="84" xfId="0" applyFont="1" applyFill="1" applyBorder="1" applyAlignment="1">
      <alignment horizontal="center" vertical="center" wrapText="1"/>
    </xf>
    <xf numFmtId="0" fontId="16" fillId="16" borderId="82" xfId="0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6" fillId="16" borderId="75" xfId="0" applyFont="1" applyFill="1" applyBorder="1" applyAlignment="1">
      <alignment horizontal="center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49" fontId="16" fillId="17" borderId="10" xfId="0" applyNumberFormat="1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49" fontId="16" fillId="17" borderId="86" xfId="0" applyNumberFormat="1" applyFont="1" applyFill="1" applyBorder="1" applyAlignment="1">
      <alignment horizontal="left" vertical="center" wrapText="1"/>
    </xf>
    <xf numFmtId="0" fontId="16" fillId="47" borderId="84" xfId="0" applyFont="1" applyFill="1" applyBorder="1" applyAlignment="1">
      <alignment horizontal="center" vertical="center" wrapText="1"/>
    </xf>
    <xf numFmtId="0" fontId="16" fillId="47" borderId="75" xfId="0" applyFont="1" applyFill="1" applyBorder="1" applyAlignment="1">
      <alignment horizontal="center" vertical="center" wrapText="1"/>
    </xf>
    <xf numFmtId="0" fontId="16" fillId="47" borderId="82" xfId="0" applyFont="1" applyFill="1" applyBorder="1" applyAlignment="1">
      <alignment horizontal="center" vertical="center" wrapText="1"/>
    </xf>
    <xf numFmtId="49" fontId="17" fillId="16" borderId="24" xfId="0" applyNumberFormat="1" applyFont="1" applyFill="1" applyBorder="1" applyAlignment="1">
      <alignment horizontal="center" vertical="center" wrapText="1"/>
    </xf>
    <xf numFmtId="49" fontId="17" fillId="16" borderId="69" xfId="0" applyNumberFormat="1" applyFont="1" applyFill="1" applyBorder="1" applyAlignment="1">
      <alignment horizontal="center" vertical="center" wrapText="1"/>
    </xf>
    <xf numFmtId="0" fontId="16" fillId="17" borderId="74" xfId="0" applyFont="1" applyFill="1" applyBorder="1" applyAlignment="1">
      <alignment horizontal="center" vertical="center" wrapText="1"/>
    </xf>
    <xf numFmtId="0" fontId="16" fillId="17" borderId="76" xfId="0" applyFont="1" applyFill="1" applyBorder="1" applyAlignment="1">
      <alignment horizontal="center" vertical="center" wrapText="1"/>
    </xf>
    <xf numFmtId="49" fontId="46" fillId="17" borderId="10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center" vertical="center" wrapText="1"/>
    </xf>
    <xf numFmtId="49" fontId="16" fillId="17" borderId="86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center" vertical="center" wrapText="1"/>
    </xf>
    <xf numFmtId="0" fontId="16" fillId="17" borderId="51" xfId="0" applyFont="1" applyFill="1" applyBorder="1" applyAlignment="1">
      <alignment horizontal="center" vertical="center" wrapText="1"/>
    </xf>
    <xf numFmtId="0" fontId="16" fillId="17" borderId="73" xfId="0" applyFont="1" applyFill="1" applyBorder="1" applyAlignment="1">
      <alignment horizontal="center" vertical="center" wrapText="1"/>
    </xf>
    <xf numFmtId="0" fontId="16" fillId="17" borderId="89" xfId="0" applyFont="1" applyFill="1" applyBorder="1" applyAlignment="1">
      <alignment horizontal="center" vertical="center" wrapText="1"/>
    </xf>
    <xf numFmtId="0" fontId="16" fillId="41" borderId="38" xfId="0" applyFont="1" applyFill="1" applyBorder="1" applyAlignment="1">
      <alignment horizontal="center" vertical="center" wrapText="1"/>
    </xf>
    <xf numFmtId="0" fontId="16" fillId="41" borderId="49" xfId="0" applyFont="1" applyFill="1" applyBorder="1" applyAlignment="1">
      <alignment horizontal="center" vertical="center" wrapText="1"/>
    </xf>
    <xf numFmtId="0" fontId="16" fillId="41" borderId="67" xfId="0" applyFont="1" applyFill="1" applyBorder="1" applyAlignment="1">
      <alignment horizontal="center" vertical="center" wrapText="1"/>
    </xf>
    <xf numFmtId="0" fontId="16" fillId="16" borderId="74" xfId="0" applyFont="1" applyFill="1" applyBorder="1" applyAlignment="1">
      <alignment horizontal="center" vertical="center" wrapText="1"/>
    </xf>
    <xf numFmtId="0" fontId="16" fillId="16" borderId="76" xfId="0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49" fontId="16" fillId="16" borderId="11" xfId="0" applyNumberFormat="1" applyFont="1" applyFill="1" applyBorder="1" applyAlignment="1">
      <alignment horizontal="center" vertical="center" wrapText="1"/>
    </xf>
    <xf numFmtId="0" fontId="16" fillId="16" borderId="43" xfId="0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center" vertical="center" wrapText="1"/>
    </xf>
    <xf numFmtId="0" fontId="16" fillId="17" borderId="53" xfId="0" applyFont="1" applyFill="1" applyBorder="1" applyAlignment="1">
      <alignment horizontal="center" vertical="center" wrapText="1"/>
    </xf>
    <xf numFmtId="0" fontId="16" fillId="17" borderId="54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center" vertical="center" wrapText="1"/>
    </xf>
    <xf numFmtId="0" fontId="16" fillId="7" borderId="31" xfId="0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15" borderId="9" xfId="0" applyFont="1" applyFill="1" applyBorder="1" applyAlignment="1">
      <alignment horizontal="center" vertical="center" wrapText="1"/>
    </xf>
    <xf numFmtId="49" fontId="16" fillId="15" borderId="13" xfId="0" applyNumberFormat="1" applyFont="1" applyFill="1" applyBorder="1" applyAlignment="1">
      <alignment horizontal="center" vertical="center" wrapText="1"/>
    </xf>
    <xf numFmtId="49" fontId="16" fillId="15" borderId="14" xfId="0" applyNumberFormat="1" applyFont="1" applyFill="1" applyBorder="1" applyAlignment="1">
      <alignment horizontal="center" vertical="center" wrapText="1"/>
    </xf>
    <xf numFmtId="49" fontId="16" fillId="10" borderId="9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20" fillId="8" borderId="14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6" fillId="7" borderId="28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9" fillId="5" borderId="9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6" fillId="6" borderId="31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center" vertical="center" wrapText="1"/>
    </xf>
    <xf numFmtId="0" fontId="16" fillId="16" borderId="51" xfId="0" applyFont="1" applyFill="1" applyBorder="1" applyAlignment="1">
      <alignment horizontal="center" vertical="center" wrapText="1"/>
    </xf>
    <xf numFmtId="0" fontId="16" fillId="16" borderId="73" xfId="0" applyFont="1" applyFill="1" applyBorder="1" applyAlignment="1">
      <alignment horizontal="center" vertical="center" wrapText="1"/>
    </xf>
    <xf numFmtId="49" fontId="16" fillId="41" borderId="71" xfId="0" applyNumberFormat="1" applyFont="1" applyFill="1" applyBorder="1" applyAlignment="1">
      <alignment horizontal="center" vertical="center" wrapText="1"/>
    </xf>
    <xf numFmtId="49" fontId="16" fillId="41" borderId="72" xfId="0" applyNumberFormat="1" applyFont="1" applyFill="1" applyBorder="1" applyAlignment="1">
      <alignment horizontal="center" vertical="center" wrapText="1"/>
    </xf>
    <xf numFmtId="49" fontId="16" fillId="0" borderId="29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67" xfId="0" applyFont="1" applyFill="1" applyBorder="1" applyAlignment="1">
      <alignment horizontal="center" vertical="center" wrapText="1"/>
    </xf>
  </cellXfs>
  <cellStyles count="191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1 2 4" xfId="146" xr:uid="{2AE43AD4-5375-4247-B3CE-918DC882886D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2 2 4" xfId="147" xr:uid="{EDA60263-9732-44DB-86F9-59527BE37E2C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3 2 4" xfId="148" xr:uid="{2C1831E7-11A7-4077-BFC1-7CC18EEED4DD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4 2 4" xfId="149" xr:uid="{B1224046-EAAA-4E04-8C5B-E056D23C9064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5 2 4" xfId="150" xr:uid="{4A783238-DEE1-401C-99CC-56D60F24C5FA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20% - Акцент6 2 4" xfId="151" xr:uid="{7AD17BA6-F977-4A13-A969-B8F1E92A295B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1 2 4" xfId="152" xr:uid="{8027A944-FD45-4123-B968-697DCDADC23F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2 2 4" xfId="153" xr:uid="{02587BB8-7F60-4968-90FF-13678572A578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3 2 4" xfId="154" xr:uid="{C50756C8-A460-4ACA-B6D2-76F6E9082732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4 2 4" xfId="155" xr:uid="{98AFDD34-FC92-49B1-BC36-459BB1C23BCE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5 2 4" xfId="156" xr:uid="{4387EDE4-E177-4D2E-B128-B0A5195BCEB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40% - Акцент6 2 4" xfId="157" xr:uid="{216EA205-C879-433C-8913-896B7B97092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1 2 4" xfId="158" xr:uid="{3B478C7B-DF6C-427F-8A57-6D0DA7E6A53B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2 2 4" xfId="159" xr:uid="{879E63AC-BBFE-4FC5-8E31-B35F17D6DF95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3 2 4" xfId="160" xr:uid="{59D90BFA-F64C-4347-BFB6-1CE4CD38A40A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4 2 4" xfId="161" xr:uid="{26229CBD-9EDC-4F7E-850D-2567A2D5E5D3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5 2 4" xfId="162" xr:uid="{4525CE95-69A1-4254-BA4E-606CFFABAEBA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60% - Акцент6 2 4" xfId="163" xr:uid="{3D30F461-3176-46BE-B8E2-94EBE42306FA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1 2 4" xfId="164" xr:uid="{074C6AA6-AC50-4C88-9AD4-518EA734DAD3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2 2 4" xfId="165" xr:uid="{1820AA4D-5974-4DF7-992A-DC92C8B5DC7C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3 2 4" xfId="166" xr:uid="{F00A9721-761B-4CAB-924B-749502001DBD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4 2 4" xfId="167" xr:uid="{4D2A1723-59C2-4B72-A583-C746E73E13AC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5 2 4" xfId="168" xr:uid="{9A9EF93D-EA95-441D-97B0-5AA7D0706062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Акцент6 2 4" xfId="169" xr:uid="{985934C1-7EA1-4989-8C43-FC5BED50F74F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вод  2 4" xfId="170" xr:uid="{1335F4EB-F4CB-4893-A537-385A12C9C521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вод 2 4" xfId="171" xr:uid="{42C442D5-7054-41AA-88CD-22CF7B00281E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Вычисление 2 4" xfId="172" xr:uid="{4DBD631A-D7A0-40A7-8D10-90E033940176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1 2 4" xfId="173" xr:uid="{7EB15CF9-14FE-42A2-89E8-391CAE3350F2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2 2 4" xfId="174" xr:uid="{A692763C-C764-4BD4-945A-7787B217B42B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3 2 4" xfId="175" xr:uid="{77AC5B07-565D-4F48-9C2A-0DB374169742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Заголовок 4 2 4" xfId="176" xr:uid="{9E25E6A0-B603-43FF-9E9E-A73BD509183D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Итог 2 4" xfId="177" xr:uid="{A74CE399-D04C-4D6C-A00E-A2EB2F4864A8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Контрольная ячейка 2 4" xfId="178" xr:uid="{7FD934BC-99A3-445A-903A-4D4981862AAC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азвание 2 4" xfId="179" xr:uid="{29470477-E3A3-4A07-BC59-9329C67A17FA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Нейтральный 2 4" xfId="180" xr:uid="{35024136-6FC1-4207-8590-99F7BB3AF22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2 4" xfId="144" xr:uid="{AB1310C2-EE7E-4EDF-A7F2-36AEA64BCCE0}"/>
    <cellStyle name="Обычный 3 2 5" xfId="182" xr:uid="{EB630C29-68FF-4008-8089-E1AD2CB2F0A3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3 4" xfId="145" xr:uid="{408A3835-B4D5-419D-9013-D1621E74915D}"/>
    <cellStyle name="Обычный 3 3 5" xfId="183" xr:uid="{255BBB2E-B8FD-4B94-ADA6-B48D95300859}"/>
    <cellStyle name="Обычный 3 4" xfId="82" xr:uid="{00000000-0005-0000-0000-000077000000}"/>
    <cellStyle name="Обычный 3 5" xfId="133" xr:uid="{00000000-0005-0000-0000-000078000000}"/>
    <cellStyle name="Обычный 3 6" xfId="143" xr:uid="{C794D6E2-6D29-4051-BD7E-C4D3C64547C2}"/>
    <cellStyle name="Обычный 3 7" xfId="181" xr:uid="{21BDA0E8-B9E2-4534-8C44-A8D9D6263FA8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лохой 2 4" xfId="184" xr:uid="{638F4F59-E4E2-4578-A78F-F335B26E984C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ояснение 2 4" xfId="185" xr:uid="{BE75BD3B-30D9-431D-A891-F4F8DB78DF1D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2 4" xfId="187" xr:uid="{6C525C24-CB56-4D35-BBF8-77D8F0F2E5A0}"/>
    <cellStyle name="Примечание 2 3" xfId="91" xr:uid="{00000000-0005-0000-0000-000084000000}"/>
    <cellStyle name="Примечание 2 4" xfId="138" xr:uid="{00000000-0005-0000-0000-000085000000}"/>
    <cellStyle name="Примечание 2 5" xfId="186" xr:uid="{8BDE1315-9EBD-43E1-A143-1477B040C4AC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Связанная ячейка 2 4" xfId="188" xr:uid="{44D7B2EE-9C14-4A21-AF47-01A528B8CCC4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Текст предупреждения 2 4" xfId="189" xr:uid="{C9502BE4-EED8-490B-9B98-7D3398EB6AAF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  <cellStyle name="Хороший 2 4" xfId="190" xr:uid="{D5932B9A-764D-4026-A9F6-864EA9ED0557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D7466"/>
  <sheetViews>
    <sheetView tabSelected="1" zoomScale="70" zoomScaleNormal="70" workbookViewId="0">
      <pane ySplit="2" topLeftCell="A7435" activePane="bottomLeft" state="frozen"/>
      <selection pane="bottomLeft" activeCell="J7461" sqref="J7461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9.42578125" style="6" customWidth="1"/>
    <col min="10" max="10" width="19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897" customWidth="1"/>
    <col min="16" max="16" width="75.28515625" style="867" customWidth="1"/>
    <col min="17" max="17" width="20.140625" style="847" customWidth="1"/>
    <col min="18" max="18" width="20.140625" style="833" customWidth="1"/>
    <col min="19" max="19" width="20.140625" style="2" customWidth="1"/>
    <col min="20" max="1018" width="9.140625" style="2"/>
  </cols>
  <sheetData>
    <row r="1" spans="1:18" ht="19.5" customHeight="1" thickBot="1" x14ac:dyDescent="0.3">
      <c r="A1" s="1142" t="s">
        <v>0</v>
      </c>
      <c r="B1" s="1142"/>
      <c r="C1" s="1142"/>
      <c r="D1" s="1142"/>
      <c r="E1" s="1142"/>
      <c r="F1" s="1142"/>
      <c r="G1" s="1142"/>
      <c r="H1" s="1142"/>
      <c r="I1" s="1142"/>
      <c r="J1" s="1142"/>
      <c r="K1" s="8"/>
      <c r="L1" s="9"/>
      <c r="M1" s="9"/>
      <c r="N1" s="9"/>
      <c r="O1" s="896"/>
      <c r="P1" s="9"/>
      <c r="Q1" s="18"/>
      <c r="R1" s="18"/>
    </row>
    <row r="2" spans="1:18" ht="75.7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896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1143">
        <v>1</v>
      </c>
      <c r="B3" s="1143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1143"/>
      <c r="B4" s="1143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1144">
        <v>3</v>
      </c>
      <c r="B6" s="1144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1144"/>
      <c r="B7" s="1144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1144"/>
      <c r="B8" s="1144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1144">
        <v>5</v>
      </c>
      <c r="B10" s="1144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1144"/>
      <c r="B11" s="1144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1145">
        <v>8</v>
      </c>
      <c r="B14" s="1145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1145"/>
      <c r="B15" s="1145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1144">
        <v>11</v>
      </c>
      <c r="B18" s="1144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1144"/>
      <c r="B19" s="1144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1144"/>
      <c r="B20" s="1144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1144"/>
      <c r="B21" s="1144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1144">
        <v>13</v>
      </c>
      <c r="B23" s="1144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1144"/>
      <c r="B24" s="1144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1145">
        <v>14</v>
      </c>
      <c r="B25" s="1145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1145"/>
      <c r="B26" s="1145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1144">
        <v>15</v>
      </c>
      <c r="B27" s="1144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1144"/>
      <c r="B28" s="1144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1144"/>
      <c r="B29" s="1144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1144"/>
      <c r="B30" s="1144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1145">
        <v>16</v>
      </c>
      <c r="B31" s="1145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1145"/>
      <c r="B32" s="1145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1145"/>
      <c r="B33" s="1145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1145"/>
      <c r="B34" s="1145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1144">
        <v>17</v>
      </c>
      <c r="B35" s="1144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1144"/>
      <c r="B36" s="1144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1144">
        <v>21</v>
      </c>
      <c r="B40" s="1144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1144"/>
      <c r="B41" s="1144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1144">
        <v>23</v>
      </c>
      <c r="B43" s="1144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1144"/>
      <c r="B44" s="1144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1144"/>
      <c r="B45" s="1144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1145">
        <v>24</v>
      </c>
      <c r="B46" s="1145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1145"/>
      <c r="B47" s="1145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1144">
        <v>25</v>
      </c>
      <c r="B48" s="1144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1144"/>
      <c r="B49" s="1144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1144"/>
      <c r="B50" s="1144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1145">
        <v>26</v>
      </c>
      <c r="B51" s="1145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1145"/>
      <c r="B52" s="1145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1144">
        <v>29</v>
      </c>
      <c r="B55" s="1144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1144"/>
      <c r="B56" s="1144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1145">
        <v>32</v>
      </c>
      <c r="B59" s="1145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1145"/>
      <c r="B60" s="1145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1145">
        <v>34</v>
      </c>
      <c r="B62" s="1145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1145"/>
      <c r="B63" s="1145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1145"/>
      <c r="B64" s="1145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1145"/>
      <c r="B65" s="1145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1145"/>
      <c r="B66" s="1145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1144">
        <v>35</v>
      </c>
      <c r="B67" s="1144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1144"/>
      <c r="B68" s="1144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1118">
        <v>40</v>
      </c>
      <c r="B73" s="1145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1118"/>
      <c r="B74" s="1145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1119">
        <v>41</v>
      </c>
      <c r="B75" s="1144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1119"/>
      <c r="B76" s="1144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1119"/>
      <c r="B77" s="1144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1118">
        <v>42</v>
      </c>
      <c r="B78" s="1145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1118"/>
      <c r="B79" s="1145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1119">
        <v>49</v>
      </c>
      <c r="B86" s="1144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1119"/>
      <c r="B87" s="1144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1119"/>
      <c r="B88" s="1144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1118">
        <v>50</v>
      </c>
      <c r="B89" s="1145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1118"/>
      <c r="B90" s="1145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1119">
        <v>51</v>
      </c>
      <c r="B91" s="1144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1119"/>
      <c r="B92" s="1144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1119">
        <v>53</v>
      </c>
      <c r="B94" s="1144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1119"/>
      <c r="B95" s="1144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1118">
        <v>54</v>
      </c>
      <c r="B96" s="1145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1118"/>
      <c r="B97" s="1145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1118"/>
      <c r="B98" s="1145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1118">
        <v>58</v>
      </c>
      <c r="B102" s="1145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1118"/>
      <c r="B103" s="1145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1118">
        <v>60</v>
      </c>
      <c r="B105" s="1145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1118"/>
      <c r="B106" s="1145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1118"/>
      <c r="B107" s="1145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1119">
        <v>61</v>
      </c>
      <c r="B108" s="1144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1119"/>
      <c r="B109" s="1144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1119"/>
      <c r="B110" s="1144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1118">
        <v>64</v>
      </c>
      <c r="B113" s="1145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1118"/>
      <c r="B114" s="1145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1118">
        <v>66</v>
      </c>
      <c r="B116" s="1145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1118"/>
      <c r="B117" s="1145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1119">
        <v>67</v>
      </c>
      <c r="B118" s="1144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1119"/>
      <c r="B119" s="1144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1119"/>
      <c r="B120" s="1144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1118">
        <v>68</v>
      </c>
      <c r="B121" s="1145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1118"/>
      <c r="B122" s="1145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1119">
        <v>69</v>
      </c>
      <c r="B123" s="1144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1119"/>
      <c r="B124" s="1144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1118">
        <v>72</v>
      </c>
      <c r="B127" s="1145" t="s">
        <v>65</v>
      </c>
      <c r="C127" s="119" t="s">
        <v>26</v>
      </c>
      <c r="D127" s="120">
        <v>3.3</v>
      </c>
      <c r="E127" s="121"/>
      <c r="F127" s="122" t="s">
        <v>30</v>
      </c>
      <c r="G127" s="1139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1118"/>
      <c r="B128" s="1145"/>
      <c r="C128" s="103" t="s">
        <v>26</v>
      </c>
      <c r="D128" s="88">
        <v>12.9</v>
      </c>
      <c r="E128" s="106"/>
      <c r="F128" s="107" t="s">
        <v>16</v>
      </c>
      <c r="G128" s="1139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1118">
        <v>76</v>
      </c>
      <c r="B132" s="1146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1118"/>
      <c r="B133" s="1146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1118"/>
      <c r="B134" s="1146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1118"/>
      <c r="B135" s="1146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1118">
        <v>78</v>
      </c>
      <c r="B137" s="1140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1118"/>
      <c r="B138" s="1140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1147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1147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1118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1118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1118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1119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1119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1118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1118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1119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1119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1119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1119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1119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1119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1119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1119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1118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1118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1118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1118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1118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1118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1119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1141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1119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1141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1118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1118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1118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1118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1118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1118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1118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1118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1118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1119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1119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1118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1118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1119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1119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1118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1118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1119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1119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1119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1119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1119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1118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1118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1119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1119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1119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1118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1118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1119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1119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1118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1118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1119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1119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1118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1118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1118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1119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1119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1118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1139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1118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1139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1118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1118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1119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1119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1119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1119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1118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1118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1118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1118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1118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1118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1119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1119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1118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1118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1118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1118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1119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1119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1118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1118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1118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1118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1118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1119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1119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1118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1118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1119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1119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1118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1130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1118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1130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1119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1119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1118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1139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1118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1139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1118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1118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1118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1118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1118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1118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1118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1118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1119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1119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1118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1118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1119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1119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1118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1118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1118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1118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1119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1119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1119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1119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1119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1119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1119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1119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1118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1118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1119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1141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1119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1141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1119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1119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1119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1119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1119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1119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1119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1119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1119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1119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1119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1119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1119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1119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1118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1118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1119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1119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1118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1118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1118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1118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1119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1119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1119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1119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1119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1119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1118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1118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1119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1119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1119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1119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1124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1119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1124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1118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1118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1118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1118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1118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1118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1118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1118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1118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1118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1118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1118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1119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1119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1118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1118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1119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1119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1119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1119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1119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1119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1119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1119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1118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1118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1119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1119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1119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1118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1118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1119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1119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1119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1124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1119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1124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1118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1118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1118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1118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1118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1118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1138" t="s">
        <v>133</v>
      </c>
      <c r="J420" s="1138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1119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1119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1118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19.5" hidden="1" thickBot="1" x14ac:dyDescent="0.3">
      <c r="A424" s="1118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1119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1119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57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1118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1118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1118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1118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1119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1119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1119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1119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1119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1118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1118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1118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1119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1119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1118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1118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1119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1119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1118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1121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1118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1121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1119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1119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1118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1118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1118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1118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1118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1118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1122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1122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1122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1118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1118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1119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1119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1118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1118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1118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1118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1118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1118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1118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1118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1119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1119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1119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1119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1118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1118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1118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1119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1119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1119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1124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1119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1124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1118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1118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1119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1134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1119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1134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1118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1134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1118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1134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1118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1134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1118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1118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1118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1118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1118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1118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1119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1119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1119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1118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1118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1118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1119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1119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19.5" hidden="1" thickBot="1" x14ac:dyDescent="0.3">
      <c r="A523" s="1119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1119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1119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1118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1118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1118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1119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1119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1119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1119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1119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1119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1118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1118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1118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1119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1119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1119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1119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1118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1118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1118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1119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1119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1119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1118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1121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1118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1121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1118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19.5" hidden="1" thickBot="1" x14ac:dyDescent="0.3">
      <c r="A560" s="1118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1118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1118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19.5" hidden="1" thickBot="1" x14ac:dyDescent="0.3">
      <c r="A563" s="1118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1119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1119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1119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1119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1118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1118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1118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1119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1119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1119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1118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1118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1118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1118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1118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1118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1119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1119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1119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1119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1119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1119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1119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1119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1118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1118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1118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1119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1124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1119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1124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1119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1119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1118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1118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1118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1118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1118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1118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1118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1118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1118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1118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1118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1118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1119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1119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1119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1118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1118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1118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1119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1119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1119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1119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1119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1118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1118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1119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1119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1119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1118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1118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1118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1118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1119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1119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1119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1119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1119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1119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1118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1118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1118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1119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1124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1119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1124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19.5" hidden="1" thickBot="1" x14ac:dyDescent="0.3">
      <c r="A659" s="1119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1119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1136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1119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1136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1119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1118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1118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1118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1119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1119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1119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1118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1118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1119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1119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1119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1119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1119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1119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1118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1118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1119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1119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1118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1118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1118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1118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1118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1118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1118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1118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1118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1119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1124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1119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1124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8.25" hidden="1" thickBot="1" x14ac:dyDescent="0.3">
      <c r="A699" s="1137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8.25" hidden="1" thickBot="1" x14ac:dyDescent="0.3">
      <c r="A700" s="1137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1137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1119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1119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1119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t="19.5" hidden="1" thickBot="1" x14ac:dyDescent="0.3">
      <c r="A705" s="1137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1137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1119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1119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1119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t="19.5" hidden="1" thickBot="1" x14ac:dyDescent="0.3">
      <c r="A710" s="1137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1137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1118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1118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1118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1119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1119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1119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1118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1118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1118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1118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1118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1118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1118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1118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1119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1119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1119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1119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1119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1119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1119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1118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1135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1118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1135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1118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1118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1118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1118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1118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1119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1119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1119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1119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1119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1119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1119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1118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1118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1118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1118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t="19.5" hidden="1" thickBot="1" x14ac:dyDescent="0.3">
      <c r="A755" s="1148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t="19.5" hidden="1" thickBot="1" x14ac:dyDescent="0.3">
      <c r="A756" s="1148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t="19.5" hidden="1" thickBot="1" x14ac:dyDescent="0.3">
      <c r="A757" s="1148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t="19.5" hidden="1" thickBot="1" x14ac:dyDescent="0.3">
      <c r="A758" s="1148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t="19.5" hidden="1" thickBot="1" x14ac:dyDescent="0.3">
      <c r="A759" s="1148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1148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1119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1124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1119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1124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1118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1118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1118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1119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1119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1119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1120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1120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1120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1120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1120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1119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1119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1119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1119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1119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1149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1149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1119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1119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1119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1118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1118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1119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1119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1118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1118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1118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1118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1119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1119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1119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1119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1119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1119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1119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1118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1118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1118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1118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1119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1119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1118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1121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1118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1121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1119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1119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1119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1119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1119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1119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1119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1119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1119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1119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1119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1119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1119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1118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1118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1118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1119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1119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1119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1118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1118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1119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1119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1119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1119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1118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1118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1118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1119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1119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1119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1119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1119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1119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1119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1119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1119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1118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1118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1118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1118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1118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1118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1118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1118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1118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1118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1119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1119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1119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1118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1118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1118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1118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1118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1119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1119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1118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1118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1118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1119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1119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1119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1118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1118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1118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1118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1118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1118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1118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1119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1119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1118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1118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1118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1119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1119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1119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1118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1118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1119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1119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1118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38.25" hidden="1" thickBot="1" x14ac:dyDescent="0.3">
      <c r="A920" s="1118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1119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1119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1118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1118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1119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1119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1119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1119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1118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1121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1118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1121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1119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1119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1119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1119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1119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1118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1118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1119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1119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1119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38.25" hidden="1" thickBot="1" x14ac:dyDescent="0.3">
      <c r="A943" s="1119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1119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1119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1119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1119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1118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1118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1118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1118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1118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19.5" hidden="1" thickBot="1" x14ac:dyDescent="0.3">
      <c r="A954" s="1118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1150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1150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1118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1118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1119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1119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1118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1118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1118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1118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1118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1119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1119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1119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1119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38.25" hidden="1" thickBot="1" x14ac:dyDescent="0.3">
      <c r="A973" s="1119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1118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1118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1118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1119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1119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1119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1118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1118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1118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1119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1124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1119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1124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1118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1118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1118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1119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1119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1118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1118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1118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1119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38.25" hidden="1" thickBot="1" x14ac:dyDescent="0.3">
      <c r="A996" s="1119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1119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1119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1119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1118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1118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1122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1122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1118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1118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1119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1119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1118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1118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1118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1118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1118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1118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1118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1119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1119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1118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1118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1119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1119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1118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1118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1118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1119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1119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1118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1118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1119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1124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1119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1124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1118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1118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1118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1119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1119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1118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1118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1119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1119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1119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1118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1118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1119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1119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1119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1119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1119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1119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1119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1119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1118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1118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1118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1118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1118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1119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1119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1118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1118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1119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1119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1119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1118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1118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1118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1119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1119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1118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1121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1118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1121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1119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1119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1119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1119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1119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1119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1119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1119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1118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1118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1119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1119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1119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1119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1118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1118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1119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1119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1119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1118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1118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1119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1119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1119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1119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1118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1121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1118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1121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1119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1119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1118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1118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1118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1118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1119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1119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1118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1118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1119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1119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1118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1118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1119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1119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1119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1119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1118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1118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1118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1118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1118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1118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1118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1118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1119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1119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1119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1119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1118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1121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1118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1121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1118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1118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1119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1119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1118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1118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1118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1118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1119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1119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1118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1118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1119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1119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1119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1119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1119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1119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1119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1118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1118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1118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1118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1118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1118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1118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1121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1118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1121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1118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1118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1119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1119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1118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1118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1119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1119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1119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1119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1118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1118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1118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1118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1119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1119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1119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1119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1119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1119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1119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1119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1119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1119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1119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1119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1119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1118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1118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1119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1119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1118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1118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1119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1119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1118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1121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1118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1121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1119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1119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1119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1119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1118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1118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1118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1118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1119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1119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1119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1119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1118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1118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1118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1118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1118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1118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1118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1118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1118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1118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1119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1119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1118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1118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1118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1118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1119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1124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1119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1124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1119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1119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1118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1118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1118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1119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1119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1118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1118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1119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1119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1119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1119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1119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1119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1119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1119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1119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1119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1119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1119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1119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1118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1118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1119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1119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1119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1151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1119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1151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1118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1118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1118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1119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1119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1119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1118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1118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1118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1118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1119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1119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1119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1119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1118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1118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1119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1119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1118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1118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1118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1118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1118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1118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1119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1119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1119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1124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1119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1124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1119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1119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1118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1118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1119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1119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1118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1118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1119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1119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1119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1119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1118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1118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1119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1124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1119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1124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1119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1124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1119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1124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1118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1118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1119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1119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1119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1119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1119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1119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1119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1124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1119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1124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1119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1119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1119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1119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1118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1118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1119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1119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1119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1119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1119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1118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1118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1118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1118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1118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1118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1118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1118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1119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1119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1118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1118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1118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1119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1124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1119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1124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1119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1119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1119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1119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1118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1118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1119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1119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1119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1119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1119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1119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1119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1119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1119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1118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1118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1119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1119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1118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1121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1118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1121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1119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1119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1118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1118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1118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1119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1119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1119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1119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1119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1119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1119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1119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1118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1118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1119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1119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1118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1118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1118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1119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1124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1119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1124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1119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1119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1119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1118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1118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1118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1118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1118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1119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1119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1118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1118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1118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1118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1118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1119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1119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1118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1118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1118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1119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1119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1118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1118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1119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1119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1118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1118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1118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1118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1118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1118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1119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1119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1119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1119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1119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1119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1119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1119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1118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1118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1119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1119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1118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1118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1118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1121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1118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1121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1118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1118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1118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1119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1119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1119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1119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1119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1119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1119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1119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1119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1119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1119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1118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1118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1118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1118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1119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1119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1119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1119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1119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1118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1118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1119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1124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1119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1124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1118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1118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1118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1118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1118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1118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1118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1118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1119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1119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1119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1118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1121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1118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1121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1118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1118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1118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1118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1118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1119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1119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1119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1119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1119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1119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1119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1118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1118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1118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1118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1118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1119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1119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1118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1118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1118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1119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1124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1119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1124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1119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1119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1118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1118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1118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1118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1118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1118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1118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1119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1119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1118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1118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1118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1118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1119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1119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1118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1118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1119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1119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1118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1118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1119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1124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1119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1124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1119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1124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1118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1118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1119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1119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1119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1118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1118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1119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1119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1119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1119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1118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1121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1118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1121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1119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1119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1119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1119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1119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1119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1119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1119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1118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1118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1118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1118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1118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1118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1118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1118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1118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1118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1119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1119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1119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1119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1119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1119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1118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1118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1119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1119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1119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1119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1124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1119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1124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1118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1118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1118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1119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1119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1119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1119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1119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1119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1119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1119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1119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1119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1119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1119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1119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1119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1118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1118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1119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1124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1119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1124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1118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1118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1119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1119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1118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1118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1118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1119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1119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1119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1119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1119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1119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1119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1119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1119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1119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1119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1119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1118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1118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1119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1124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1119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1124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1119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1119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1118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1118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1118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1118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1119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1119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1119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1119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1118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1118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1118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1119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1119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1119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1119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1119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1119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1118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1121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1118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1121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1119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1119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1119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1119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1118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1118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1118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1118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1119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1119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1118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1118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1118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1118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1118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1118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1118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1119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1119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1119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1118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1118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1118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1118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1118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1118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1118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1118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1118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1119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1119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1118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1118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1118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1118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1119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1119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1118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1118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1118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1122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1122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1122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1118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1118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1118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1118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1119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1124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1119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1124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1119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1119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1118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1118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1119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1119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1118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1118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1118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1119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1124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1119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1124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1119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1119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1119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1119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1119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1118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1118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1119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1119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1118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1118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1118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1119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1119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1119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1119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1118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1121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1118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1121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1119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1119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1118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1118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1118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1118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1118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1118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1119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1119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1118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1118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1118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1119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1119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1118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1118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1118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1118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1119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1119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1119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1118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1118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1119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1119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1118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1118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1119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1119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1118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1118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1118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1118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1118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1118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1118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1118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1119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1119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1119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1119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1118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1118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1119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1119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1118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1118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1118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1118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1119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1119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1118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1118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1118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1118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1118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1118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1118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1119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1119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1131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1132" t="s">
        <v>467</v>
      </c>
      <c r="H2160" s="414" t="s">
        <v>515</v>
      </c>
      <c r="I2160" s="415" t="s">
        <v>516</v>
      </c>
      <c r="J2160" s="1133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1131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1132"/>
      <c r="H2161" s="421" t="s">
        <v>515</v>
      </c>
      <c r="I2161" s="422" t="s">
        <v>516</v>
      </c>
      <c r="J2161" s="1133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1131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1132"/>
      <c r="H2162" s="429" t="s">
        <v>515</v>
      </c>
      <c r="I2162" s="430" t="s">
        <v>516</v>
      </c>
      <c r="J2162" s="1133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1131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1132" t="s">
        <v>467</v>
      </c>
      <c r="H2165" s="414" t="s">
        <v>516</v>
      </c>
      <c r="I2165" s="415" t="s">
        <v>516</v>
      </c>
      <c r="J2165" s="1133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1131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1132"/>
      <c r="H2166" s="429" t="s">
        <v>516</v>
      </c>
      <c r="I2166" s="430" t="s">
        <v>516</v>
      </c>
      <c r="J2166" s="1133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1119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1119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1119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1118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1118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1119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1119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1118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1118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1118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1118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1119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1124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1119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1124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1119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1119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1119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1118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1121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1118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1121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1119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1129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1119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1129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1118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1130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1118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1130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1119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1119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1119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1119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1118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1118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1119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1119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1118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1118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1118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1118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1118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1119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1119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1119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1118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1118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1118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1119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1119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1118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1118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1118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1118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1118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1118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1119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1119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1119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1119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1118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1118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1119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1119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1119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1118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1118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1118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1118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1118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1118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1119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1119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1119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1119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1119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1119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1119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1118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1118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1118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1118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1118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1118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1118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1119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1119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1119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1119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1119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1118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1118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1118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1118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1118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1122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1122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1118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1118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1118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1119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1119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1118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1118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1118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1118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1118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1118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1118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1119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1119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1119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1119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1119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1119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1119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1119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1120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1120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1120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1119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1119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1119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1119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1119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1118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1118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1119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1119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1119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1118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1118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1118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1118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1118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1119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1119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1119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1119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1119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1120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1120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1120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1119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1119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1120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1120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1119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1119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1119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1118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1118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1118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1118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1119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1119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1119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1119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1119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1118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1118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1118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1118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1118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1118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1119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1119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1118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1118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1122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1122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1118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1118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1118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1118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1118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1118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1118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1119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1119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1119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1119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1119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1118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1118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1119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1119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1118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1118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1122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1122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1118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1118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1118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1118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1118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1118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1118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1119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1119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1119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1118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1118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1119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1119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1119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1119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1119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1122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1122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1122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1118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1118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1118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1119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1119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1118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1118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1118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1118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1118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1118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1121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1118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1121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1118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1121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1122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1122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1122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1122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1119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1119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1118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1118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1122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1122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1118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1121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1118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1121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1118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1118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1119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1119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1118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1118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1119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1119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1119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1119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1119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1119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1127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1128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1127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1128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1118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1118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1119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1124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1119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1124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1119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1119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1120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1120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1118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1118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1118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1119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1119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1118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1118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1122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1122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1118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1118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1118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1118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1122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1123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1122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1123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1118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1118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1118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1121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1118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1121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1119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1119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1119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1119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1120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1120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1118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1118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1119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1119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1118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1118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1118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1119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1119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1119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1119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1119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1119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1119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1118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1118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1118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1121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1118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1121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1118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1118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1118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1118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1122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1122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1122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1118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1118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1119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1119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1119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1119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1119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1118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1118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1120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1120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1120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1120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1120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1120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1119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1119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1126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1126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1118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1118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1118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1118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1119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1119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1118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1118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1118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1118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1118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1118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1119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1119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1122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1122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1122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1122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1122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1122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1118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1118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1119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1119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1119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1119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1120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1120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1118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1118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1118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1119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1119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1118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1118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1118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1118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1119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1119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1119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1119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1118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1121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1118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1121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1118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1121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1122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1122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1122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1122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1118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1118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1119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1119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1118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1118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1119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1119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1119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1119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1119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1118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1118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1118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1119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1119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1118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1118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1122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1122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1122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1122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1122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1118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1118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1119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1119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1119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1119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1118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1118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1122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1122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1118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1118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1118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1118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1120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1120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1119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1119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1119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1119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1119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1120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1125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1120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1125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1119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1119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1119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1124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1119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1124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1118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1118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1119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1119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1119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1122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1122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1119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1119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1118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1118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1118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1119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1119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1119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1118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1118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1118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1118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1120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1120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1120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1120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1120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1119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1119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1118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1121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1118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1121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1119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1119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1119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1119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1118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1118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1122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1122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1118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1118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1118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1119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1119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1119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1119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1122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1122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1122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1119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1124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1119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1124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1120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1120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1120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1120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1119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1119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1119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1124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1119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1124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1119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1119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1118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1118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1118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1122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1122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1118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1118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1118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1118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1122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1122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1118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1118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1120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1120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1120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1120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1120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1119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1119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1119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1119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1118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1118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1118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1122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1124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1122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1124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1119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1119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1118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1118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1119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1119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1119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1122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1122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1122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1120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1120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1120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1120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1120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1120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1119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1119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1118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1118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1118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1118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1118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1119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1119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1119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1120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1121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1120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1121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1120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1121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1119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1119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1118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1118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1119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1119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1119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1118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1118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1119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1119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1120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1120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1119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1119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1118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1118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1119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1119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1118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1121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1118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1121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1118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1121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1118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1121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1122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1122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1122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1122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1122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1118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1118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1118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1121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1118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1121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1118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1121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1119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1119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1120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1120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1120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1119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1119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1118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1118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1119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1119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1118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1118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1118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1119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1119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1119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1119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1119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1118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1121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1118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1121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1122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1122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1118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1118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1119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1119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1118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1118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1119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1119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1120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1120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1120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1120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1120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1120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1120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1120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1119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1119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1119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1119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1118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1118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1118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1118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1118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1119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1119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1119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1120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1120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1119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1119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1118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1118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1119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1119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1119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1119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1118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1118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1118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1118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1119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1119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1119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1119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1118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1118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1118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1118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1120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1120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1120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1119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1119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1118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1118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1119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1124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1119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1124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1119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1124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1119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1124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1118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1118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1119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1119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1118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1118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1118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1119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1119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1119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1118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1118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1119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1119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1118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1118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1118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1118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1120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1120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1120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1118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1118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1118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1118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1118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1119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1119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1119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1119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1119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1118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1118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1122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1122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1118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1118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1119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1119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1118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1118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1122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1123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1122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1123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1122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1123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1122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1123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1122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1123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1122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1123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1118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1118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1118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1118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1119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1119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1118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1118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1122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1122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1122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1122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1118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1118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1118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1119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1119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1119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1118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1118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1119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1119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1118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1118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1122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1122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1122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1119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1119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1118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1118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1120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1120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1120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1120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1120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1120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1120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1120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1119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1119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1118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1118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1118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1118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1122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1122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1122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1118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1118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1118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1118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1118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1119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1119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1118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1118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1119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1119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1119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1119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1122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1122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1118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1118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1119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1119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1120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1120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1120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1120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1120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1120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1120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1120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1120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1119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1119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1122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1122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1122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1119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1119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1119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1120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1120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1119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1119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1120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1120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1119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1119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1120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1120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1122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1122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1122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1118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1118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1119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1119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1118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1118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1122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1122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1122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1122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1122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1122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1122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1122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1118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1118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1119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1119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1118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1118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1122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1124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1122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1124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1118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1118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1118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1119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1119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1118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1118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1118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1118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1119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1124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1119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1124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1122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1122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1122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1122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1122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1122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1119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1119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19.5" hidden="1" thickBot="1" x14ac:dyDescent="0.3">
      <c r="A3410" s="1118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19.5" hidden="1" thickBot="1" x14ac:dyDescent="0.3">
      <c r="A3411" s="1118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19.5" hidden="1" thickBot="1" x14ac:dyDescent="0.3">
      <c r="A3412" s="1118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19.5" hidden="1" thickBot="1" x14ac:dyDescent="0.3">
      <c r="A3413" s="1118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1119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1124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1119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1124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19.5" hidden="1" thickBot="1" x14ac:dyDescent="0.3">
      <c r="A3416" s="1120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19.5" hidden="1" thickBot="1" x14ac:dyDescent="0.3">
      <c r="A3417" s="1120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19.5" hidden="1" thickBot="1" x14ac:dyDescent="0.3">
      <c r="A3418" s="1120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19.5" hidden="1" thickBot="1" x14ac:dyDescent="0.3">
      <c r="A3419" s="1120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19.5" hidden="1" thickBot="1" x14ac:dyDescent="0.3">
      <c r="A3421" s="1118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19.5" hidden="1" thickBot="1" x14ac:dyDescent="0.3">
      <c r="A3422" s="1118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19.5" hidden="1" thickBot="1" x14ac:dyDescent="0.3">
      <c r="A3423" s="1118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19.5" hidden="1" thickBot="1" x14ac:dyDescent="0.3">
      <c r="A3424" s="1118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1118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1118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1118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1118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1122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1122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1119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1119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1119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1119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1119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1119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1119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1119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1119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1118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1118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1122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1123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1122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1123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1122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1123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1118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1118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1118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1118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1119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1119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1118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1118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1118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1119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1119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1119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1119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1120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1120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1120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1120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1120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1119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1119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1118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1121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1118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1121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1119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1119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1122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1122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1119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1119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1118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1118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1118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1118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1118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1119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1119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1119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1120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1120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1120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1120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1120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1120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1120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1119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1119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1118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1121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1118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1121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1119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1119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1118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1118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1118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1118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1120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1120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1118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1118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1118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1118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1118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1119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1119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1118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1121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1118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1121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25">
      <c r="A3552" s="1062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1094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1072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1095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t="19.5" hidden="1" thickBot="1" x14ac:dyDescent="0.3">
      <c r="A3557" s="1062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1094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t="19.5" hidden="1" thickBot="1" x14ac:dyDescent="0.3">
      <c r="A3558" s="1072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1095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t="19.5" hidden="1" thickBot="1" x14ac:dyDescent="0.3">
      <c r="A3559" s="1072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1095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1072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1095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t="19.5" hidden="1" thickBot="1" x14ac:dyDescent="0.3">
      <c r="A3561" s="1066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1114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t="19.5" hidden="1" thickBot="1" x14ac:dyDescent="0.3">
      <c r="A3565" s="1062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1113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t="19.5" hidden="1" thickBot="1" x14ac:dyDescent="0.3">
      <c r="A3568" s="1062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1094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1113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1112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t="19.5" hidden="1" thickBot="1" x14ac:dyDescent="0.3">
      <c r="A3571" s="1062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t="19.5" hidden="1" thickBot="1" x14ac:dyDescent="0.3">
      <c r="A3572" s="1072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t="19.5" hidden="1" thickBot="1" x14ac:dyDescent="0.3">
      <c r="A3573" s="1072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1072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t="19.5" hidden="1" thickBot="1" x14ac:dyDescent="0.3">
      <c r="A3577" s="1066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t="19.5" hidden="1" thickBot="1" x14ac:dyDescent="0.3">
      <c r="A3578" s="1068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t="19.5" hidden="1" thickBot="1" x14ac:dyDescent="0.3">
      <c r="A3579" s="1068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t="19.5" hidden="1" thickBot="1" x14ac:dyDescent="0.3">
      <c r="A3580" s="1068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1114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t="19.5" hidden="1" thickBot="1" x14ac:dyDescent="0.3">
      <c r="A3584" s="1062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1113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t="19.5" hidden="1" thickBot="1" x14ac:dyDescent="0.3">
      <c r="A3586" s="1066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1114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t="19.5" hidden="1" thickBot="1" x14ac:dyDescent="0.3">
      <c r="A3592" s="1062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t="19.5" hidden="1" thickBot="1" x14ac:dyDescent="0.3">
      <c r="A3593" s="1072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t="19.5" hidden="1" thickBot="1" x14ac:dyDescent="0.3">
      <c r="A3594" s="1072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t="19.5" hidden="1" thickBot="1" x14ac:dyDescent="0.3">
      <c r="A3595" s="1072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t="19.5" hidden="1" thickBot="1" x14ac:dyDescent="0.3">
      <c r="A3596" s="1072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1072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25">
      <c r="A3598" s="1066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1080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1114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1115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t="19.5" hidden="1" thickBot="1" x14ac:dyDescent="0.3">
      <c r="A3600" s="1062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1113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t="19.5" hidden="1" thickBot="1" x14ac:dyDescent="0.3">
      <c r="A3604" s="1066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1080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1114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1115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t="19.5" hidden="1" thickBot="1" x14ac:dyDescent="0.3">
      <c r="A3606" s="1062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t="19.5" hidden="1" thickBot="1" x14ac:dyDescent="0.3">
      <c r="A3607" s="1072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t="19.5" hidden="1" thickBot="1" x14ac:dyDescent="0.3">
      <c r="A3608" s="1072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1113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t="19.5" hidden="1" thickBot="1" x14ac:dyDescent="0.3">
      <c r="A3611" s="1062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1072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t="19.5" hidden="1" thickBot="1" x14ac:dyDescent="0.3">
      <c r="A3615" s="1066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t="19.5" hidden="1" thickBot="1" x14ac:dyDescent="0.3">
      <c r="A3616" s="1068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t="19.5" hidden="1" thickBot="1" x14ac:dyDescent="0.3">
      <c r="A3617" s="1068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1114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t="19.5" hidden="1" thickBot="1" x14ac:dyDescent="0.3">
      <c r="A3622" s="1066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t="19.5" hidden="1" thickBot="1" x14ac:dyDescent="0.3">
      <c r="A3623" s="1068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1068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t="19.5" hidden="1" thickBot="1" x14ac:dyDescent="0.3">
      <c r="A3627" s="1062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t="19.5" hidden="1" thickBot="1" x14ac:dyDescent="0.3">
      <c r="A3628" s="1072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t="19.5" hidden="1" thickBot="1" x14ac:dyDescent="0.3">
      <c r="A3629" s="1072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t="19.5" hidden="1" thickBot="1" x14ac:dyDescent="0.3">
      <c r="A3630" s="1072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t="19.5" hidden="1" thickBot="1" x14ac:dyDescent="0.3">
      <c r="A3631" s="1072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1072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t="19.5" hidden="1" thickBot="1" x14ac:dyDescent="0.3">
      <c r="A3633" s="1066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1114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t="19.5" hidden="1" thickBot="1" x14ac:dyDescent="0.3">
      <c r="A3639" s="1062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1094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1113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1112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t="19.5" hidden="1" thickBot="1" x14ac:dyDescent="0.3">
      <c r="A3642" s="1062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1094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1113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1112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t="19.5" hidden="1" thickBot="1" x14ac:dyDescent="0.3">
      <c r="A3645" s="1062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1113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t="19.5" hidden="1" thickBot="1" x14ac:dyDescent="0.3">
      <c r="A3647" s="1066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1114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t="19.5" hidden="1" thickBot="1" x14ac:dyDescent="0.3">
      <c r="A3649" s="1062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1072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t="19.5" hidden="1" thickBot="1" x14ac:dyDescent="0.3">
      <c r="A3654" s="1062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1113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t="19.5" hidden="1" thickBot="1" x14ac:dyDescent="0.3">
      <c r="A3656" s="1066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1114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t="19.5" hidden="1" thickBot="1" x14ac:dyDescent="0.3">
      <c r="A3658" s="1062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t="19.5" hidden="1" thickBot="1" x14ac:dyDescent="0.3">
      <c r="A3659" s="1072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1113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t="19.5" hidden="1" thickBot="1" x14ac:dyDescent="0.3">
      <c r="A3661" s="1066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t="19.5" hidden="1" thickBot="1" x14ac:dyDescent="0.3">
      <c r="A3662" s="1068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1114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t="19.5" hidden="1" thickBot="1" x14ac:dyDescent="0.3">
      <c r="A3669" s="1066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t="19.5" hidden="1" thickBot="1" x14ac:dyDescent="0.3">
      <c r="A3670" s="1068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t="19.5" hidden="1" thickBot="1" x14ac:dyDescent="0.3">
      <c r="A3671" s="1068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t="19.5" hidden="1" thickBot="1" x14ac:dyDescent="0.3">
      <c r="A3672" s="1068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t="19.5" hidden="1" thickBot="1" x14ac:dyDescent="0.3">
      <c r="A3673" s="1068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1068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t="19.5" hidden="1" thickBot="1" x14ac:dyDescent="0.3">
      <c r="A3675" s="1062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1113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t="19.5" hidden="1" thickBot="1" x14ac:dyDescent="0.3">
      <c r="A3677" s="1066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1080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1114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1115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7" hidden="1" thickBot="1" x14ac:dyDescent="0.3">
      <c r="A3681" s="1062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1113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t="19.5" hidden="1" thickBot="1" x14ac:dyDescent="0.3">
      <c r="A3685" s="1066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1114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t="19.5" hidden="1" thickBot="1" x14ac:dyDescent="0.3">
      <c r="A3687" s="1062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t="19.5" hidden="1" thickBot="1" x14ac:dyDescent="0.3">
      <c r="A3688" s="1072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t="19.5" hidden="1" thickBot="1" x14ac:dyDescent="0.3">
      <c r="A3689" s="1072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1113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25">
      <c r="A3694" s="1062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1094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1113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1112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t="19.5" hidden="1" thickBot="1" x14ac:dyDescent="0.3">
      <c r="A3698" s="1066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t="19.5" hidden="1" thickBot="1" x14ac:dyDescent="0.3">
      <c r="A3699" s="1068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1114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t="19.5" hidden="1" thickBot="1" x14ac:dyDescent="0.3">
      <c r="A3701" s="1062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1113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25">
      <c r="A3703" s="1066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1080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1114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1115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t="19.5" hidden="1" thickBot="1" x14ac:dyDescent="0.3">
      <c r="A3709" s="1062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t="19.5" hidden="1" thickBot="1" x14ac:dyDescent="0.3">
      <c r="A3710" s="1072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t="19.5" hidden="1" thickBot="1" x14ac:dyDescent="0.3">
      <c r="A3711" s="1072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t="19.5" hidden="1" thickBot="1" x14ac:dyDescent="0.3">
      <c r="A3712" s="1072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t="19.5" hidden="1" thickBot="1" x14ac:dyDescent="0.3">
      <c r="A3713" s="1072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1072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t="19.5" hidden="1" thickBot="1" x14ac:dyDescent="0.3">
      <c r="A3715" s="1066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1114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t="19.5" hidden="1" thickBot="1" x14ac:dyDescent="0.3">
      <c r="A3718" s="1066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1114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t="19.5" hidden="1" thickBot="1" x14ac:dyDescent="0.3">
      <c r="A3721" s="1066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1080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1114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1115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t="19.5" hidden="1" thickBot="1" x14ac:dyDescent="0.3">
      <c r="A3723" s="1062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t="19.5" hidden="1" thickBot="1" x14ac:dyDescent="0.3">
      <c r="A3724" s="1072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1113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t="19.5" hidden="1" thickBot="1" x14ac:dyDescent="0.3">
      <c r="A3726" s="1066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t="19.5" hidden="1" thickBot="1" x14ac:dyDescent="0.3">
      <c r="A3727" s="1068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1114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t="19.5" hidden="1" thickBot="1" x14ac:dyDescent="0.3">
      <c r="A3729" s="1062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t="19.5" hidden="1" thickBot="1" x14ac:dyDescent="0.3">
      <c r="A3730" s="1072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1113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t="19.5" hidden="1" thickBot="1" x14ac:dyDescent="0.3">
      <c r="A3732" s="1066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t="19.5" hidden="1" thickBot="1" x14ac:dyDescent="0.3">
      <c r="A3733" s="1068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t="19.5" hidden="1" thickBot="1" x14ac:dyDescent="0.3">
      <c r="A3734" s="1068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1068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t="19.5" hidden="1" thickBot="1" x14ac:dyDescent="0.3">
      <c r="A3737" s="1066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1114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t="19.5" hidden="1" thickBot="1" x14ac:dyDescent="0.3">
      <c r="A3739" s="1062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t="19.5" hidden="1" thickBot="1" x14ac:dyDescent="0.3">
      <c r="A3740" s="1072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1113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t="19.5" hidden="1" thickBot="1" x14ac:dyDescent="0.3">
      <c r="A3743" s="1062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t="19.5" hidden="1" thickBot="1" x14ac:dyDescent="0.3">
      <c r="A3744" s="1072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t="19.5" hidden="1" thickBot="1" x14ac:dyDescent="0.3">
      <c r="A3745" s="1072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1072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t="19.5" hidden="1" thickBot="1" x14ac:dyDescent="0.3">
      <c r="A3749" s="1066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1068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t="19.5" hidden="1" thickBot="1" x14ac:dyDescent="0.3">
      <c r="A3754" s="1066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t="19.5" hidden="1" thickBot="1" x14ac:dyDescent="0.3">
      <c r="A3755" s="1068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t="19.5" hidden="1" thickBot="1" x14ac:dyDescent="0.3">
      <c r="A3756" s="1068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t="19.5" hidden="1" thickBot="1" x14ac:dyDescent="0.3">
      <c r="A3757" s="1068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t="19.5" hidden="1" thickBot="1" x14ac:dyDescent="0.3">
      <c r="A3758" s="1068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1068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t="19.5" hidden="1" thickBot="1" x14ac:dyDescent="0.3">
      <c r="A3760" s="1062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1113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t="19.5" hidden="1" thickBot="1" x14ac:dyDescent="0.3">
      <c r="A3765" s="1062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1094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t="19.5" hidden="1" thickBot="1" x14ac:dyDescent="0.3">
      <c r="A3766" s="1072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1095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1113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1112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7" hidden="1" thickBot="1" x14ac:dyDescent="0.3">
      <c r="A3769" s="1062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t="19.5" hidden="1" thickBot="1" x14ac:dyDescent="0.3">
      <c r="A3770" s="1072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1113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t="19.5" hidden="1" thickBot="1" x14ac:dyDescent="0.3">
      <c r="A3772" s="1066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t="19.5" hidden="1" thickBot="1" x14ac:dyDescent="0.3">
      <c r="A3773" s="1068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1114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t="19.5" hidden="1" thickBot="1" x14ac:dyDescent="0.3">
      <c r="A3775" s="1062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t="19.5" hidden="1" thickBot="1" x14ac:dyDescent="0.3">
      <c r="A3776" s="1072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1072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25">
      <c r="A3779" s="1062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1094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1113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1112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t="19.5" hidden="1" thickBot="1" x14ac:dyDescent="0.3">
      <c r="A3781" s="1066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t="19.5" hidden="1" thickBot="1" x14ac:dyDescent="0.3">
      <c r="A3782" s="1068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t="19.5" hidden="1" thickBot="1" x14ac:dyDescent="0.3">
      <c r="A3783" s="1068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1114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t="19.5" hidden="1" thickBot="1" x14ac:dyDescent="0.3">
      <c r="A3785" s="1062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1113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t="19.5" hidden="1" thickBot="1" x14ac:dyDescent="0.3">
      <c r="A3788" s="1062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1113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t="19.5" hidden="1" thickBot="1" x14ac:dyDescent="0.3">
      <c r="A3790" s="1066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1114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t="19.5" hidden="1" thickBot="1" x14ac:dyDescent="0.3">
      <c r="A3797" s="1066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t="19.5" hidden="1" thickBot="1" x14ac:dyDescent="0.3">
      <c r="A3798" s="1068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t="19.5" hidden="1" thickBot="1" x14ac:dyDescent="0.3">
      <c r="A3799" s="1068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t="19.5" hidden="1" thickBot="1" x14ac:dyDescent="0.3">
      <c r="A3800" s="1068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1068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t="19.5" hidden="1" thickBot="1" x14ac:dyDescent="0.3">
      <c r="A3802" s="1062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1113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t="19.5" hidden="1" thickBot="1" x14ac:dyDescent="0.3">
      <c r="A3811" s="1062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t="19.5" hidden="1" thickBot="1" x14ac:dyDescent="0.3">
      <c r="A3812" s="1072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1113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t="19.5" hidden="1" thickBot="1" x14ac:dyDescent="0.3">
      <c r="A3814" s="1066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1114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t="19.5" hidden="1" thickBot="1" x14ac:dyDescent="0.3">
      <c r="A3816" s="1062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1113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t="19.5" hidden="1" thickBot="1" x14ac:dyDescent="0.3">
      <c r="A3818" s="1066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1114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t="19.5" hidden="1" thickBot="1" x14ac:dyDescent="0.3">
      <c r="A3820" s="1062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1094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1113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1112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t="19.5" hidden="1" thickBot="1" x14ac:dyDescent="0.3">
      <c r="A3822" s="1066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1068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t="19.5" hidden="1" thickBot="1" x14ac:dyDescent="0.3">
      <c r="A3828" s="1062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t="19.5" hidden="1" thickBot="1" x14ac:dyDescent="0.3">
      <c r="A3829" s="1072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1113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t="19.5" hidden="1" thickBot="1" x14ac:dyDescent="0.3">
      <c r="A3831" s="1066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1114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t="19.5" hidden="1" thickBot="1" x14ac:dyDescent="0.3">
      <c r="A3833" s="1062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1113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t="19.5" hidden="1" thickBot="1" x14ac:dyDescent="0.3">
      <c r="A3835" s="1066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1114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t="19.5" hidden="1" thickBot="1" x14ac:dyDescent="0.3">
      <c r="A3837" s="1062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1113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t="19.5" hidden="1" thickBot="1" x14ac:dyDescent="0.3">
      <c r="A3842" s="1062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1072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t="19.5" hidden="1" thickBot="1" x14ac:dyDescent="0.3">
      <c r="A3848" s="1068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t="19.5" hidden="1" thickBot="1" x14ac:dyDescent="0.3">
      <c r="A3849" s="1068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t="19.5" hidden="1" thickBot="1" x14ac:dyDescent="0.3">
      <c r="A3850" s="1068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t="19.5" hidden="1" thickBot="1" x14ac:dyDescent="0.3">
      <c r="A3851" s="1068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t="19.5" hidden="1" thickBot="1" x14ac:dyDescent="0.3">
      <c r="A3852" s="1068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1068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t="19.5" hidden="1" thickBot="1" x14ac:dyDescent="0.3">
      <c r="A3854" s="1062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1113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t="19.5" hidden="1" thickBot="1" x14ac:dyDescent="0.3">
      <c r="A3859" s="1062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1113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t="19.5" hidden="1" thickBot="1" x14ac:dyDescent="0.3">
      <c r="A3861" s="1066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t="19.5" hidden="1" thickBot="1" x14ac:dyDescent="0.3">
      <c r="A3862" s="1068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t="19.5" hidden="1" thickBot="1" x14ac:dyDescent="0.3">
      <c r="A3863" s="1068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1114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t="19.5" hidden="1" thickBot="1" x14ac:dyDescent="0.3">
      <c r="A3867" s="1062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t="19.5" hidden="1" thickBot="1" x14ac:dyDescent="0.3">
      <c r="A3868" s="1072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t="19.5" hidden="1" thickBot="1" x14ac:dyDescent="0.3">
      <c r="A3869" s="1072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t="19.5" hidden="1" thickBot="1" x14ac:dyDescent="0.3">
      <c r="A3870" s="1072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t="19.5" hidden="1" thickBot="1" x14ac:dyDescent="0.3">
      <c r="A3871" s="1072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1113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t="19.5" hidden="1" thickBot="1" x14ac:dyDescent="0.3">
      <c r="A3874" s="1062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1113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t="19.5" hidden="1" thickBot="1" x14ac:dyDescent="0.3">
      <c r="A3876" s="1066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t="19.5" hidden="1" thickBot="1" x14ac:dyDescent="0.3">
      <c r="A3877" s="1068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t="19.5" hidden="1" thickBot="1" x14ac:dyDescent="0.3">
      <c r="A3878" s="1068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1114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t="19.5" hidden="1" thickBot="1" x14ac:dyDescent="0.3">
      <c r="A3884" s="1066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t="19.5" hidden="1" thickBot="1" x14ac:dyDescent="0.3">
      <c r="A3885" s="1068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t="19.5" hidden="1" thickBot="1" x14ac:dyDescent="0.3">
      <c r="A3886" s="1068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t="19.5" hidden="1" thickBot="1" x14ac:dyDescent="0.3">
      <c r="A3887" s="1068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t="19.5" hidden="1" thickBot="1" x14ac:dyDescent="0.3">
      <c r="A3888" s="1068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1068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t="19.5" hidden="1" thickBot="1" x14ac:dyDescent="0.3">
      <c r="A3890" s="1062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1113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t="19.5" hidden="1" thickBot="1" x14ac:dyDescent="0.3">
      <c r="A3895" s="1062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1094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1113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1112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1066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1068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1114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1062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1072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1072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1113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1066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1068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1114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1062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1094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1072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1095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1113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1112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1066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1080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1114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1115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1062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1113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1066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1114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1062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1072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1072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1072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1072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1072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1066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1114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1062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1113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1066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1068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1114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1062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1072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1072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1113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1066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1114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1062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1094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1113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1112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1062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1113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1066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1068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1114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1066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1114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1062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1072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t="19.5" hidden="1" thickBot="1" x14ac:dyDescent="0.3">
      <c r="A3966" s="1066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1068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t="19.5" hidden="1" thickBot="1" x14ac:dyDescent="0.3">
      <c r="A3971" s="1066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t="19.5" hidden="1" thickBot="1" x14ac:dyDescent="0.3">
      <c r="A3972" s="1068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t="19.5" hidden="1" thickBot="1" x14ac:dyDescent="0.3">
      <c r="A3973" s="1068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t="19.5" hidden="1" thickBot="1" x14ac:dyDescent="0.3">
      <c r="A3974" s="1068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1068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t="19.5" hidden="1" thickBot="1" x14ac:dyDescent="0.3">
      <c r="A3976" s="1062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1113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t="19.5" hidden="1" thickBot="1" x14ac:dyDescent="0.3">
      <c r="A3981" s="1062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1072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t="19.5" hidden="1" thickBot="1" x14ac:dyDescent="0.3">
      <c r="A3983" s="1066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1080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1114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1115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t="19.5" hidden="1" thickBot="1" x14ac:dyDescent="0.3">
      <c r="A3985" s="1062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t="19.5" hidden="1" thickBot="1" x14ac:dyDescent="0.3">
      <c r="A3986" s="1072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t="19.5" hidden="1" thickBot="1" x14ac:dyDescent="0.3">
      <c r="A3987" s="1072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t="19.5" hidden="1" thickBot="1" x14ac:dyDescent="0.3">
      <c r="A3988" s="1072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t="19.5" hidden="1" thickBot="1" x14ac:dyDescent="0.3">
      <c r="A3989" s="1072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t="19.5" hidden="1" thickBot="1" x14ac:dyDescent="0.3">
      <c r="A3990" s="1072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1113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t="19.5" hidden="1" thickBot="1" x14ac:dyDescent="0.3">
      <c r="A3992" s="1066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t="19.5" hidden="1" thickBot="1" x14ac:dyDescent="0.3">
      <c r="A3993" s="1068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t="19.5" hidden="1" thickBot="1" x14ac:dyDescent="0.3">
      <c r="A3994" s="1068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1068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t="19.5" hidden="1" thickBot="1" x14ac:dyDescent="0.3">
      <c r="A3996" s="1062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t="19.5" hidden="1" thickBot="1" x14ac:dyDescent="0.3">
      <c r="A3997" s="1072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1113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t="19.5" hidden="1" thickBot="1" x14ac:dyDescent="0.3">
      <c r="A4002" s="1062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1113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t="19.5" hidden="1" thickBot="1" x14ac:dyDescent="0.3">
      <c r="A4004" s="1066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1114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t="19.5" hidden="1" thickBot="1" x14ac:dyDescent="0.3">
      <c r="A4006" s="1062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t="19.5" hidden="1" thickBot="1" x14ac:dyDescent="0.3">
      <c r="A4007" s="1072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1113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t="19.5" hidden="1" thickBot="1" x14ac:dyDescent="0.3">
      <c r="A4010" s="1062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1113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t="19.5" hidden="1" thickBot="1" x14ac:dyDescent="0.3">
      <c r="A4012" s="1103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t="19.5" hidden="1" thickBot="1" x14ac:dyDescent="0.3">
      <c r="A4013" s="1116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1117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t="19.5" hidden="1" thickBot="1" x14ac:dyDescent="0.3">
      <c r="A4019" s="1062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t="19.5" hidden="1" thickBot="1" x14ac:dyDescent="0.3">
      <c r="A4020" s="1072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t="19.5" hidden="1" thickBot="1" x14ac:dyDescent="0.3">
      <c r="A4021" s="1072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t="19.5" hidden="1" thickBot="1" x14ac:dyDescent="0.3">
      <c r="A4022" s="1072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t="19.5" hidden="1" thickBot="1" x14ac:dyDescent="0.3">
      <c r="A4023" s="1072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1113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t="19.5" hidden="1" thickBot="1" x14ac:dyDescent="0.3">
      <c r="A4027" s="1066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1114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t="19.5" hidden="1" thickBot="1" x14ac:dyDescent="0.3">
      <c r="A4031" s="1062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t="19.5" hidden="1" thickBot="1" x14ac:dyDescent="0.3">
      <c r="A4032" s="1072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1113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t="19.5" hidden="1" thickBot="1" x14ac:dyDescent="0.3">
      <c r="A4034" s="1066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1114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t="19.5" hidden="1" thickBot="1" x14ac:dyDescent="0.3">
      <c r="A4036" s="1062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1113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t="19.5" hidden="1" thickBot="1" x14ac:dyDescent="0.3">
      <c r="A4039" s="1062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1113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t="19.5" hidden="1" thickBot="1" x14ac:dyDescent="0.3">
      <c r="A4045" s="1066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t="19.5" hidden="1" thickBot="1" x14ac:dyDescent="0.3">
      <c r="A4046" s="1068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1067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t="19.5" hidden="1" thickBot="1" x14ac:dyDescent="0.3">
      <c r="A4048" s="1062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t="19.5" hidden="1" thickBot="1" x14ac:dyDescent="0.3">
      <c r="A4049" s="1072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1063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t="19.5" hidden="1" thickBot="1" x14ac:dyDescent="0.3">
      <c r="A4053" s="1066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1067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t="19.5" hidden="1" thickBot="1" x14ac:dyDescent="0.3">
      <c r="A4055" s="1062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1094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1063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1101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t="19.5" hidden="1" thickBot="1" x14ac:dyDescent="0.3">
      <c r="A4058" s="1062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1072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t="19.5" hidden="1" thickBot="1" x14ac:dyDescent="0.3">
      <c r="A4064" s="1066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1080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1067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1081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t="19.5" hidden="1" thickBot="1" x14ac:dyDescent="0.3">
      <c r="A4066" s="1062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t="19.5" hidden="1" thickBot="1" x14ac:dyDescent="0.3">
      <c r="A4067" s="1072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t="19.5" hidden="1" thickBot="1" x14ac:dyDescent="0.3">
      <c r="A4068" s="1072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t="19.5" hidden="1" thickBot="1" x14ac:dyDescent="0.3">
      <c r="A4069" s="1072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1072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t="19.5" hidden="1" thickBot="1" x14ac:dyDescent="0.3">
      <c r="A4071" s="1066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1067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t="19.5" hidden="1" thickBot="1" x14ac:dyDescent="0.3">
      <c r="A4077" s="1062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1063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t="19.5" hidden="1" thickBot="1" x14ac:dyDescent="0.3">
      <c r="A4082" s="1062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t="19.5" hidden="1" thickBot="1" x14ac:dyDescent="0.3">
      <c r="A4083" s="1072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1063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t="19.5" hidden="1" thickBot="1" x14ac:dyDescent="0.3">
      <c r="A4085" s="1066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1067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t="19.5" hidden="1" thickBot="1" x14ac:dyDescent="0.3">
      <c r="A4087" s="1062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t="19.5" hidden="1" thickBot="1" x14ac:dyDescent="0.3">
      <c r="A4088" s="1072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1072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25">
      <c r="A4090" s="1066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1080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25">
      <c r="A4091" s="1068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1102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1067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1081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t="19.5" hidden="1" thickBot="1" x14ac:dyDescent="0.3">
      <c r="A4096" s="1066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1067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t="19.5" hidden="1" thickBot="1" x14ac:dyDescent="0.3">
      <c r="A4099" s="1066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t="19.5" hidden="1" thickBot="1" x14ac:dyDescent="0.3">
      <c r="A4100" s="1068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1067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t="19.5" hidden="1" thickBot="1" x14ac:dyDescent="0.3">
      <c r="A4106" s="1062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t="19.5" hidden="1" thickBot="1" x14ac:dyDescent="0.3">
      <c r="A4107" s="1072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1063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t="19.5" hidden="1" thickBot="1" x14ac:dyDescent="0.3">
      <c r="A4109" s="1066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t="19.5" hidden="1" thickBot="1" x14ac:dyDescent="0.3">
      <c r="A4110" s="1068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t="19.5" hidden="1" thickBot="1" x14ac:dyDescent="0.3">
      <c r="A4111" s="1068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t="19.5" hidden="1" thickBot="1" x14ac:dyDescent="0.3">
      <c r="A4112" s="1068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1068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t="19.5" hidden="1" thickBot="1" x14ac:dyDescent="0.3">
      <c r="A4114" s="1062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1063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t="19.5" hidden="1" thickBot="1" x14ac:dyDescent="0.3">
      <c r="A4120" s="1066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t="19.5" hidden="1" thickBot="1" x14ac:dyDescent="0.3">
      <c r="A4121" s="1068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1067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t="19.5" hidden="1" thickBot="1" x14ac:dyDescent="0.3">
      <c r="A4123" s="1062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t="19.5" hidden="1" thickBot="1" x14ac:dyDescent="0.3">
      <c r="A4124" s="1072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t="19.5" hidden="1" thickBot="1" x14ac:dyDescent="0.3">
      <c r="A4125" s="1072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1063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t="19.5" hidden="1" thickBot="1" x14ac:dyDescent="0.3">
      <c r="A4131" s="1066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1067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t="19.5" hidden="1" thickBot="1" x14ac:dyDescent="0.3">
      <c r="A4133" s="1062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t="19.5" hidden="1" thickBot="1" x14ac:dyDescent="0.3">
      <c r="A4134" s="1072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t="19.5" hidden="1" thickBot="1" x14ac:dyDescent="0.3">
      <c r="A4135" s="1072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1063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t="19.5" hidden="1" thickBot="1" x14ac:dyDescent="0.3">
      <c r="A4138" s="1062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1063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t="19.5" hidden="1" thickBot="1" x14ac:dyDescent="0.3">
      <c r="A4140" s="1066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t="19.5" hidden="1" thickBot="1" x14ac:dyDescent="0.3">
      <c r="A4141" s="1068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1068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t="19.5" hidden="1" thickBot="1" x14ac:dyDescent="0.3">
      <c r="A4145" s="1062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1063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t="19.5" hidden="1" thickBot="1" x14ac:dyDescent="0.3">
      <c r="A4153" s="1066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t="19.5" hidden="1" thickBot="1" x14ac:dyDescent="0.3">
      <c r="A4154" s="1068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t="19.5" hidden="1" thickBot="1" x14ac:dyDescent="0.3">
      <c r="A4155" s="1068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t="19.5" hidden="1" thickBot="1" x14ac:dyDescent="0.3">
      <c r="A4156" s="1068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1068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t="19.5" hidden="1" thickBot="1" x14ac:dyDescent="0.3">
      <c r="A4158" s="1062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1063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t="19.5" hidden="1" thickBot="1" x14ac:dyDescent="0.3">
      <c r="A4164" s="1066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t="19.5" hidden="1" thickBot="1" x14ac:dyDescent="0.3">
      <c r="A4165" s="1068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1067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t="19.5" hidden="1" thickBot="1" x14ac:dyDescent="0.3">
      <c r="A4167" s="1062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1063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t="19.5" hidden="1" thickBot="1" x14ac:dyDescent="0.3">
      <c r="A4169" s="1066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1067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t="19.5" hidden="1" thickBot="1" x14ac:dyDescent="0.3">
      <c r="A4171" s="1062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1063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t="19.5" hidden="1" thickBot="1" x14ac:dyDescent="0.3">
      <c r="A4178" s="1062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t="19.5" hidden="1" thickBot="1" x14ac:dyDescent="0.3">
      <c r="A4179" s="1072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1063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t="19.5" hidden="1" thickBot="1" x14ac:dyDescent="0.3">
      <c r="A4182" s="1062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1063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t="19.5" hidden="1" thickBot="1" x14ac:dyDescent="0.3">
      <c r="A4184" s="1066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1067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t="19.5" hidden="1" thickBot="1" x14ac:dyDescent="0.3">
      <c r="A4193" s="1066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t="19.5" hidden="1" thickBot="1" x14ac:dyDescent="0.3">
      <c r="A4194" s="1068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1067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t="19.5" hidden="1" thickBot="1" x14ac:dyDescent="0.3">
      <c r="A4196" s="1062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t="19.5" hidden="1" thickBot="1" x14ac:dyDescent="0.3">
      <c r="A4197" s="1072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t="19.5" hidden="1" thickBot="1" x14ac:dyDescent="0.3">
      <c r="A4198" s="1072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t="19.5" hidden="1" thickBot="1" x14ac:dyDescent="0.3">
      <c r="A4199" s="1072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1063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t="19.5" hidden="1" thickBot="1" x14ac:dyDescent="0.3">
      <c r="A4202" s="1062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1072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t="19.5" hidden="1" thickBot="1" x14ac:dyDescent="0.3">
      <c r="A4204" s="1066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1067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7" hidden="1" thickBot="1" x14ac:dyDescent="0.3">
      <c r="A4209" s="1066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1067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t="19.5" hidden="1" thickBot="1" x14ac:dyDescent="0.3">
      <c r="A4212" s="1066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1067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t="19.5" hidden="1" thickBot="1" x14ac:dyDescent="0.3">
      <c r="A4214" s="1062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t="19.5" hidden="1" thickBot="1" x14ac:dyDescent="0.3">
      <c r="A4215" s="1072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1063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t="19.5" hidden="1" thickBot="1" x14ac:dyDescent="0.3">
      <c r="A4223" s="1066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t="19.5" hidden="1" thickBot="1" x14ac:dyDescent="0.3">
      <c r="A4224" s="1068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t="19.5" hidden="1" thickBot="1" x14ac:dyDescent="0.3">
      <c r="A4225" s="1068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1067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t="19.5" hidden="1" thickBot="1" x14ac:dyDescent="0.3">
      <c r="A4227" s="1062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t="19.5" hidden="1" thickBot="1" x14ac:dyDescent="0.3">
      <c r="A4228" s="1072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1063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25">
      <c r="A4231" s="1062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1094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1063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1101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t="19.5" hidden="1" thickBot="1" x14ac:dyDescent="0.3">
      <c r="A4233" s="1066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t="19.5" hidden="1" thickBot="1" x14ac:dyDescent="0.3">
      <c r="A4234" s="1068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1067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t="19.5" hidden="1" thickBot="1" x14ac:dyDescent="0.3">
      <c r="A4237" s="1066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t="19.5" hidden="1" thickBot="1" x14ac:dyDescent="0.3">
      <c r="A4238" s="1068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1067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t="19.5" hidden="1" thickBot="1" x14ac:dyDescent="0.3">
      <c r="A4240" s="1062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t="19.5" hidden="1" thickBot="1" x14ac:dyDescent="0.3">
      <c r="A4241" s="1072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t="19.5" hidden="1" thickBot="1" x14ac:dyDescent="0.3">
      <c r="A4242" s="1072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1063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t="19.5" hidden="1" thickBot="1" x14ac:dyDescent="0.3">
      <c r="A4245" s="1062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1063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25">
      <c r="A4251" s="1066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1080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25">
      <c r="A4252" s="1068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1102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25">
      <c r="A4253" s="1068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1102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1067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1081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t="19.5" hidden="1" thickBot="1" x14ac:dyDescent="0.3">
      <c r="A4255" s="1062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t="19.5" hidden="1" thickBot="1" x14ac:dyDescent="0.3">
      <c r="A4256" s="1072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1063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t="19.5" hidden="1" thickBot="1" x14ac:dyDescent="0.3">
      <c r="A4259" s="1062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1063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t="19.5" hidden="1" thickBot="1" x14ac:dyDescent="0.3">
      <c r="A4267" s="1066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t="19.5" hidden="1" thickBot="1" x14ac:dyDescent="0.3">
      <c r="A4268" s="1068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1067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t="19.5" hidden="1" thickBot="1" x14ac:dyDescent="0.3">
      <c r="A4270" s="1062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1063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t="19.5" hidden="1" thickBot="1" x14ac:dyDescent="0.3">
      <c r="A4272" s="1066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t="19.5" hidden="1" thickBot="1" x14ac:dyDescent="0.3">
      <c r="A4273" s="1068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1068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25">
      <c r="A4278" s="1066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1080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1067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1081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t="19.5" hidden="1" thickBot="1" x14ac:dyDescent="0.3">
      <c r="A4282" s="1062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1063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t="19.5" hidden="1" thickBot="1" x14ac:dyDescent="0.3">
      <c r="A4284" s="1066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t="19.5" hidden="1" thickBot="1" x14ac:dyDescent="0.3">
      <c r="A4285" s="1068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1067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t="19.5" hidden="1" thickBot="1" x14ac:dyDescent="0.3">
      <c r="A4288" s="1066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1067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t="19.5" hidden="1" thickBot="1" x14ac:dyDescent="0.3">
      <c r="A4290" s="1062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1063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t="19.5" hidden="1" thickBot="1" x14ac:dyDescent="0.3">
      <c r="A4292" s="1066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1068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t="19.5" hidden="1" thickBot="1" x14ac:dyDescent="0.3">
      <c r="A4298" s="1062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1063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t="19.5" hidden="1" thickBot="1" x14ac:dyDescent="0.3">
      <c r="A4300" s="1066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t="19.5" hidden="1" thickBot="1" x14ac:dyDescent="0.3">
      <c r="A4301" s="1068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t="19.5" hidden="1" thickBot="1" x14ac:dyDescent="0.3">
      <c r="A4302" s="1068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t="19.5" hidden="1" thickBot="1" x14ac:dyDescent="0.3">
      <c r="A4303" s="1068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1068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t="19.5" hidden="1" thickBot="1" x14ac:dyDescent="0.3">
      <c r="A4305" s="1062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t="19.5" hidden="1" thickBot="1" x14ac:dyDescent="0.3">
      <c r="A4306" s="1072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1063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t="19.5" hidden="1" thickBot="1" x14ac:dyDescent="0.3">
      <c r="A4311" s="1062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1094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t="19.5" hidden="1" thickBot="1" x14ac:dyDescent="0.3">
      <c r="A4312" s="1072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1095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t="19.5" hidden="1" thickBot="1" x14ac:dyDescent="0.3">
      <c r="A4313" s="1072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1095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1063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1101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t="19.5" hidden="1" thickBot="1" x14ac:dyDescent="0.3">
      <c r="A4315" s="1066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1067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t="19.5" hidden="1" thickBot="1" x14ac:dyDescent="0.3">
      <c r="A4317" s="1062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1063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t="19.5" hidden="1" thickBot="1" x14ac:dyDescent="0.3">
      <c r="A4322" s="1062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1063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t="19.5" hidden="1" thickBot="1" x14ac:dyDescent="0.3">
      <c r="A4324" s="1066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t="19.5" hidden="1" thickBot="1" x14ac:dyDescent="0.3">
      <c r="A4325" s="1068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1067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t="19.5" hidden="1" thickBot="1" x14ac:dyDescent="0.3">
      <c r="A4329" s="1062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1063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25">
      <c r="A4331" s="1066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1080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1067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1081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t="19.5" hidden="1" thickBot="1" x14ac:dyDescent="0.3">
      <c r="A4334" s="1066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1068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t="19.5" hidden="1" thickBot="1" x14ac:dyDescent="0.3">
      <c r="A4339" s="1066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t="19.5" hidden="1" thickBot="1" x14ac:dyDescent="0.3">
      <c r="A4340" s="1068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t="19.5" hidden="1" thickBot="1" x14ac:dyDescent="0.3">
      <c r="A4341" s="1068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t="19.5" hidden="1" thickBot="1" x14ac:dyDescent="0.3">
      <c r="A4342" s="1068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t="19.5" hidden="1" thickBot="1" x14ac:dyDescent="0.3">
      <c r="A4343" s="1068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1067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t="19.5" hidden="1" thickBot="1" x14ac:dyDescent="0.3">
      <c r="A4345" s="1062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1072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t="19.5" hidden="1" thickBot="1" x14ac:dyDescent="0.3">
      <c r="A4347" s="1066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t="19.5" hidden="1" thickBot="1" x14ac:dyDescent="0.3">
      <c r="A4348" s="1068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1067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7" hidden="1" thickBot="1" x14ac:dyDescent="0.3">
      <c r="A4354" s="1062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1063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t="19.5" hidden="1" thickBot="1" x14ac:dyDescent="0.3">
      <c r="A4357" s="1062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t="19.5" hidden="1" thickBot="1" x14ac:dyDescent="0.3">
      <c r="A4358" s="1072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1063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t="19.5" hidden="1" thickBot="1" x14ac:dyDescent="0.3">
      <c r="A4360" s="1066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t="19.5" hidden="1" thickBot="1" x14ac:dyDescent="0.3">
      <c r="A4361" s="1068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1067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t="19.5" hidden="1" thickBot="1" x14ac:dyDescent="0.3">
      <c r="A4367" s="1062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t="19.5" hidden="1" thickBot="1" x14ac:dyDescent="0.3">
      <c r="A4368" s="1072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1063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t="19.5" hidden="1" thickBot="1" x14ac:dyDescent="0.3">
      <c r="A4370" s="1066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t="19.5" hidden="1" thickBot="1" x14ac:dyDescent="0.3">
      <c r="A4371" s="1068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1067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t="19.5" hidden="1" thickBot="1" x14ac:dyDescent="0.3">
      <c r="A4374" s="1066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1067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t="19.5" hidden="1" thickBot="1" x14ac:dyDescent="0.3">
      <c r="A4376" s="1062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1063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7" hidden="1" thickBot="1" x14ac:dyDescent="0.3">
      <c r="A4384" s="1066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7" hidden="1" thickBot="1" x14ac:dyDescent="0.3">
      <c r="A4385" s="1068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1067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7" hidden="1" thickBot="1" x14ac:dyDescent="0.3">
      <c r="A4387" s="1062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7" hidden="1" thickBot="1" x14ac:dyDescent="0.3">
      <c r="A4388" s="1072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7" hidden="1" thickBot="1" x14ac:dyDescent="0.3">
      <c r="A4389" s="1072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1063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7" hidden="1" thickBot="1" x14ac:dyDescent="0.3">
      <c r="A4391" s="1066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1080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1068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1081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t="19.5" hidden="1" thickBot="1" x14ac:dyDescent="0.3">
      <c r="A4393" s="1062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t="19.5" hidden="1" thickBot="1" x14ac:dyDescent="0.3">
      <c r="A4394" s="1072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1063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t="19.5" hidden="1" thickBot="1" x14ac:dyDescent="0.3">
      <c r="A4400" s="1066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1067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t="19.5" hidden="1" thickBot="1" x14ac:dyDescent="0.3">
      <c r="A4402" s="1062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t="19.5" hidden="1" thickBot="1" x14ac:dyDescent="0.3">
      <c r="A4403" s="1072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t="19.5" hidden="1" thickBot="1" x14ac:dyDescent="0.3">
      <c r="A4404" s="1072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1072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t="19.5" hidden="1" thickBot="1" x14ac:dyDescent="0.3">
      <c r="A4406" s="1066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1067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t="19.5" hidden="1" thickBot="1" x14ac:dyDescent="0.3">
      <c r="A4414" s="1062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1063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t="19.5" hidden="1" thickBot="1" x14ac:dyDescent="0.3">
      <c r="A4416" s="1066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t="19.5" hidden="1" thickBot="1" x14ac:dyDescent="0.3">
      <c r="A4417" s="1068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t="19.5" hidden="1" thickBot="1" x14ac:dyDescent="0.3">
      <c r="A4418" s="1068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38.25" hidden="1" thickBot="1" x14ac:dyDescent="0.3">
      <c r="A4419" s="1067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t="19.5" hidden="1" thickBot="1" x14ac:dyDescent="0.3">
      <c r="A4422" s="1062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1063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t="19.5" hidden="1" thickBot="1" x14ac:dyDescent="0.3">
      <c r="A4424" s="1066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1067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t="19.5" hidden="1" thickBot="1" x14ac:dyDescent="0.3">
      <c r="A4427" s="1066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1067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t="19.5" hidden="1" thickBot="1" x14ac:dyDescent="0.3">
      <c r="A4429" s="1062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1063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t="19.5" hidden="1" thickBot="1" x14ac:dyDescent="0.3">
      <c r="A4431" s="1066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1068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t="19.5" hidden="1" thickBot="1" x14ac:dyDescent="0.3">
      <c r="A4437" s="1062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t="19.5" hidden="1" thickBot="1" x14ac:dyDescent="0.3">
      <c r="A4438" s="1072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t="19.5" hidden="1" thickBot="1" x14ac:dyDescent="0.3">
      <c r="A4439" s="1072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1063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t="19.5" hidden="1" thickBot="1" x14ac:dyDescent="0.3">
      <c r="A4442" s="1062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1063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t="19.5" hidden="1" thickBot="1" x14ac:dyDescent="0.3">
      <c r="A4445" s="1062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t="19.5" hidden="1" thickBot="1" x14ac:dyDescent="0.3">
      <c r="A4446" s="1072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t="19.5" hidden="1" thickBot="1" x14ac:dyDescent="0.3">
      <c r="A4447" s="1072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1063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t="19.5" hidden="1" thickBot="1" x14ac:dyDescent="0.3">
      <c r="A4453" s="1066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1067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t="19.5" hidden="1" thickBot="1" x14ac:dyDescent="0.3">
      <c r="A4456" s="1066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1067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t="19.5" hidden="1" thickBot="1" x14ac:dyDescent="0.3">
      <c r="A4458" s="1062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t="19.5" hidden="1" thickBot="1" x14ac:dyDescent="0.3">
      <c r="A4459" s="1072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1063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t="19.5" hidden="1" thickBot="1" x14ac:dyDescent="0.3">
      <c r="A4461" s="1066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t="19.5" hidden="1" thickBot="1" x14ac:dyDescent="0.3">
      <c r="A4462" s="1068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1067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t="19.5" hidden="1" thickBot="1" x14ac:dyDescent="0.3">
      <c r="A4473" s="1066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t="19.5" hidden="1" thickBot="1" x14ac:dyDescent="0.3">
      <c r="A4474" s="1068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1067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t="19.5" hidden="1" thickBot="1" x14ac:dyDescent="0.3">
      <c r="A4477" s="1066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t="19.5" hidden="1" thickBot="1" x14ac:dyDescent="0.3">
      <c r="A4478" s="1068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1067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t="19.5" hidden="1" thickBot="1" x14ac:dyDescent="0.3">
      <c r="A4480" s="1062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1063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t="19.5" hidden="1" thickBot="1" x14ac:dyDescent="0.3">
      <c r="A4489" s="1062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t="19.5" hidden="1" thickBot="1" x14ac:dyDescent="0.3">
      <c r="A4490" s="1072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t="19.5" hidden="1" thickBot="1" x14ac:dyDescent="0.3">
      <c r="A4491" s="1072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1063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t="19.5" hidden="1" thickBot="1" x14ac:dyDescent="0.3">
      <c r="A4493" s="1066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1080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1068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1102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t="19.5" hidden="1" thickBot="1" x14ac:dyDescent="0.3">
      <c r="A4499" s="1062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1063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t="19.5" hidden="1" thickBot="1" x14ac:dyDescent="0.3">
      <c r="A4501" s="1066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1067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t="19.5" hidden="1" thickBot="1" x14ac:dyDescent="0.3">
      <c r="A4503" s="1062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1063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t="19.5" hidden="1" thickBot="1" x14ac:dyDescent="0.3">
      <c r="A4505" s="1066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1067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t="19.5" hidden="1" thickBot="1" x14ac:dyDescent="0.3">
      <c r="A4507" s="1062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1063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t="19.5" hidden="1" thickBot="1" x14ac:dyDescent="0.3">
      <c r="A4512" s="1062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t="19.5" hidden="1" thickBot="1" x14ac:dyDescent="0.3">
      <c r="A4513" s="1072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1063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t="19.5" hidden="1" thickBot="1" x14ac:dyDescent="0.3">
      <c r="A4515" s="1066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1067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t="19.5" hidden="1" thickBot="1" x14ac:dyDescent="0.3">
      <c r="A4517" s="1062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1063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t="19.5" hidden="1" thickBot="1" x14ac:dyDescent="0.3">
      <c r="A4521" s="1066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t="19.5" hidden="1" thickBot="1" x14ac:dyDescent="0.3">
      <c r="A4522" s="1068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1067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t="19.5" hidden="1" thickBot="1" x14ac:dyDescent="0.3">
      <c r="A4524" s="1062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t="19.5" hidden="1" thickBot="1" x14ac:dyDescent="0.3">
      <c r="A4525" s="1072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1063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t="19.5" hidden="1" thickBot="1" x14ac:dyDescent="0.3">
      <c r="A4527" s="1066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1067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t="19.5" hidden="1" thickBot="1" x14ac:dyDescent="0.3">
      <c r="A4529" s="1062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1063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t="19.5" hidden="1" thickBot="1" x14ac:dyDescent="0.3">
      <c r="A4532" s="1062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1072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t="19.5" hidden="1" thickBot="1" x14ac:dyDescent="0.3">
      <c r="A4536" s="1066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t="19.5" hidden="1" thickBot="1" x14ac:dyDescent="0.3">
      <c r="A4537" s="1068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1067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t="19.5" hidden="1" thickBot="1" x14ac:dyDescent="0.3">
      <c r="A4539" s="1062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t="19.5" hidden="1" thickBot="1" x14ac:dyDescent="0.3">
      <c r="A4540" s="1072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1063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t="19.5" hidden="1" thickBot="1" x14ac:dyDescent="0.3">
      <c r="A4543" s="1062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1063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t="19.5" hidden="1" thickBot="1" x14ac:dyDescent="0.3">
      <c r="A4548" s="1062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1063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t="19.5" hidden="1" thickBot="1" x14ac:dyDescent="0.3">
      <c r="A4550" s="1066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1067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t="19.5" hidden="1" thickBot="1" x14ac:dyDescent="0.3">
      <c r="A4552" s="1062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1063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t="19.5" hidden="1" thickBot="1" x14ac:dyDescent="0.3">
      <c r="A4554" s="1066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1067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t="19.5" hidden="1" thickBot="1" x14ac:dyDescent="0.3">
      <c r="A4560" s="1062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t="19.5" hidden="1" thickBot="1" x14ac:dyDescent="0.3">
      <c r="A4561" s="1072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1063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t="19.5" hidden="1" thickBot="1" x14ac:dyDescent="0.3">
      <c r="A4563" s="1066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t="19.5" hidden="1" thickBot="1" x14ac:dyDescent="0.3">
      <c r="A4564" s="1068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1067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t="19.5" hidden="1" thickBot="1" x14ac:dyDescent="0.3">
      <c r="A4567" s="1066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t="19.5" hidden="1" thickBot="1" x14ac:dyDescent="0.3">
      <c r="A4568" s="1068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1067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t="19.5" hidden="1" thickBot="1" x14ac:dyDescent="0.3">
      <c r="A4570" s="1062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1063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t="19.5" hidden="1" thickBot="1" x14ac:dyDescent="0.3">
      <c r="A4572" s="1066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t="19.5" hidden="1" thickBot="1" x14ac:dyDescent="0.3">
      <c r="A4573" s="1068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1067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25">
      <c r="A4579" s="1062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1094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25">
      <c r="A4580" s="1072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1095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1063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1101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t="19.5" hidden="1" thickBot="1" x14ac:dyDescent="0.3">
      <c r="A4582" s="1066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t="19.5" hidden="1" thickBot="1" x14ac:dyDescent="0.3">
      <c r="A4583" s="1068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1067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t="19.5" hidden="1" thickBot="1" x14ac:dyDescent="0.3">
      <c r="A4586" s="1066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1067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t="19.5" hidden="1" thickBot="1" x14ac:dyDescent="0.3">
      <c r="A4591" s="1066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1067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t="19.5" hidden="1" thickBot="1" x14ac:dyDescent="0.3">
      <c r="A4593" s="1062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t="19.5" hidden="1" thickBot="1" x14ac:dyDescent="0.3">
      <c r="A4594" s="1072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1063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t="19.5" hidden="1" thickBot="1" x14ac:dyDescent="0.3">
      <c r="A4597" s="1062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1063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t="19.5" hidden="1" thickBot="1" x14ac:dyDescent="0.3">
      <c r="A4601" s="1066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1068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t="19.5" hidden="1" thickBot="1" x14ac:dyDescent="0.3">
      <c r="A4605" s="1062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t="19.5" hidden="1" thickBot="1" x14ac:dyDescent="0.3">
      <c r="A4606" s="1072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t="19.5" hidden="1" thickBot="1" x14ac:dyDescent="0.3">
      <c r="A4607" s="1072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1063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t="19.5" hidden="1" thickBot="1" x14ac:dyDescent="0.3">
      <c r="A4610" s="1062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1063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25">
      <c r="A4615" s="1062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1094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1063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1101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t="19.5" hidden="1" thickBot="1" x14ac:dyDescent="0.3">
      <c r="A4617" s="1066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1067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t="19.5" hidden="1" thickBot="1" x14ac:dyDescent="0.3">
      <c r="A4622" s="1066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1068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t="19.5" hidden="1" thickBot="1" x14ac:dyDescent="0.3">
      <c r="A4627" s="1066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1067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t="19.5" hidden="1" thickBot="1" x14ac:dyDescent="0.3">
      <c r="A4629" s="1062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t="19.5" hidden="1" thickBot="1" x14ac:dyDescent="0.3">
      <c r="A4630" s="1072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t="19.5" hidden="1" thickBot="1" x14ac:dyDescent="0.3">
      <c r="A4631" s="1072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1063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t="19.5" hidden="1" thickBot="1" x14ac:dyDescent="0.3">
      <c r="A4633" s="1066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1068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t="19.5" hidden="1" thickBot="1" x14ac:dyDescent="0.3">
      <c r="A4635" s="1062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1063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7" hidden="1" thickBot="1" x14ac:dyDescent="0.3">
      <c r="A4640" s="1062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1063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t="19.5" hidden="1" thickBot="1" x14ac:dyDescent="0.3">
      <c r="A4643" s="1062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t="19.5" hidden="1" thickBot="1" x14ac:dyDescent="0.3">
      <c r="A4644" s="1072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1063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t="19.5" hidden="1" thickBot="1" x14ac:dyDescent="0.3">
      <c r="A4646" s="1066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t="19.5" hidden="1" thickBot="1" x14ac:dyDescent="0.3">
      <c r="A4647" s="1068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1067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t="19.5" hidden="1" thickBot="1" x14ac:dyDescent="0.3">
      <c r="A4649" s="1062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1063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t="19.5" hidden="1" thickBot="1" x14ac:dyDescent="0.3">
      <c r="A4653" s="1066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t="19.5" hidden="1" thickBot="1" x14ac:dyDescent="0.3">
      <c r="A4654" s="1068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1067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t="19.5" hidden="1" thickBot="1" x14ac:dyDescent="0.3">
      <c r="A4656" s="1062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1063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t="19.5" hidden="1" thickBot="1" x14ac:dyDescent="0.3">
      <c r="A4662" s="1066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1067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t="19.5" hidden="1" thickBot="1" x14ac:dyDescent="0.3">
      <c r="A4664" s="1062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1063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1066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1068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1067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1072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1072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1066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1068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1062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1063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1066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1068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1068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1067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1062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1063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1066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1067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1062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1063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25">
      <c r="A4700" s="1062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1094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1063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1101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t="19.5" hidden="1" thickBot="1" x14ac:dyDescent="0.3">
      <c r="A4703" s="1062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t="19.5" hidden="1" thickBot="1" x14ac:dyDescent="0.3">
      <c r="A4704" s="1072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1063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t="19.5" hidden="1" thickBot="1" x14ac:dyDescent="0.3">
      <c r="A4706" s="1066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t="19.5" hidden="1" thickBot="1" x14ac:dyDescent="0.3">
      <c r="A4707" s="1068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1067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t="19.5" hidden="1" thickBot="1" x14ac:dyDescent="0.3">
      <c r="A4709" s="1062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t="19.5" hidden="1" thickBot="1" x14ac:dyDescent="0.3">
      <c r="A4710" s="1072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1063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t="19.5" hidden="1" thickBot="1" x14ac:dyDescent="0.3">
      <c r="A4714" s="1066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1068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t="19.5" hidden="1" thickBot="1" x14ac:dyDescent="0.3">
      <c r="A4719" s="1066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1067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t="19.5" hidden="1" thickBot="1" x14ac:dyDescent="0.3">
      <c r="A4721" s="1062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1072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t="19.5" hidden="1" thickBot="1" x14ac:dyDescent="0.3">
      <c r="A4723" s="1066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1067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t="19.5" hidden="1" thickBot="1" x14ac:dyDescent="0.3">
      <c r="A4727" s="1062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1063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1066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1080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1068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1102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1068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1102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1067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1081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1066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1068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1067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1066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1080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1067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1081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1062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1072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1062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1072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1063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1066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1068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1067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1062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1094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1063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1101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1062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1063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t="19.5" hidden="1" thickBot="1" x14ac:dyDescent="0.3">
      <c r="A4756" s="1066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1068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t="19.5" hidden="1" thickBot="1" x14ac:dyDescent="0.3">
      <c r="A4761" s="1066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t="19.5" hidden="1" thickBot="1" x14ac:dyDescent="0.3">
      <c r="A4762" s="1068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t="19.5" hidden="1" thickBot="1" x14ac:dyDescent="0.3">
      <c r="A4763" s="1068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1067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t="19.5" hidden="1" thickBot="1" x14ac:dyDescent="0.3">
      <c r="A4765" s="1062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1094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1072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1095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t="19.5" hidden="1" thickBot="1" x14ac:dyDescent="0.3">
      <c r="A4767" s="1066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1067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t="19.5" hidden="1" thickBot="1" x14ac:dyDescent="0.3">
      <c r="A4770" s="1066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1067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t="19.5" hidden="1" thickBot="1" x14ac:dyDescent="0.3">
      <c r="A4772" s="1062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1063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t="19.5" hidden="1" thickBot="1" x14ac:dyDescent="0.3">
      <c r="A4774" s="1066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1067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25">
      <c r="A4776" s="1062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1094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1063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1101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t="19.5" hidden="1" thickBot="1" x14ac:dyDescent="0.3">
      <c r="A4785" s="1062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t="19.5" hidden="1" thickBot="1" x14ac:dyDescent="0.3">
      <c r="A4786" s="1072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1063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t="19.5" hidden="1" thickBot="1" x14ac:dyDescent="0.3">
      <c r="A4788" s="1066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t="19.5" hidden="1" thickBot="1" x14ac:dyDescent="0.3">
      <c r="A4789" s="1068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1067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25">
      <c r="A4792" s="1066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1080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1067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1081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t="19.5" hidden="1" thickBot="1" x14ac:dyDescent="0.3">
      <c r="A4794" s="1062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1063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t="19.5" hidden="1" thickBot="1" x14ac:dyDescent="0.3">
      <c r="A4799" s="1062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1072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t="19.5" hidden="1" thickBot="1" x14ac:dyDescent="0.3">
      <c r="A4806" s="1062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1063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t="19.5" hidden="1" thickBot="1" x14ac:dyDescent="0.3">
      <c r="A4808" s="1066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t="19.5" hidden="1" thickBot="1" x14ac:dyDescent="0.3">
      <c r="A4809" s="1068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t="19.5" hidden="1" thickBot="1" x14ac:dyDescent="0.3">
      <c r="A4810" s="1068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1068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t="19.5" hidden="1" thickBot="1" x14ac:dyDescent="0.3">
      <c r="A4812" s="1062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1063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t="19.5" hidden="1" thickBot="1" x14ac:dyDescent="0.3">
      <c r="A4816" s="1066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1067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t="19.5" hidden="1" thickBot="1" x14ac:dyDescent="0.3">
      <c r="A4818" s="1062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1063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t="19.5" hidden="1" thickBot="1" x14ac:dyDescent="0.3">
      <c r="A4820" s="1066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1080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t="19.5" hidden="1" thickBot="1" x14ac:dyDescent="0.3">
      <c r="A4821" s="1068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1102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1067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1081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t="19.5" hidden="1" thickBot="1" x14ac:dyDescent="0.3">
      <c r="A4825" s="1062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1063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t="19.5" hidden="1" thickBot="1" x14ac:dyDescent="0.3">
      <c r="A4830" s="1062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1094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1063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1101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t="19.5" hidden="1" thickBot="1" x14ac:dyDescent="0.3">
      <c r="A4832" s="1066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1067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t="19.5" hidden="1" thickBot="1" x14ac:dyDescent="0.3">
      <c r="A4834" s="1062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t="19.5" hidden="1" thickBot="1" x14ac:dyDescent="0.3">
      <c r="A4835" s="1072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t="19.5" hidden="1" thickBot="1" x14ac:dyDescent="0.3">
      <c r="A4836" s="1072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1063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25">
      <c r="A4838" s="1066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1080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1067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1081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t="19.5" hidden="1" thickBot="1" x14ac:dyDescent="0.3">
      <c r="A4840" s="1062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1063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t="19.5" hidden="1" thickBot="1" x14ac:dyDescent="0.3">
      <c r="A4842" s="1066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1067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t="19.5" hidden="1" thickBot="1" x14ac:dyDescent="0.3">
      <c r="A4844" s="1062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1063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t="19.5" hidden="1" thickBot="1" x14ac:dyDescent="0.3">
      <c r="A4846" s="1066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1068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t="19.5" hidden="1" thickBot="1" x14ac:dyDescent="0.3">
      <c r="A4854" s="1062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1094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1063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1101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t="19.5" hidden="1" thickBot="1" x14ac:dyDescent="0.3">
      <c r="A4856" s="1066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t="19.5" hidden="1" thickBot="1" x14ac:dyDescent="0.3">
      <c r="A4857" s="1068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1068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t="19.5" hidden="1" thickBot="1" x14ac:dyDescent="0.3">
      <c r="A4859" s="1062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1063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25">
      <c r="A4866" s="1062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1094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1063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1101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t="19.5" hidden="1" thickBot="1" x14ac:dyDescent="0.3">
      <c r="A4868" s="1066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t="19.5" hidden="1" thickBot="1" x14ac:dyDescent="0.3">
      <c r="A4869" s="1068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t="19.5" hidden="1" thickBot="1" x14ac:dyDescent="0.3">
      <c r="A4870" s="1068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1067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t="19.5" hidden="1" thickBot="1" x14ac:dyDescent="0.3">
      <c r="A4872" s="1062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1063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t="19.5" hidden="1" thickBot="1" x14ac:dyDescent="0.3">
      <c r="A4878" s="1066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t="19.5" hidden="1" thickBot="1" x14ac:dyDescent="0.3">
      <c r="A4879" s="1068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1067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t="19.5" hidden="1" thickBot="1" x14ac:dyDescent="0.3">
      <c r="A4881" s="1062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t="19.5" hidden="1" thickBot="1" x14ac:dyDescent="0.3">
      <c r="A4882" s="1072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t="19.5" hidden="1" thickBot="1" x14ac:dyDescent="0.3">
      <c r="A4883" s="1072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1063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t="19.5" hidden="1" thickBot="1" x14ac:dyDescent="0.3">
      <c r="A4887" s="1066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1067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t="19.5" hidden="1" thickBot="1" x14ac:dyDescent="0.3">
      <c r="A4889" s="1062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1063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t="19.5" hidden="1" thickBot="1" x14ac:dyDescent="0.3">
      <c r="A4891" s="1066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1067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25">
      <c r="A4893" s="1062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1094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1063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1101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t="19.5" hidden="1" thickBot="1" x14ac:dyDescent="0.3">
      <c r="A4897" s="1066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1068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t="19.5" hidden="1" thickBot="1" x14ac:dyDescent="0.3">
      <c r="A4900" s="1066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t="19.5" hidden="1" thickBot="1" x14ac:dyDescent="0.3">
      <c r="A4901" s="1068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1067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25">
      <c r="A4903" s="1062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1094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1072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1095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t="19.5" hidden="1" thickBot="1" x14ac:dyDescent="0.3">
      <c r="A4905" s="1066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1067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t="19.5" hidden="1" thickBot="1" x14ac:dyDescent="0.3">
      <c r="A4908" s="1066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t="19.5" hidden="1" thickBot="1" x14ac:dyDescent="0.3">
      <c r="A4909" s="1068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1067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t="19.5" hidden="1" thickBot="1" x14ac:dyDescent="0.3">
      <c r="A4911" s="1062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t="19.5" hidden="1" thickBot="1" x14ac:dyDescent="0.3">
      <c r="A4912" s="1072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1063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t="19.5" hidden="1" thickBot="1" x14ac:dyDescent="0.3">
      <c r="A4917" s="1062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1063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t="19.5" hidden="1" thickBot="1" x14ac:dyDescent="0.3">
      <c r="A4924" s="1062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1063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t="19.5" hidden="1" thickBot="1" x14ac:dyDescent="0.3">
      <c r="A4926" s="1066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t="19.5" hidden="1" thickBot="1" x14ac:dyDescent="0.3">
      <c r="A4927" s="1068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t="19.5" hidden="1" thickBot="1" x14ac:dyDescent="0.3">
      <c r="A4928" s="1068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1067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t="19.5" hidden="1" thickBot="1" x14ac:dyDescent="0.3">
      <c r="A4930" s="1062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1094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1063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1101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t="19.5" hidden="1" thickBot="1" x14ac:dyDescent="0.3">
      <c r="A4933" s="1062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1063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25">
      <c r="A4935" s="1066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1080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1067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1081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t="19.5" hidden="1" thickBot="1" x14ac:dyDescent="0.3">
      <c r="A4939" s="1062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t="19.5" hidden="1" thickBot="1" x14ac:dyDescent="0.3">
      <c r="A4940" s="1072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1072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t="19.5" hidden="1" thickBot="1" x14ac:dyDescent="0.3">
      <c r="A4942" s="1066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1067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t="19.5" hidden="1" thickBot="1" x14ac:dyDescent="0.3">
      <c r="A4946" s="1062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1063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t="19.5" hidden="1" thickBot="1" x14ac:dyDescent="0.3">
      <c r="A4948" s="1066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1067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25">
      <c r="A4950" s="1062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1094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1063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1101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t="19.5" hidden="1" thickBot="1" x14ac:dyDescent="0.3">
      <c r="A4954" s="1066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1067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t="19.5" hidden="1" thickBot="1" x14ac:dyDescent="0.3">
      <c r="A4956" s="1062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1063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t="19.5" hidden="1" thickBot="1" x14ac:dyDescent="0.3">
      <c r="A4960" s="1066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1080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1067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1081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t="19.5" hidden="1" thickBot="1" x14ac:dyDescent="0.3">
      <c r="A4964" s="1062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1063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t="19.5" hidden="1" thickBot="1" x14ac:dyDescent="0.3">
      <c r="A4966" s="1066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t="19.5" hidden="1" thickBot="1" x14ac:dyDescent="0.3">
      <c r="A4967" s="1068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1067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t="19.5" hidden="1" thickBot="1" x14ac:dyDescent="0.3">
      <c r="A4969" s="1062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1063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t="19.5" hidden="1" thickBot="1" x14ac:dyDescent="0.3">
      <c r="A4971" s="1066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t="19.5" hidden="1" thickBot="1" x14ac:dyDescent="0.3">
      <c r="A4972" s="1068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1067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t="19.5" hidden="1" thickBot="1" x14ac:dyDescent="0.3">
      <c r="A4977" s="1066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1080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1067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1081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t="19.5" hidden="1" thickBot="1" x14ac:dyDescent="0.3">
      <c r="A4979" s="1062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1072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t="19.5" hidden="1" thickBot="1" x14ac:dyDescent="0.3">
      <c r="A4983" s="1066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t="19.5" hidden="1" thickBot="1" x14ac:dyDescent="0.3">
      <c r="A4984" s="1068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1068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t="19.5" hidden="1" thickBot="1" x14ac:dyDescent="0.3">
      <c r="A4986" s="1062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1063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t="19.5" hidden="1" thickBot="1" x14ac:dyDescent="0.3">
      <c r="A4989" s="1062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t="19.5" hidden="1" thickBot="1" x14ac:dyDescent="0.3">
      <c r="A4990" s="1072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1063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t="19.5" hidden="1" thickBot="1" x14ac:dyDescent="0.3">
      <c r="A4992" s="1066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t="19.5" hidden="1" thickBot="1" x14ac:dyDescent="0.3">
      <c r="A4993" s="1068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1067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25">
      <c r="A4996" s="1066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1080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1067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1081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t="19.5" hidden="1" thickBot="1" x14ac:dyDescent="0.3">
      <c r="A4999" s="1066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1080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1067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1081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t="19.5" hidden="1" thickBot="1" x14ac:dyDescent="0.3">
      <c r="A5001" s="1062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1072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t="19.5" hidden="1" thickBot="1" x14ac:dyDescent="0.3">
      <c r="A5006" s="1062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t="19.5" hidden="1" thickBot="1" x14ac:dyDescent="0.3">
      <c r="A5007" s="1072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1063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t="19.5" hidden="1" thickBot="1" x14ac:dyDescent="0.3">
      <c r="A5009" s="1066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t="19.5" hidden="1" thickBot="1" x14ac:dyDescent="0.3">
      <c r="A5010" s="1068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1067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t="19.5" hidden="1" thickBot="1" x14ac:dyDescent="0.3">
      <c r="A5012" s="1062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1063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t="19.5" hidden="1" thickBot="1" x14ac:dyDescent="0.3">
      <c r="A5014" s="1066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1067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25">
      <c r="A5019" s="1066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1080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1067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1081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t="19.5" hidden="1" thickBot="1" x14ac:dyDescent="0.3">
      <c r="A5026" s="1066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t="19.5" hidden="1" thickBot="1" x14ac:dyDescent="0.3">
      <c r="A5027" s="1068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1068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t="19.5" hidden="1" thickBot="1" x14ac:dyDescent="0.3">
      <c r="A5029" s="1062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1063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25">
      <c r="A5035" s="1066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1080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1067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1081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t="19.5" hidden="1" thickBot="1" x14ac:dyDescent="0.3">
      <c r="A5037" s="1062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1063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t="19.5" hidden="1" thickBot="1" x14ac:dyDescent="0.3">
      <c r="A5039" s="1066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t="19.5" hidden="1" thickBot="1" x14ac:dyDescent="0.3">
      <c r="A5040" s="1068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1067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t="19.5" hidden="1" thickBot="1" x14ac:dyDescent="0.3">
      <c r="A5042" s="1062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1094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t="19.5" hidden="1" thickBot="1" x14ac:dyDescent="0.3">
      <c r="A5043" s="1072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1095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1072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1095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t="19.5" hidden="1" thickBot="1" x14ac:dyDescent="0.3">
      <c r="A5047" s="1066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1080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1067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1081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t="19.5" hidden="1" thickBot="1" x14ac:dyDescent="0.3">
      <c r="A5049" s="1072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t="19.5" hidden="1" thickBot="1" x14ac:dyDescent="0.3">
      <c r="A5050" s="1072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t="19.5" hidden="1" thickBot="1" x14ac:dyDescent="0.3">
      <c r="A5051" s="1072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1072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t="19.5" hidden="1" thickBot="1" x14ac:dyDescent="0.3">
      <c r="A5054" s="1072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1072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t="19.5" hidden="1" thickBot="1" x14ac:dyDescent="0.3">
      <c r="A5059" s="1062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1072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t="19.5" hidden="1" thickBot="1" x14ac:dyDescent="0.3">
      <c r="A5063" s="1066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1067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t="19.5" hidden="1" thickBot="1" x14ac:dyDescent="0.3">
      <c r="A5065" s="1062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1094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t="19.5" hidden="1" thickBot="1" x14ac:dyDescent="0.3">
      <c r="A5066" s="1072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1111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t="19.5" hidden="1" thickBot="1" x14ac:dyDescent="0.3">
      <c r="A5067" s="1072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t="19.5" hidden="1" thickBot="1" x14ac:dyDescent="0.3">
      <c r="A5068" s="1072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1072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8.25" hidden="1" thickBot="1" x14ac:dyDescent="0.3">
      <c r="A5070" s="1066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1067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t="19.5" hidden="1" thickBot="1" x14ac:dyDescent="0.3">
      <c r="A5074" s="1062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t="19.5" hidden="1" thickBot="1" x14ac:dyDescent="0.3">
      <c r="A5075" s="1072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1063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t="19.5" hidden="1" thickBot="1" x14ac:dyDescent="0.3">
      <c r="A5077" s="1066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1067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t="19.5" hidden="1" thickBot="1" x14ac:dyDescent="0.3">
      <c r="A5079" s="1062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1063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7" hidden="1" thickBot="1" x14ac:dyDescent="0.3">
      <c r="A5082" s="1062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1063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t="19.5" hidden="1" thickBot="1" x14ac:dyDescent="0.3">
      <c r="A5084" s="1066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1080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t="19.5" hidden="1" thickBot="1" x14ac:dyDescent="0.3">
      <c r="A5085" s="1068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1102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1067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1081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t="19.5" hidden="1" thickBot="1" x14ac:dyDescent="0.3">
      <c r="A5087" s="1062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1072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t="19.5" hidden="1" thickBot="1" x14ac:dyDescent="0.3">
      <c r="A5091" s="1066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1080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1067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1081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t="19.5" hidden="1" thickBot="1" x14ac:dyDescent="0.3">
      <c r="A5094" s="1066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t="19.5" hidden="1" thickBot="1" x14ac:dyDescent="0.3">
      <c r="A5095" s="1068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t="19.5" hidden="1" thickBot="1" x14ac:dyDescent="0.3">
      <c r="A5096" s="1068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1067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t="19.5" hidden="1" thickBot="1" x14ac:dyDescent="0.3">
      <c r="A5099" s="1066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t="19.5" hidden="1" thickBot="1" x14ac:dyDescent="0.3">
      <c r="A5100" s="1068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1067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t="19.5" hidden="1" thickBot="1" x14ac:dyDescent="0.3">
      <c r="A5102" s="1062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t="19.5" hidden="1" thickBot="1" x14ac:dyDescent="0.3">
      <c r="A5103" s="1072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1063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t="19.5" hidden="1" thickBot="1" x14ac:dyDescent="0.3">
      <c r="A5110" s="1062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1094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t="19.5" hidden="1" thickBot="1" x14ac:dyDescent="0.3">
      <c r="A5111" s="1072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1095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t="19.5" hidden="1" thickBot="1" x14ac:dyDescent="0.3">
      <c r="A5112" s="1072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1095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1072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1095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t="19.5" hidden="1" thickBot="1" x14ac:dyDescent="0.3">
      <c r="A5114" s="1066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1067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t="19.5" hidden="1" thickBot="1" x14ac:dyDescent="0.3">
      <c r="A5116" s="1062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1094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1063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1101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t="19.5" hidden="1" thickBot="1" x14ac:dyDescent="0.3">
      <c r="A5121" s="1062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1063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t="19.5" hidden="1" thickBot="1" x14ac:dyDescent="0.3">
      <c r="A5123" s="1066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t="19.5" hidden="1" thickBot="1" x14ac:dyDescent="0.3">
      <c r="A5124" s="1068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1067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t="19.5" hidden="1" thickBot="1" x14ac:dyDescent="0.3">
      <c r="A5126" s="1062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1094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1063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1101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t="19.5" hidden="1" thickBot="1" x14ac:dyDescent="0.3">
      <c r="A5128" s="1066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1068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t="19.5" hidden="1" thickBot="1" x14ac:dyDescent="0.3">
      <c r="A5134" s="1062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t="19.5" hidden="1" thickBot="1" x14ac:dyDescent="0.3">
      <c r="A5135" s="1072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t="19.5" hidden="1" thickBot="1" x14ac:dyDescent="0.3">
      <c r="A5136" s="1072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1063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t="19.5" hidden="1" thickBot="1" x14ac:dyDescent="0.3">
      <c r="A5138" s="1066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1067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25">
      <c r="A5140" s="1062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1094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1063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1101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t="19.5" hidden="1" thickBot="1" x14ac:dyDescent="0.3">
      <c r="A5142" s="1066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t="19.5" hidden="1" thickBot="1" x14ac:dyDescent="0.3">
      <c r="A5143" s="1068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1067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t="19.5" hidden="1" thickBot="1" x14ac:dyDescent="0.3">
      <c r="A5146" s="1066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1068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t="19.5" hidden="1" thickBot="1" x14ac:dyDescent="0.3">
      <c r="A5150" s="1062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t="19.5" hidden="1" thickBot="1" x14ac:dyDescent="0.3">
      <c r="A5151" s="1072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1072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t="19.5" hidden="1" thickBot="1" x14ac:dyDescent="0.3">
      <c r="A5153" s="1066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1067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t="19.5" hidden="1" thickBot="1" x14ac:dyDescent="0.3">
      <c r="A5156" s="1066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t="19.5" hidden="1" thickBot="1" x14ac:dyDescent="0.3">
      <c r="A5157" s="1068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t="19.5" hidden="1" thickBot="1" x14ac:dyDescent="0.3">
      <c r="A5158" s="1068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1067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t="19.5" hidden="1" thickBot="1" x14ac:dyDescent="0.3">
      <c r="A5161" s="1066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1067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t="19.5" hidden="1" thickBot="1" x14ac:dyDescent="0.3">
      <c r="A5164" s="1066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1068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t="19.5" hidden="1" thickBot="1" x14ac:dyDescent="0.3">
      <c r="A5172" s="1062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t="19.5" hidden="1" thickBot="1" x14ac:dyDescent="0.3">
      <c r="A5173" s="1072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7" hidden="1" thickBot="1" x14ac:dyDescent="0.3">
      <c r="A5174" s="1072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1063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t="19.5" hidden="1" thickBot="1" x14ac:dyDescent="0.3">
      <c r="A5176" s="1066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t="19.5" hidden="1" thickBot="1" x14ac:dyDescent="0.3">
      <c r="A5177" s="1068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1067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t="19.5" hidden="1" thickBot="1" x14ac:dyDescent="0.3">
      <c r="A5179" s="1062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1063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t="19.5" hidden="1" thickBot="1" x14ac:dyDescent="0.3">
      <c r="A5181" s="1066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1067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t="19.5" hidden="1" thickBot="1" x14ac:dyDescent="0.3">
      <c r="A5183" s="1062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1063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t="19.5" hidden="1" thickBot="1" x14ac:dyDescent="0.3">
      <c r="A5188" s="1062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1094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1072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1095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t="19.5" hidden="1" thickBot="1" x14ac:dyDescent="0.3">
      <c r="A5192" s="1066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t="19.5" hidden="1" thickBot="1" x14ac:dyDescent="0.3">
      <c r="A5193" s="1068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t="19.5" hidden="1" thickBot="1" x14ac:dyDescent="0.3">
      <c r="A5194" s="1068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1067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t="19.5" hidden="1" thickBot="1" x14ac:dyDescent="0.3">
      <c r="A5196" s="1062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1094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1063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1101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t="19.5" hidden="1" thickBot="1" x14ac:dyDescent="0.3">
      <c r="A5199" s="1062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1063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25">
      <c r="A5202" s="1062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1094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1063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1101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t="19.5" hidden="1" thickBot="1" x14ac:dyDescent="0.3">
      <c r="A5205" s="1062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t="19.5" hidden="1" thickBot="1" x14ac:dyDescent="0.3">
      <c r="A5206" s="1072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1063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t="19.5" hidden="1" thickBot="1" x14ac:dyDescent="0.3">
      <c r="A5210" s="1066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1067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t="19.5" hidden="1" thickBot="1" x14ac:dyDescent="0.3">
      <c r="A5212" s="1062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1063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t="19.5" hidden="1" thickBot="1" x14ac:dyDescent="0.3">
      <c r="A5216" s="1066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1080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1067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1081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t="19.5" hidden="1" thickBot="1" x14ac:dyDescent="0.3">
      <c r="A5219" s="1066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t="19.5" hidden="1" thickBot="1" x14ac:dyDescent="0.3">
      <c r="A5220" s="1068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1067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t="19.5" hidden="1" thickBot="1" x14ac:dyDescent="0.3">
      <c r="A5222" s="1062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t="19.5" hidden="1" thickBot="1" x14ac:dyDescent="0.3">
      <c r="A5223" s="1072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t="19.5" hidden="1" thickBot="1" x14ac:dyDescent="0.3">
      <c r="A5224" s="1072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1063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t="19.5" hidden="1" thickBot="1" x14ac:dyDescent="0.3">
      <c r="A5226" s="1066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t="19.5" hidden="1" thickBot="1" x14ac:dyDescent="0.3">
      <c r="A5227" s="1068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1067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t="19.5" hidden="1" thickBot="1" x14ac:dyDescent="0.3">
      <c r="A5229" s="1062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1072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t="19.5" hidden="1" thickBot="1" x14ac:dyDescent="0.3">
      <c r="A5232" s="1062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1094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1063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1101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t="19.5" hidden="1" thickBot="1" x14ac:dyDescent="0.3">
      <c r="A5234" s="1066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1068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t="19.5" hidden="1" thickBot="1" x14ac:dyDescent="0.3">
      <c r="A5240" s="1062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t="19.5" hidden="1" thickBot="1" x14ac:dyDescent="0.3">
      <c r="A5241" s="1072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1072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t="19.5" hidden="1" thickBot="1" x14ac:dyDescent="0.3">
      <c r="A5243" s="1066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1067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t="19.5" hidden="1" thickBot="1" x14ac:dyDescent="0.3">
      <c r="A5247" s="1062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t="19.5" hidden="1" thickBot="1" x14ac:dyDescent="0.3">
      <c r="A5248" s="1072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1063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t="19.5" hidden="1" thickBot="1" x14ac:dyDescent="0.3">
      <c r="A5250" s="1066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1067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t="19.5" hidden="1" thickBot="1" x14ac:dyDescent="0.3">
      <c r="A5254" s="1062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1063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t="19.5" hidden="1" thickBot="1" x14ac:dyDescent="0.3">
      <c r="A5260" s="1066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1067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t="19.5" hidden="1" thickBot="1" x14ac:dyDescent="0.3">
      <c r="A5262" s="1062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1063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t="19.5" hidden="1" thickBot="1" x14ac:dyDescent="0.3">
      <c r="A5265" s="1062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1063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t="19.5" hidden="1" thickBot="1" x14ac:dyDescent="0.3">
      <c r="A5267" s="1066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t="19.5" hidden="1" thickBot="1" x14ac:dyDescent="0.3">
      <c r="A5268" s="1068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1067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t="19.5" hidden="1" thickBot="1" x14ac:dyDescent="0.3">
      <c r="A5270" s="1062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1063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t="19.5" hidden="1" thickBot="1" x14ac:dyDescent="0.3">
      <c r="A5272" s="1066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1067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t="19.5" hidden="1" thickBot="1" x14ac:dyDescent="0.3">
      <c r="A5275" s="1066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1080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1068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1102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t="19.5" hidden="1" thickBot="1" x14ac:dyDescent="0.3">
      <c r="A5279" s="1062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t="19.5" hidden="1" thickBot="1" x14ac:dyDescent="0.3">
      <c r="A5280" s="1072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1072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t="19.5" hidden="1" thickBot="1" x14ac:dyDescent="0.3">
      <c r="A5282" s="1066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1067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t="19.5" hidden="1" thickBot="1" x14ac:dyDescent="0.3">
      <c r="A5286" s="1062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t="19.5" hidden="1" thickBot="1" x14ac:dyDescent="0.3">
      <c r="A5287" s="1072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t="19.5" hidden="1" thickBot="1" x14ac:dyDescent="0.3">
      <c r="A5288" s="1072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1063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t="19.5" hidden="1" thickBot="1" x14ac:dyDescent="0.3">
      <c r="A5290" s="1066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t="19.5" hidden="1" thickBot="1" x14ac:dyDescent="0.3">
      <c r="A5291" s="1068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1067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t="19.5" hidden="1" thickBot="1" x14ac:dyDescent="0.3">
      <c r="A5296" s="1066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1068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t="19.5" hidden="1" thickBot="1" x14ac:dyDescent="0.3">
      <c r="A5298" s="1062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1063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t="19.5" hidden="1" thickBot="1" x14ac:dyDescent="0.3">
      <c r="A5302" s="1066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t="19.5" hidden="1" thickBot="1" x14ac:dyDescent="0.3">
      <c r="A5303" s="1068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1067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t="19.5" hidden="1" thickBot="1" x14ac:dyDescent="0.3">
      <c r="A5305" s="1062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t="19.5" hidden="1" thickBot="1" x14ac:dyDescent="0.3">
      <c r="A5306" s="1072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t="19.5" hidden="1" thickBot="1" x14ac:dyDescent="0.3">
      <c r="A5307" s="1072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1063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t="19.5" hidden="1" thickBot="1" x14ac:dyDescent="0.3">
      <c r="A5309" s="1066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1067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t="19.5" hidden="1" thickBot="1" x14ac:dyDescent="0.3">
      <c r="A5311" s="1062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1063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t="19.5" hidden="1" thickBot="1" x14ac:dyDescent="0.3">
      <c r="A5316" s="1062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1072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t="19.5" hidden="1" thickBot="1" x14ac:dyDescent="0.3">
      <c r="A5321" s="1062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1094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t="19.5" hidden="1" thickBot="1" x14ac:dyDescent="0.3">
      <c r="A5322" s="1072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1095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t="19.5" hidden="1" thickBot="1" x14ac:dyDescent="0.3">
      <c r="A5323" s="1072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1095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t="19.5" hidden="1" thickBot="1" x14ac:dyDescent="0.3">
      <c r="A5324" s="1072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1095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1072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1095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t="19.5" hidden="1" thickBot="1" x14ac:dyDescent="0.3">
      <c r="A5326" s="1066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1067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t="19.5" hidden="1" thickBot="1" x14ac:dyDescent="0.3">
      <c r="A5331" s="1066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t="19.5" hidden="1" thickBot="1" x14ac:dyDescent="0.3">
      <c r="A5332" s="1068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t="19.5" hidden="1" thickBot="1" x14ac:dyDescent="0.3">
      <c r="A5333" s="1068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1067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t="19.5" hidden="1" thickBot="1" x14ac:dyDescent="0.3">
      <c r="A5338" s="1066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7" hidden="1" thickBot="1" x14ac:dyDescent="0.3">
      <c r="A5339" s="1068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t="19.5" hidden="1" thickBot="1" x14ac:dyDescent="0.3">
      <c r="A5340" s="1068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1067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t="19.5" hidden="1" thickBot="1" x14ac:dyDescent="0.3">
      <c r="A5342" s="1062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1063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t="19.5" hidden="1" thickBot="1" x14ac:dyDescent="0.3">
      <c r="A5348" s="1066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t="19.5" hidden="1" thickBot="1" x14ac:dyDescent="0.3">
      <c r="A5349" s="1068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1067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t="19.5" hidden="1" thickBot="1" x14ac:dyDescent="0.3">
      <c r="A5351" s="1062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t="19.5" hidden="1" thickBot="1" x14ac:dyDescent="0.3">
      <c r="A5352" s="1072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1063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t="19.5" hidden="1" thickBot="1" x14ac:dyDescent="0.3">
      <c r="A5355" s="1062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t="19.5" hidden="1" thickBot="1" x14ac:dyDescent="0.3">
      <c r="A5356" s="1072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1063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t="19.5" hidden="1" thickBot="1" x14ac:dyDescent="0.3">
      <c r="A5358" s="1066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1067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t="19.5" hidden="1" thickBot="1" x14ac:dyDescent="0.3">
      <c r="A5363" s="1066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1080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1067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1081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t="19.5" hidden="1" thickBot="1" x14ac:dyDescent="0.3">
      <c r="A5370" s="1066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1080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t="19.5" hidden="1" thickBot="1" x14ac:dyDescent="0.3">
      <c r="A5371" s="1068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1102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t="19.5" hidden="1" thickBot="1" x14ac:dyDescent="0.3">
      <c r="A5372" s="1068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1102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1068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1102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t="19.5" hidden="1" thickBot="1" x14ac:dyDescent="0.3">
      <c r="A5374" s="1062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1063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t="19.5" hidden="1" thickBot="1" x14ac:dyDescent="0.3">
      <c r="A5378" s="1066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1067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t="19.5" hidden="1" thickBot="1" x14ac:dyDescent="0.3">
      <c r="A5380" s="1062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1063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t="19.5" hidden="1" thickBot="1" x14ac:dyDescent="0.3">
      <c r="A5385" s="1062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1063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t="19.5" hidden="1" thickBot="1" x14ac:dyDescent="0.3">
      <c r="A5387" s="1066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1067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t="19.5" hidden="1" thickBot="1" x14ac:dyDescent="0.3">
      <c r="A5394" s="1066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t="19.5" hidden="1" thickBot="1" x14ac:dyDescent="0.3">
      <c r="A5395" s="1068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t="19.5" hidden="1" thickBot="1" x14ac:dyDescent="0.3">
      <c r="A5396" s="1068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1067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t="19.5" hidden="1" thickBot="1" x14ac:dyDescent="0.3">
      <c r="A5398" s="1072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1072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t="19.5" hidden="1" thickBot="1" x14ac:dyDescent="0.3">
      <c r="A5400" s="1066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1067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25">
      <c r="A5402" s="1072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1095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1072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1095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t="19.5" hidden="1" thickBot="1" x14ac:dyDescent="0.3">
      <c r="A5406" s="1066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1068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t="19.5" hidden="1" thickBot="1" x14ac:dyDescent="0.3">
      <c r="A5408" s="1062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1094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1063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1101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t="19.5" hidden="1" thickBot="1" x14ac:dyDescent="0.3">
      <c r="A5412" s="1066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1068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t="19.5" hidden="1" thickBot="1" x14ac:dyDescent="0.3">
      <c r="A5416" s="1062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1094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1072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1095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t="19.5" hidden="1" thickBot="1" x14ac:dyDescent="0.3">
      <c r="A5418" s="1066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1067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t="19.5" hidden="1" thickBot="1" x14ac:dyDescent="0.3">
      <c r="A5420" s="1062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1063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t="19.5" hidden="1" thickBot="1" x14ac:dyDescent="0.3">
      <c r="A5428" s="1066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1067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t="19.5" hidden="1" thickBot="1" x14ac:dyDescent="0.3">
      <c r="A5430" s="1062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1063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t="19.5" hidden="1" thickBot="1" x14ac:dyDescent="0.3">
      <c r="A5432" s="1066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1067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t="19.5" hidden="1" thickBot="1" x14ac:dyDescent="0.3">
      <c r="A5436" s="1062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1094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1063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1101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t="19.5" hidden="1" thickBot="1" x14ac:dyDescent="0.3">
      <c r="A5439" s="1062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1063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t="19.5" hidden="1" thickBot="1" x14ac:dyDescent="0.3">
      <c r="A5441" s="1066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1067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t="19.5" hidden="1" thickBot="1" x14ac:dyDescent="0.3">
      <c r="A5443" s="1062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1063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t="19.5" hidden="1" thickBot="1" x14ac:dyDescent="0.3">
      <c r="A5445" s="1066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1067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t="19.5" hidden="1" thickBot="1" x14ac:dyDescent="0.3">
      <c r="A5449" s="1062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t="19.5" hidden="1" thickBot="1" x14ac:dyDescent="0.3">
      <c r="A5450" s="1072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1063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t="19.5" hidden="1" thickBot="1" x14ac:dyDescent="0.3">
      <c r="A5452" s="1066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1067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t="19.5" hidden="1" thickBot="1" x14ac:dyDescent="0.3">
      <c r="A5455" s="1066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1067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t="19.5" hidden="1" thickBot="1" x14ac:dyDescent="0.3">
      <c r="A5464" s="1066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t="19.5" hidden="1" thickBot="1" x14ac:dyDescent="0.3">
      <c r="A5465" s="1068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1068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t="19.5" hidden="1" thickBot="1" x14ac:dyDescent="0.3">
      <c r="A5467" s="1062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1063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t="19.5" hidden="1" thickBot="1" x14ac:dyDescent="0.3">
      <c r="A5470" s="1062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1063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t="19.5" hidden="1" thickBot="1" x14ac:dyDescent="0.3">
      <c r="A5472" s="1066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7" hidden="1" thickBot="1" x14ac:dyDescent="0.3">
      <c r="A5473" s="1068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1067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t="19.5" hidden="1" thickBot="1" x14ac:dyDescent="0.3">
      <c r="A5476" s="1066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t="19.5" hidden="1" thickBot="1" x14ac:dyDescent="0.3">
      <c r="A5477" s="1068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1067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t="19.5" hidden="1" thickBot="1" x14ac:dyDescent="0.3">
      <c r="A5479" s="1062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t="19.5" hidden="1" thickBot="1" x14ac:dyDescent="0.3">
      <c r="A5480" s="1072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1063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t="19.5" hidden="1" thickBot="1" x14ac:dyDescent="0.3">
      <c r="A5482" s="1066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t="19.5" hidden="1" thickBot="1" x14ac:dyDescent="0.3">
      <c r="A5483" s="1068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1067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t="19.5" hidden="1" thickBot="1" x14ac:dyDescent="0.3">
      <c r="A5485" s="1062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1072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t="19.5" hidden="1" thickBot="1" x14ac:dyDescent="0.3">
      <c r="A5489" s="1066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1080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1067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1081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t="19.5" hidden="1" thickBot="1" x14ac:dyDescent="0.3">
      <c r="A5493" s="1062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t="19.5" hidden="1" thickBot="1" x14ac:dyDescent="0.3">
      <c r="A5494" s="1072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1063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t="19.5" hidden="1" thickBot="1" x14ac:dyDescent="0.3">
      <c r="A5497" s="1062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1063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t="19.5" hidden="1" thickBot="1" x14ac:dyDescent="0.3">
      <c r="A5499" s="1066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1067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t="19.5" hidden="1" thickBot="1" x14ac:dyDescent="0.3">
      <c r="A5501" s="1062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1063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t="19.5" hidden="1" thickBot="1" x14ac:dyDescent="0.3">
      <c r="A5504" s="1062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1094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1063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1101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t="19.5" hidden="1" thickBot="1" x14ac:dyDescent="0.3">
      <c r="A5507" s="1062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1063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t="19.5" hidden="1" thickBot="1" x14ac:dyDescent="0.3">
      <c r="A5511" s="1066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1067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t="19.5" hidden="1" thickBot="1" x14ac:dyDescent="0.3">
      <c r="A5513" s="1062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1063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t="19.5" hidden="1" thickBot="1" x14ac:dyDescent="0.3">
      <c r="A5515" s="1066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1080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1067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1081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t="19.5" hidden="1" thickBot="1" x14ac:dyDescent="0.3">
      <c r="A5518" s="1066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t="19.5" hidden="1" thickBot="1" x14ac:dyDescent="0.3">
      <c r="A5519" s="1068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7" hidden="1" thickBot="1" x14ac:dyDescent="0.3">
      <c r="A5520" s="1068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t="19.5" hidden="1" thickBot="1" x14ac:dyDescent="0.3">
      <c r="A5521" s="1068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1067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t="19.5" hidden="1" thickBot="1" x14ac:dyDescent="0.3">
      <c r="A5523" s="1062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t="19.5" hidden="1" thickBot="1" x14ac:dyDescent="0.3">
      <c r="A5524" s="1072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1063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t="19.5" hidden="1" thickBot="1" x14ac:dyDescent="0.3">
      <c r="A5527" s="1062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1072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t="19.5" hidden="1" thickBot="1" x14ac:dyDescent="0.3">
      <c r="A5531" s="1066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1080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1067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1081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t="19.5" hidden="1" thickBot="1" x14ac:dyDescent="0.3">
      <c r="A5534" s="1066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1080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t="19.5" hidden="1" thickBot="1" x14ac:dyDescent="0.3">
      <c r="A5535" s="1068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1102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t="19.5" hidden="1" thickBot="1" x14ac:dyDescent="0.3">
      <c r="A5536" s="1068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1102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t="19.5" hidden="1" thickBot="1" x14ac:dyDescent="0.3">
      <c r="A5537" s="1068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1102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1067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1081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t="19.5" hidden="1" thickBot="1" x14ac:dyDescent="0.3">
      <c r="A5539" s="1062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t="19.5" hidden="1" thickBot="1" x14ac:dyDescent="0.3">
      <c r="A5540" s="1072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1063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t="19.5" hidden="1" thickBot="1" x14ac:dyDescent="0.3">
      <c r="A5542" s="1066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t="19.5" hidden="1" thickBot="1" x14ac:dyDescent="0.3">
      <c r="A5543" s="1068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t="19.5" hidden="1" thickBot="1" x14ac:dyDescent="0.3">
      <c r="A5544" s="1068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t="19.5" hidden="1" thickBot="1" x14ac:dyDescent="0.3">
      <c r="A5545" s="1068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1067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25">
      <c r="A5549" s="1062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1094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1063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1101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t="19.5" hidden="1" thickBot="1" x14ac:dyDescent="0.3">
      <c r="A5551" s="1066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1067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t="19.5" hidden="1" thickBot="1" x14ac:dyDescent="0.3">
      <c r="A5553" s="1062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t="19.5" hidden="1" thickBot="1" x14ac:dyDescent="0.3">
      <c r="A5554" s="1072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1063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t="19.5" hidden="1" thickBot="1" x14ac:dyDescent="0.3">
      <c r="A5561" s="1062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1063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t="19.5" hidden="1" thickBot="1" x14ac:dyDescent="0.3">
      <c r="A5564" s="1062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1063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t="19.5" hidden="1" thickBot="1" x14ac:dyDescent="0.3">
      <c r="A5570" s="1066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t="19.5" hidden="1" thickBot="1" x14ac:dyDescent="0.3">
      <c r="A5571" s="1068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1067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t="19.5" hidden="1" thickBot="1" x14ac:dyDescent="0.3">
      <c r="A5573" s="1062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1063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t="19.5" hidden="1" thickBot="1" x14ac:dyDescent="0.3">
      <c r="A5575" s="1066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1067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t="19.5" hidden="1" thickBot="1" x14ac:dyDescent="0.3">
      <c r="A5577" s="1062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1072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t="19.5" hidden="1" thickBot="1" x14ac:dyDescent="0.3">
      <c r="A5584" s="1062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t="19.5" hidden="1" thickBot="1" x14ac:dyDescent="0.3">
      <c r="A5585" s="1072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t="19.5" hidden="1" thickBot="1" x14ac:dyDescent="0.3">
      <c r="A5586" s="1072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1063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t="19.5" hidden="1" thickBot="1" x14ac:dyDescent="0.3">
      <c r="A5588" s="1066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1067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t="19.5" hidden="1" thickBot="1" x14ac:dyDescent="0.3">
      <c r="A5590" s="1062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t="19.5" hidden="1" thickBot="1" x14ac:dyDescent="0.3">
      <c r="A5591" s="1072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1063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t="19.5" hidden="1" thickBot="1" x14ac:dyDescent="0.3">
      <c r="A5593" s="1066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1067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t="19.5" hidden="1" thickBot="1" x14ac:dyDescent="0.3">
      <c r="A5595" s="1062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1063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t="19.5" hidden="1" thickBot="1" x14ac:dyDescent="0.3">
      <c r="A5599" s="1066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1080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1067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1081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t="19.5" hidden="1" thickBot="1" x14ac:dyDescent="0.3">
      <c r="A5602" s="1066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1068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t="19.5" hidden="1" thickBot="1" x14ac:dyDescent="0.3">
      <c r="A5606" s="1062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1063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t="19.5" hidden="1" thickBot="1" x14ac:dyDescent="0.3">
      <c r="A5609" s="1062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1063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t="19.5" hidden="1" thickBot="1" x14ac:dyDescent="0.3">
      <c r="A5612" s="1062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7" hidden="1" thickBot="1" x14ac:dyDescent="0.3">
      <c r="A5613" s="1072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t="19.5" hidden="1" thickBot="1" x14ac:dyDescent="0.3">
      <c r="A5614" s="1072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1063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t="19.5" hidden="1" thickBot="1" x14ac:dyDescent="0.3">
      <c r="A5617" s="1062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1063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t="19.5" hidden="1" thickBot="1" x14ac:dyDescent="0.3">
      <c r="A5619" s="1066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1067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t="19.5" hidden="1" thickBot="1" x14ac:dyDescent="0.3">
      <c r="A5621" s="1062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1063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25">
      <c r="A5623" s="1066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1080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1067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1081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t="19.5" hidden="1" thickBot="1" x14ac:dyDescent="0.3">
      <c r="A5625" s="1062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1063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1156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1157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t="19.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t="19.5" hidden="1" thickBot="1" x14ac:dyDescent="0.3">
      <c r="A6552" s="1106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t="19.5" hidden="1" thickBot="1" x14ac:dyDescent="0.3">
      <c r="A6553" s="1107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1108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t="19.5" hidden="1" thickBot="1" x14ac:dyDescent="0.3">
      <c r="A6555" s="1066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1067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8.25" hidden="1" thickBot="1" x14ac:dyDescent="0.3">
      <c r="A6559" s="1106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25">
      <c r="A6560" s="1107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1154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1108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1155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t="19.5" hidden="1" thickBot="1" x14ac:dyDescent="0.3">
      <c r="A6567" s="1106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1108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t="19.5" hidden="1" thickBot="1" x14ac:dyDescent="0.3">
      <c r="A6571" s="1066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1068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t="19.5" hidden="1" thickBot="1" x14ac:dyDescent="0.3">
      <c r="A6578" s="1103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t="19.5" hidden="1" thickBot="1" x14ac:dyDescent="0.3">
      <c r="A6579" s="1068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1104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t="19.5" hidden="1" thickBot="1" x14ac:dyDescent="0.3">
      <c r="A6581" s="1109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t="19.5" hidden="1" thickBot="1" x14ac:dyDescent="0.3">
      <c r="A6582" s="1077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1110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t="19.5" hidden="1" thickBot="1" x14ac:dyDescent="0.3">
      <c r="A6585" s="1152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1153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t="19.5" hidden="1" thickBot="1" x14ac:dyDescent="0.3">
      <c r="A6589" s="1103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1104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t="19.5" hidden="1" thickBot="1" x14ac:dyDescent="0.3">
      <c r="A6592" s="1066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1067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t="19.5" hidden="1" thickBot="1" x14ac:dyDescent="0.3">
      <c r="A6595" s="1066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t="19.5" hidden="1" thickBot="1" x14ac:dyDescent="0.3">
      <c r="A6596" s="1068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t="19.5" hidden="1" thickBot="1" x14ac:dyDescent="0.3">
      <c r="A6597" s="1068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t="19.5" hidden="1" thickBot="1" x14ac:dyDescent="0.3">
      <c r="A6598" s="1068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1068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t="19.5" hidden="1" thickBot="1" x14ac:dyDescent="0.3">
      <c r="A6601" s="1066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1067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t="19.5" hidden="1" thickBot="1" x14ac:dyDescent="0.3">
      <c r="A6604" s="1066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1069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1067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1071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t="19.5" hidden="1" thickBot="1" x14ac:dyDescent="0.3">
      <c r="A6608" s="1062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1063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t="19.5" hidden="1" thickBot="1" x14ac:dyDescent="0.3">
      <c r="A6611" s="1062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1063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t="19.5" hidden="1" thickBot="1" x14ac:dyDescent="0.3">
      <c r="A6614" s="1062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t="19.5" hidden="1" thickBot="1" x14ac:dyDescent="0.3">
      <c r="A6615" s="1072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1063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t="19.5" hidden="1" thickBot="1" x14ac:dyDescent="0.3">
      <c r="A6617" s="1066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1067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t="19.5" hidden="1" thickBot="1" x14ac:dyDescent="0.3">
      <c r="A6624" s="1066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1067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t="19.5" hidden="1" thickBot="1" x14ac:dyDescent="0.3">
      <c r="A6629" s="1066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t="19.5" hidden="1" thickBot="1" x14ac:dyDescent="0.3">
      <c r="A6630" s="1068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1067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t="19.5" hidden="1" thickBot="1" x14ac:dyDescent="0.3">
      <c r="A6632" s="1062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7" hidden="1" thickBot="1" x14ac:dyDescent="0.3">
      <c r="A6633" s="1072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1063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t="19.5" hidden="1" thickBot="1" x14ac:dyDescent="0.3">
      <c r="A6635" s="1066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t="19.5" hidden="1" thickBot="1" x14ac:dyDescent="0.3">
      <c r="A6636" s="1068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1068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t="19.5" hidden="1" thickBot="1" x14ac:dyDescent="0.3">
      <c r="A6638" s="1062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1063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t="19.5" hidden="1" thickBot="1" x14ac:dyDescent="0.3">
      <c r="A6640" s="1066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t="19.5" hidden="1" thickBot="1" x14ac:dyDescent="0.3">
      <c r="A6641" s="1068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1067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t="19.5" hidden="1" thickBot="1" x14ac:dyDescent="0.3">
      <c r="A6644" s="1066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t="19.5" hidden="1" thickBot="1" x14ac:dyDescent="0.3">
      <c r="A6645" s="1068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t="19.5" hidden="1" thickBot="1" x14ac:dyDescent="0.3">
      <c r="A6646" s="1068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1067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t="19.5" hidden="1" thickBot="1" x14ac:dyDescent="0.3">
      <c r="A6649" s="1066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32.25" hidden="1" thickBot="1" x14ac:dyDescent="0.3">
      <c r="A6650" s="1068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1067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t="19.5" hidden="1" thickBot="1" x14ac:dyDescent="0.3">
      <c r="A6654" s="1062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1063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t="19.5" hidden="1" thickBot="1" x14ac:dyDescent="0.3">
      <c r="A6660" s="1066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1080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1067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1081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t="19.5" hidden="1" thickBot="1" x14ac:dyDescent="0.3">
      <c r="A6663" s="1066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1068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t="19.5" hidden="1" thickBot="1" x14ac:dyDescent="0.3">
      <c r="A6668" s="1103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1104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t="19.5" hidden="1" thickBot="1" x14ac:dyDescent="0.3">
      <c r="A6670" s="1077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t="19.5" hidden="1" thickBot="1" x14ac:dyDescent="0.3">
      <c r="A6671" s="1077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1074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t="19.5" hidden="1" thickBot="1" x14ac:dyDescent="0.3">
      <c r="A6673" s="1059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1061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t="19.5" hidden="1" thickBot="1" x14ac:dyDescent="0.3">
      <c r="A6675" s="1062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1063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t="19.5" hidden="1" thickBot="1" x14ac:dyDescent="0.3">
      <c r="A6678" s="1062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1072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t="19.5" hidden="1" thickBot="1" x14ac:dyDescent="0.3">
      <c r="A6680" s="1059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1061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t="19.5" hidden="1" thickBot="1" x14ac:dyDescent="0.3">
      <c r="A6682" s="1073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1074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t="19.5" hidden="1" thickBot="1" x14ac:dyDescent="0.3">
      <c r="A6684" s="1059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t="19.5" hidden="1" thickBot="1" x14ac:dyDescent="0.3">
      <c r="A6685" s="1060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t="19.5" hidden="1" thickBot="1" x14ac:dyDescent="0.3">
      <c r="A6686" s="1060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1061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t="19.5" hidden="1" thickBot="1" x14ac:dyDescent="0.3">
      <c r="A6688" s="1073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t="19.5" hidden="1" thickBot="1" x14ac:dyDescent="0.3">
      <c r="A6689" s="1077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1074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t="19.5" hidden="1" thickBot="1" x14ac:dyDescent="0.3">
      <c r="A6691" s="1059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1061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t="19.5" hidden="1" thickBot="1" x14ac:dyDescent="0.3">
      <c r="A6693" s="1073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1074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t="19.5" hidden="1" thickBot="1" x14ac:dyDescent="0.3">
      <c r="A6695" s="1059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t="19.5" hidden="1" thickBot="1" x14ac:dyDescent="0.3">
      <c r="A6696" s="1060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1061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t="19.5" hidden="1" thickBot="1" x14ac:dyDescent="0.3">
      <c r="A6698" s="1073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1074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t="19.5" hidden="1" thickBot="1" x14ac:dyDescent="0.3">
      <c r="A6700" s="1059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t="19.5" hidden="1" thickBot="1" x14ac:dyDescent="0.3">
      <c r="A6701" s="1060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1061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7" hidden="1" thickBot="1" x14ac:dyDescent="0.3">
      <c r="A6703" s="1062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t="19.5" hidden="1" thickBot="1" x14ac:dyDescent="0.3">
      <c r="A6704" s="1072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t="19.5" hidden="1" thickBot="1" x14ac:dyDescent="0.3">
      <c r="A6705" s="1072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1072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t="19.5" hidden="1" thickBot="1" x14ac:dyDescent="0.3">
      <c r="A6709" s="1066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t="19.5" hidden="1" thickBot="1" x14ac:dyDescent="0.3">
      <c r="A6710" s="1068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t="19.5" hidden="1" thickBot="1" x14ac:dyDescent="0.3">
      <c r="A6711" s="1068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1067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t="19.5" hidden="1" thickBot="1" x14ac:dyDescent="0.3">
      <c r="A6713" s="1073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1074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t="19.5" hidden="1" thickBot="1" x14ac:dyDescent="0.3">
      <c r="A6718" s="1073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1075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t="19.5" hidden="1" thickBot="1" x14ac:dyDescent="0.3">
      <c r="A6719" s="1077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1078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1074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1076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t="19.5" hidden="1" thickBot="1" x14ac:dyDescent="0.3">
      <c r="A6721" s="1066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1102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1067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1102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t="19.5" hidden="1" thickBot="1" x14ac:dyDescent="0.3">
      <c r="A6723" s="1073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1094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1074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1095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t="19.5" hidden="1" thickBot="1" x14ac:dyDescent="0.3">
      <c r="A6725" s="1059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1061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t="19.5" hidden="1" thickBot="1" x14ac:dyDescent="0.3">
      <c r="A6727" s="1062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1063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t="19.5" hidden="1" thickBot="1" x14ac:dyDescent="0.3">
      <c r="A6729" s="1066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1067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t="19.5" hidden="1" thickBot="1" x14ac:dyDescent="0.3">
      <c r="A6731" s="1062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1072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t="19.5" hidden="1" thickBot="1" x14ac:dyDescent="0.3">
      <c r="A6733" s="1103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1105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t="19.5" hidden="1" thickBot="1" x14ac:dyDescent="0.3">
      <c r="A6735" s="1073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1074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t="19.5" hidden="1" thickBot="1" x14ac:dyDescent="0.3">
      <c r="A6738" s="1073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1074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t="19.5" hidden="1" thickBot="1" x14ac:dyDescent="0.3">
      <c r="A6741" s="1073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t="19.5" hidden="1" thickBot="1" x14ac:dyDescent="0.3">
      <c r="A6742" s="1077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1074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t="19.5" hidden="1" thickBot="1" x14ac:dyDescent="0.3">
      <c r="A6744" s="1066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t="19.5" hidden="1" thickBot="1" x14ac:dyDescent="0.3">
      <c r="A6745" s="1068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1067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t="19.5" hidden="1" thickBot="1" x14ac:dyDescent="0.3">
      <c r="A6747" s="1062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t="19.5" hidden="1" thickBot="1" x14ac:dyDescent="0.3">
      <c r="A6748" s="1072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1063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t="19.5" hidden="1" thickBot="1" x14ac:dyDescent="0.3">
      <c r="A6750" s="1066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t="19.5" hidden="1" thickBot="1" x14ac:dyDescent="0.3">
      <c r="A6751" s="1068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1067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t="19.5" hidden="1" thickBot="1" x14ac:dyDescent="0.3">
      <c r="A6754" s="1066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1067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t="19.5" hidden="1" thickBot="1" x14ac:dyDescent="0.3">
      <c r="A6756" s="1073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t="19.5" hidden="1" thickBot="1" x14ac:dyDescent="0.3">
      <c r="A6757" s="1077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1074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t="19.5" hidden="1" thickBot="1" x14ac:dyDescent="0.3">
      <c r="A6759" s="1059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t="19.5" hidden="1" thickBot="1" x14ac:dyDescent="0.3">
      <c r="A6760" s="1060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t="19.5" hidden="1" thickBot="1" x14ac:dyDescent="0.3">
      <c r="A6761" s="1060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1061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t="19.5" hidden="1" thickBot="1" x14ac:dyDescent="0.3">
      <c r="A6763" s="1073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t="19.5" hidden="1" thickBot="1" x14ac:dyDescent="0.3">
      <c r="A6764" s="1077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1077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t="19.5" hidden="1" thickBot="1" x14ac:dyDescent="0.3">
      <c r="A6766" s="1066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1068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t="19.5" hidden="1" thickBot="1" x14ac:dyDescent="0.3">
      <c r="A6769" s="1066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1067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t="19.5" hidden="1" thickBot="1" x14ac:dyDescent="0.3">
      <c r="A6771" s="1073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t="19.5" hidden="1" thickBot="1" x14ac:dyDescent="0.3">
      <c r="A6772" s="1077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t="19.5" hidden="1" thickBot="1" x14ac:dyDescent="0.3">
      <c r="A6773" s="1077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1074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t="19.5" hidden="1" thickBot="1" x14ac:dyDescent="0.3">
      <c r="A6775" s="1059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t="19.5" hidden="1" thickBot="1" x14ac:dyDescent="0.3">
      <c r="A6776" s="1060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1060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t="19.5" hidden="1" thickBot="1" x14ac:dyDescent="0.3">
      <c r="A6780" s="1073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1074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t="19.5" hidden="1" thickBot="1" x14ac:dyDescent="0.3">
      <c r="A6782" s="1059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t="19.5" hidden="1" thickBot="1" x14ac:dyDescent="0.3">
      <c r="A6783" s="1060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1060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25">
      <c r="A6785" s="1073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1094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1074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1101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25">
      <c r="A6787" s="1066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1080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1068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1081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t="19.5" hidden="1" thickBot="1" x14ac:dyDescent="0.3">
      <c r="A6789" s="1062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1063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t="19.5" hidden="1" thickBot="1" x14ac:dyDescent="0.3">
      <c r="A6791" s="1066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t="19.5" hidden="1" thickBot="1" x14ac:dyDescent="0.3">
      <c r="A6792" s="1068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1068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t="19.5" hidden="1" thickBot="1" x14ac:dyDescent="0.3">
      <c r="A6797" s="1059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t="19.5" hidden="1" thickBot="1" x14ac:dyDescent="0.3">
      <c r="A6798" s="1060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t="19.5" hidden="1" thickBot="1" x14ac:dyDescent="0.3">
      <c r="A6799" s="1060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1060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t="19.5" hidden="1" thickBot="1" x14ac:dyDescent="0.3">
      <c r="A6801" s="1062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1072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7" hidden="1" thickBot="1" x14ac:dyDescent="0.3">
      <c r="A6808" s="1062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t="19.5" hidden="1" thickBot="1" x14ac:dyDescent="0.3">
      <c r="A6809" s="1072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t="19.5" hidden="1" thickBot="1" x14ac:dyDescent="0.3">
      <c r="A6810" s="1072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67" t="s">
        <v>1786</v>
      </c>
    </row>
    <row r="6811" spans="1:16" ht="19.5" hidden="1" thickBot="1" x14ac:dyDescent="0.3">
      <c r="A6811" s="1063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67" t="s">
        <v>1787</v>
      </c>
    </row>
    <row r="6812" spans="1:16" ht="19.5" hidden="1" thickBot="1" x14ac:dyDescent="0.3">
      <c r="A6812" s="1066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t="19.5" hidden="1" thickBot="1" x14ac:dyDescent="0.3">
      <c r="A6813" s="1068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t="19.5" hidden="1" thickBot="1" x14ac:dyDescent="0.3">
      <c r="A6814" s="1068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1067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t="19.5" hidden="1" thickBot="1" x14ac:dyDescent="0.3">
      <c r="A6817" s="1066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t="19.5" hidden="1" thickBot="1" x14ac:dyDescent="0.3">
      <c r="A6818" s="1068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t="19.5" hidden="1" thickBot="1" x14ac:dyDescent="0.3">
      <c r="A6819" s="1068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t="19.5" hidden="1" thickBot="1" x14ac:dyDescent="0.3">
      <c r="A6820" s="1068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1067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t="19.5" hidden="1" thickBot="1" x14ac:dyDescent="0.3">
      <c r="A6822" s="1062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t="19.5" hidden="1" thickBot="1" x14ac:dyDescent="0.3">
      <c r="A6823" s="1072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t="19.5" hidden="1" thickBot="1" x14ac:dyDescent="0.3">
      <c r="A6824" s="1072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t="19.5" hidden="1" thickBot="1" x14ac:dyDescent="0.3">
      <c r="A6825" s="1072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t="19.5" hidden="1" thickBot="1" x14ac:dyDescent="0.3">
      <c r="A6826" s="1072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t="19.5" hidden="1" thickBot="1" x14ac:dyDescent="0.3">
      <c r="A6827" s="1072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1063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8.25" hidden="1" thickBot="1" x14ac:dyDescent="0.3">
      <c r="A6829" s="1059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t="19.5" hidden="1" thickBot="1" x14ac:dyDescent="0.3">
      <c r="A6830" s="1060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8.25" hidden="1" thickBot="1" x14ac:dyDescent="0.3">
      <c r="A6831" s="1060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1061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t="19.5" hidden="1" thickBot="1" x14ac:dyDescent="0.3">
      <c r="A6833" s="1062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t="19.5" hidden="1" thickBot="1" x14ac:dyDescent="0.3">
      <c r="A6834" s="1072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1063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t="19.5" hidden="1" thickBot="1" x14ac:dyDescent="0.3">
      <c r="A6836" s="1059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t="19.5" hidden="1" thickBot="1" x14ac:dyDescent="0.3">
      <c r="A6837" s="1060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1061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t="19.5" hidden="1" thickBot="1" x14ac:dyDescent="0.3">
      <c r="A6840" s="1059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t="19.5" hidden="1" thickBot="1" x14ac:dyDescent="0.3">
      <c r="A6841" s="1060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t="19.5" hidden="1" thickBot="1" x14ac:dyDescent="0.3">
      <c r="A6842" s="1060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1060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t="19.5" hidden="1" thickBot="1" x14ac:dyDescent="0.3">
      <c r="A6844" s="1062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t="19.5" hidden="1" thickBot="1" x14ac:dyDescent="0.3">
      <c r="A6845" s="1072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1063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t="19.5" hidden="1" thickBot="1" x14ac:dyDescent="0.3">
      <c r="A6847" s="1060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t="19.5" hidden="1" thickBot="1" x14ac:dyDescent="0.3">
      <c r="A6848" s="1060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t="19.5" hidden="1" thickBot="1" x14ac:dyDescent="0.3">
      <c r="A6849" s="1060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t="19.5" hidden="1" thickBot="1" x14ac:dyDescent="0.3">
      <c r="A6850" s="1060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1061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t="19.5" hidden="1" thickBot="1" x14ac:dyDescent="0.3">
      <c r="A6852" s="1073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1074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t="19.5" hidden="1" thickBot="1" x14ac:dyDescent="0.3">
      <c r="A6854" s="1059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1061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t="19.5" hidden="1" thickBot="1" x14ac:dyDescent="0.3">
      <c r="A6856" s="1073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t="19.5" hidden="1" thickBot="1" x14ac:dyDescent="0.3">
      <c r="A6857" s="1077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t="19.5" hidden="1" thickBot="1" x14ac:dyDescent="0.3">
      <c r="A6858" s="1077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1074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t="19.5" hidden="1" thickBot="1" x14ac:dyDescent="0.3">
      <c r="A6861" s="1073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1075" t="s">
        <v>1633</v>
      </c>
      <c r="H6861" s="483" t="s">
        <v>1795</v>
      </c>
      <c r="I6861" s="484" t="s">
        <v>1795</v>
      </c>
      <c r="J6861" s="485"/>
      <c r="K6861" s="483" t="str">
        <f t="shared" ref="K6861:K6924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t="19.5" hidden="1" thickBot="1" x14ac:dyDescent="0.3">
      <c r="A6862" s="1077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1078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1074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1076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t="19.5" hidden="1" thickBot="1" x14ac:dyDescent="0.3">
      <c r="A6864" s="1066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1067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ht="19.5" hidden="1" thickBot="1" x14ac:dyDescent="0.3">
      <c r="A6866" s="1062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83" t="str">
        <f t="shared" si="206"/>
        <v>08,26</v>
      </c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hidden="1" thickBot="1" x14ac:dyDescent="0.3">
      <c r="A6867" s="1063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9" t="str">
        <f t="shared" si="206"/>
        <v>08,26</v>
      </c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hidden="1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8" t="str">
        <f t="shared" si="206"/>
        <v>08,26</v>
      </c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hidden="1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7" t="str">
        <f t="shared" si="206"/>
        <v>08,26</v>
      </c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ht="19.5" hidden="1" thickBot="1" x14ac:dyDescent="0.3">
      <c r="A6870" s="1059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5" t="str">
        <f t="shared" si="206"/>
        <v>08,26</v>
      </c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hidden="1" customHeight="1" x14ac:dyDescent="0.25">
      <c r="A6871" s="1060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9" t="str">
        <f t="shared" si="206"/>
        <v>08,26</v>
      </c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hidden="1" thickBot="1" x14ac:dyDescent="0.3">
      <c r="A6872" s="1061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01" t="str">
        <f t="shared" si="206"/>
        <v>08,26</v>
      </c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ht="19.5" hidden="1" thickBot="1" x14ac:dyDescent="0.3">
      <c r="A6873" s="1073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83" t="str">
        <f t="shared" si="206"/>
        <v>08,26</v>
      </c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hidden="1" customHeight="1" x14ac:dyDescent="0.25">
      <c r="A6874" s="1077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795" t="str">
        <f t="shared" si="206"/>
        <v>08,26</v>
      </c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hidden="1" thickBot="1" x14ac:dyDescent="0.3">
      <c r="A6875" s="1074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08" t="str">
        <f t="shared" si="206"/>
        <v>08,26</v>
      </c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ht="19.5" hidden="1" thickBot="1" x14ac:dyDescent="0.3">
      <c r="A6876" s="1059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1102" t="s">
        <v>1633</v>
      </c>
      <c r="H6876" s="567" t="s">
        <v>1796</v>
      </c>
      <c r="I6876" s="569" t="s">
        <v>1796</v>
      </c>
      <c r="J6876" s="570"/>
      <c r="K6876" s="567" t="str">
        <f t="shared" si="206"/>
        <v>08,26</v>
      </c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hidden="1" thickBot="1" x14ac:dyDescent="0.3">
      <c r="A6877" s="1061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1102"/>
      <c r="H6877" s="801" t="s">
        <v>1796</v>
      </c>
      <c r="I6877" s="801" t="s">
        <v>1796</v>
      </c>
      <c r="J6877" s="803"/>
      <c r="K6877" s="801" t="str">
        <f t="shared" si="206"/>
        <v>08,26</v>
      </c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ht="19.5" hidden="1" thickBot="1" x14ac:dyDescent="0.3">
      <c r="A6878" s="1062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1094" t="s">
        <v>1633</v>
      </c>
      <c r="H6878" s="483" t="s">
        <v>1796</v>
      </c>
      <c r="I6878" s="484" t="s">
        <v>1796</v>
      </c>
      <c r="J6878" s="485"/>
      <c r="K6878" s="483" t="str">
        <f t="shared" si="206"/>
        <v>08,26</v>
      </c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hidden="1" thickBot="1" x14ac:dyDescent="0.3">
      <c r="A6879" s="1063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1101"/>
      <c r="H6879" s="808" t="s">
        <v>1796</v>
      </c>
      <c r="I6879" s="808" t="s">
        <v>1796</v>
      </c>
      <c r="J6879" s="810"/>
      <c r="K6879" s="808" t="str">
        <f t="shared" si="206"/>
        <v>08,26</v>
      </c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hidden="1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40" t="str">
        <f t="shared" si="206"/>
        <v>08,26</v>
      </c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8" ht="19.5" hidden="1" thickBot="1" x14ac:dyDescent="0.3">
      <c r="A6881" s="1062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83" t="str">
        <f t="shared" si="206"/>
        <v>08,26</v>
      </c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8" ht="19.5" hidden="1" thickBot="1" x14ac:dyDescent="0.3">
      <c r="A6882" s="1063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9" t="str">
        <f t="shared" si="206"/>
        <v>08,26</v>
      </c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8" ht="19.5" hidden="1" thickBot="1" x14ac:dyDescent="0.3">
      <c r="A6883" s="922">
        <f>MAX(A6821:A6882)+1</f>
        <v>4289</v>
      </c>
      <c r="B6883" s="923" t="s">
        <v>1795</v>
      </c>
      <c r="C6883" s="924" t="s">
        <v>32</v>
      </c>
      <c r="D6883" s="925">
        <v>17.8</v>
      </c>
      <c r="E6883" s="926" t="s">
        <v>1496</v>
      </c>
      <c r="F6883" s="927" t="s">
        <v>16</v>
      </c>
      <c r="G6883" s="757"/>
      <c r="H6883" s="927" t="s">
        <v>1835</v>
      </c>
      <c r="I6883" s="928" t="s">
        <v>1496</v>
      </c>
      <c r="J6883" s="929"/>
      <c r="K6883" s="927" t="str">
        <f t="shared" si="206"/>
        <v>тмена</v>
      </c>
      <c r="L6883" s="927" t="s">
        <v>266</v>
      </c>
      <c r="M6883" s="927">
        <v>17807.399999999998</v>
      </c>
      <c r="N6883" s="930">
        <v>0.41666666666666669</v>
      </c>
      <c r="O6883" s="920"/>
      <c r="P6883" s="921" t="s">
        <v>1024</v>
      </c>
    </row>
    <row r="6884" spans="1:18" ht="19.5" hidden="1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8" t="str">
        <f t="shared" si="206"/>
        <v>08,26</v>
      </c>
      <c r="L6884" s="518" t="s">
        <v>266</v>
      </c>
      <c r="M6884" s="518">
        <v>18176.620000000003</v>
      </c>
      <c r="N6884" s="522">
        <v>0.41666666666666669</v>
      </c>
      <c r="O6884" s="897" t="s">
        <v>1874</v>
      </c>
      <c r="P6884" s="867" t="s">
        <v>1923</v>
      </c>
    </row>
    <row r="6885" spans="1:18" ht="19.5" hidden="1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8" t="str">
        <f t="shared" si="206"/>
        <v>08,26</v>
      </c>
      <c r="L6885" s="508" t="s">
        <v>266</v>
      </c>
      <c r="M6885" s="508">
        <v>18044.509999999998</v>
      </c>
      <c r="N6885" s="512">
        <v>0.45833333333333331</v>
      </c>
      <c r="O6885" s="897" t="s">
        <v>1875</v>
      </c>
      <c r="P6885" s="867" t="s">
        <v>1918</v>
      </c>
    </row>
    <row r="6886" spans="1:18" ht="19.5" hidden="1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77" t="str">
        <f t="shared" si="206"/>
        <v>08,26</v>
      </c>
      <c r="L6886" s="518" t="s">
        <v>266</v>
      </c>
      <c r="M6886" s="518">
        <v>18013.8</v>
      </c>
      <c r="N6886" s="522">
        <v>0.5</v>
      </c>
      <c r="O6886" s="897" t="s">
        <v>1876</v>
      </c>
      <c r="P6886" s="867" t="s">
        <v>1917</v>
      </c>
    </row>
    <row r="6887" spans="1:18" ht="19.5" hidden="1" thickBot="1" x14ac:dyDescent="0.3">
      <c r="A6887" s="1059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898"/>
      <c r="H6887" s="535" t="s">
        <v>1864</v>
      </c>
      <c r="I6887" s="537" t="s">
        <v>1864</v>
      </c>
      <c r="J6887" s="538"/>
      <c r="K6887" s="535" t="str">
        <f t="shared" si="206"/>
        <v>08,26</v>
      </c>
      <c r="L6887" s="567" t="s">
        <v>266</v>
      </c>
      <c r="M6887" s="567">
        <v>18081.12</v>
      </c>
      <c r="N6887" s="571">
        <v>0.54166666666666663</v>
      </c>
      <c r="O6887" s="897" t="s">
        <v>1877</v>
      </c>
      <c r="P6887" s="867" t="s">
        <v>1921</v>
      </c>
    </row>
    <row r="6888" spans="1:18" ht="19.5" hidden="1" thickBot="1" x14ac:dyDescent="0.3">
      <c r="A6888" s="1061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1" t="s">
        <v>76</v>
      </c>
      <c r="H6888" s="788" t="s">
        <v>1864</v>
      </c>
      <c r="I6888" s="788" t="s">
        <v>1864</v>
      </c>
      <c r="J6888" s="790"/>
      <c r="K6888" s="788" t="str">
        <f t="shared" si="206"/>
        <v>08,26</v>
      </c>
      <c r="L6888" s="801" t="s">
        <v>266</v>
      </c>
      <c r="M6888" s="801">
        <v>2505</v>
      </c>
      <c r="N6888" s="804">
        <v>0.54166666666666663</v>
      </c>
      <c r="O6888" s="897" t="s">
        <v>1910</v>
      </c>
      <c r="P6888" s="867" t="s">
        <v>1922</v>
      </c>
    </row>
    <row r="6889" spans="1:18" ht="19.5" hidden="1" thickBot="1" x14ac:dyDescent="0.3">
      <c r="A6889" s="1062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>
        <v>15.128</v>
      </c>
      <c r="F6889" s="483" t="s">
        <v>16</v>
      </c>
      <c r="G6889" s="899"/>
      <c r="H6889" s="483" t="s">
        <v>1864</v>
      </c>
      <c r="I6889" s="484" t="s">
        <v>1892</v>
      </c>
      <c r="J6889" s="485"/>
      <c r="K6889" s="483" t="str">
        <f t="shared" si="206"/>
        <v>08,26</v>
      </c>
      <c r="L6889" s="483" t="s">
        <v>266</v>
      </c>
      <c r="M6889" s="483">
        <v>18120.239999999994</v>
      </c>
      <c r="N6889" s="486">
        <v>0.58333333333333337</v>
      </c>
      <c r="O6889" s="897" t="s">
        <v>1878</v>
      </c>
      <c r="P6889" s="867" t="s">
        <v>1954</v>
      </c>
    </row>
    <row r="6890" spans="1:18" ht="19.5" hidden="1" thickBot="1" x14ac:dyDescent="0.3">
      <c r="A6890" s="1063"/>
      <c r="B6890" s="805" t="s">
        <v>1864</v>
      </c>
      <c r="C6890" s="806" t="s">
        <v>848</v>
      </c>
      <c r="D6890" s="807">
        <v>2.5</v>
      </c>
      <c r="E6890" s="807">
        <v>2.5150000000000001</v>
      </c>
      <c r="F6890" s="808" t="s">
        <v>16</v>
      </c>
      <c r="G6890" s="902" t="s">
        <v>76</v>
      </c>
      <c r="H6890" s="808" t="s">
        <v>1864</v>
      </c>
      <c r="I6890" s="808" t="s">
        <v>1892</v>
      </c>
      <c r="J6890" s="810"/>
      <c r="K6890" s="808" t="str">
        <f t="shared" si="206"/>
        <v>08,26</v>
      </c>
      <c r="L6890" s="808" t="s">
        <v>266</v>
      </c>
      <c r="M6890" s="808">
        <v>2505</v>
      </c>
      <c r="N6890" s="778">
        <v>0.58333333333333337</v>
      </c>
      <c r="O6890" s="897" t="s">
        <v>1911</v>
      </c>
      <c r="P6890" s="867" t="s">
        <v>1955</v>
      </c>
    </row>
    <row r="6891" spans="1:18" ht="19.5" hidden="1" thickBot="1" x14ac:dyDescent="0.3">
      <c r="A6891" s="1066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5" t="str">
        <f t="shared" si="206"/>
        <v>08,26</v>
      </c>
      <c r="L6891" s="535" t="s">
        <v>265</v>
      </c>
      <c r="M6891" s="535">
        <v>17131.080000000002</v>
      </c>
      <c r="N6891" s="539">
        <v>0.625</v>
      </c>
      <c r="O6891" s="897" t="s">
        <v>1889</v>
      </c>
      <c r="P6891" s="867" t="s">
        <v>1919</v>
      </c>
    </row>
    <row r="6892" spans="1:18" ht="19.5" hidden="1" thickBot="1" x14ac:dyDescent="0.3">
      <c r="A6892" s="1067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1" t="s">
        <v>76</v>
      </c>
      <c r="H6892" s="788" t="s">
        <v>1864</v>
      </c>
      <c r="I6892" s="788" t="s">
        <v>1864</v>
      </c>
      <c r="J6892" s="790"/>
      <c r="K6892" s="788" t="str">
        <f t="shared" si="206"/>
        <v>08,26</v>
      </c>
      <c r="L6892" s="788" t="s">
        <v>265</v>
      </c>
      <c r="M6892" s="788">
        <v>855</v>
      </c>
      <c r="N6892" s="784">
        <v>0.625</v>
      </c>
      <c r="O6892" s="897" t="s">
        <v>1899</v>
      </c>
      <c r="P6892" s="867" t="s">
        <v>1920</v>
      </c>
    </row>
    <row r="6893" spans="1:18" ht="19.5" hidden="1" thickBot="1" x14ac:dyDescent="0.3">
      <c r="A6893" s="1062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>
        <v>13.677</v>
      </c>
      <c r="F6893" s="483" t="s">
        <v>16</v>
      </c>
      <c r="G6893" s="899"/>
      <c r="H6893" s="483" t="s">
        <v>1891</v>
      </c>
      <c r="I6893" s="484" t="s">
        <v>1891</v>
      </c>
      <c r="J6893" s="485"/>
      <c r="K6893" s="483" t="str">
        <f t="shared" si="206"/>
        <v>08,26</v>
      </c>
      <c r="L6893" s="483" t="s">
        <v>265</v>
      </c>
      <c r="M6893" s="483">
        <v>17616.700000000004</v>
      </c>
      <c r="N6893" s="486">
        <v>0.375</v>
      </c>
      <c r="O6893" s="897" t="s">
        <v>1893</v>
      </c>
      <c r="P6893" s="867" t="s">
        <v>1957</v>
      </c>
    </row>
    <row r="6894" spans="1:18" ht="19.5" hidden="1" thickBot="1" x14ac:dyDescent="0.3">
      <c r="A6894" s="1072"/>
      <c r="B6894" s="792" t="s">
        <v>1891</v>
      </c>
      <c r="C6894" s="793" t="s">
        <v>26</v>
      </c>
      <c r="D6894" s="794">
        <v>0.45</v>
      </c>
      <c r="E6894" s="794">
        <v>0.499</v>
      </c>
      <c r="F6894" s="795" t="s">
        <v>16</v>
      </c>
      <c r="G6894" s="903"/>
      <c r="H6894" s="795" t="s">
        <v>1891</v>
      </c>
      <c r="I6894" s="795" t="s">
        <v>1891</v>
      </c>
      <c r="J6894" s="797"/>
      <c r="K6894" s="795" t="str">
        <f t="shared" si="206"/>
        <v>08,26</v>
      </c>
      <c r="L6894" s="795" t="s">
        <v>265</v>
      </c>
      <c r="M6894" s="795">
        <v>450</v>
      </c>
      <c r="N6894" s="502">
        <v>0.375</v>
      </c>
      <c r="O6894" s="897" t="s">
        <v>1925</v>
      </c>
      <c r="P6894" s="867" t="s">
        <v>1959</v>
      </c>
    </row>
    <row r="6895" spans="1:18" ht="19.5" hidden="1" thickBot="1" x14ac:dyDescent="0.3">
      <c r="A6895" s="1063"/>
      <c r="B6895" s="841" t="s">
        <v>1864</v>
      </c>
      <c r="C6895" s="842" t="s">
        <v>26</v>
      </c>
      <c r="D6895" s="843">
        <v>3.1</v>
      </c>
      <c r="E6895" s="843">
        <v>3.093</v>
      </c>
      <c r="F6895" s="844" t="s">
        <v>16</v>
      </c>
      <c r="G6895" s="904" t="s">
        <v>76</v>
      </c>
      <c r="H6895" s="844" t="s">
        <v>1891</v>
      </c>
      <c r="I6895" s="844" t="s">
        <v>1891</v>
      </c>
      <c r="J6895" s="845"/>
      <c r="K6895" s="844" t="str">
        <f t="shared" si="206"/>
        <v>08,26</v>
      </c>
      <c r="L6895" s="844" t="s">
        <v>265</v>
      </c>
      <c r="M6895" s="844">
        <v>3105</v>
      </c>
      <c r="N6895" s="846">
        <v>0.375</v>
      </c>
      <c r="O6895" s="897" t="s">
        <v>1924</v>
      </c>
      <c r="P6895" s="867" t="s">
        <v>1958</v>
      </c>
    </row>
    <row r="6896" spans="1:18" ht="19.5" hidden="1" thickBot="1" x14ac:dyDescent="0.3">
      <c r="A6896" s="1059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>
        <f>13.91+0.239+0.135</f>
        <v>14.284000000000001</v>
      </c>
      <c r="F6896" s="535" t="s">
        <v>16</v>
      </c>
      <c r="G6896" s="536"/>
      <c r="H6896" s="535" t="s">
        <v>1892</v>
      </c>
      <c r="I6896" s="537" t="s">
        <v>1892</v>
      </c>
      <c r="J6896" s="538"/>
      <c r="K6896" s="535" t="str">
        <f t="shared" si="206"/>
        <v>08,26</v>
      </c>
      <c r="L6896" s="535" t="s">
        <v>265</v>
      </c>
      <c r="M6896" s="535">
        <v>17627.53</v>
      </c>
      <c r="N6896" s="539">
        <v>0.375</v>
      </c>
      <c r="O6896" s="897" t="s">
        <v>1894</v>
      </c>
      <c r="P6896" s="867" t="s">
        <v>1965</v>
      </c>
      <c r="Q6896" s="847" t="s">
        <v>1968</v>
      </c>
      <c r="R6896" s="833" t="s">
        <v>1969</v>
      </c>
    </row>
    <row r="6897" spans="1:17" ht="19.5" hidden="1" thickBot="1" x14ac:dyDescent="0.3">
      <c r="A6897" s="1060"/>
      <c r="B6897" s="852" t="s">
        <v>1891</v>
      </c>
      <c r="C6897" s="837" t="s">
        <v>26</v>
      </c>
      <c r="D6897" s="838">
        <v>0.95</v>
      </c>
      <c r="E6897" s="838">
        <v>0.97399999999999998</v>
      </c>
      <c r="F6897" s="839" t="s">
        <v>16</v>
      </c>
      <c r="G6897" s="850" t="s">
        <v>76</v>
      </c>
      <c r="H6897" s="839" t="s">
        <v>1892</v>
      </c>
      <c r="I6897" s="839" t="s">
        <v>1892</v>
      </c>
      <c r="J6897" s="840"/>
      <c r="K6897" s="839" t="str">
        <f t="shared" si="206"/>
        <v>08,26</v>
      </c>
      <c r="L6897" s="839" t="s">
        <v>265</v>
      </c>
      <c r="M6897" s="839">
        <v>960</v>
      </c>
      <c r="N6897" s="598">
        <v>0.375</v>
      </c>
      <c r="O6897" s="897" t="s">
        <v>1946</v>
      </c>
      <c r="P6897" s="867" t="s">
        <v>1966</v>
      </c>
    </row>
    <row r="6898" spans="1:17" ht="19.5" hidden="1" thickBot="1" x14ac:dyDescent="0.3">
      <c r="A6898" s="1061"/>
      <c r="B6898" s="798" t="s">
        <v>1891</v>
      </c>
      <c r="C6898" s="799" t="s">
        <v>26</v>
      </c>
      <c r="D6898" s="800">
        <v>2.2999999999999998</v>
      </c>
      <c r="E6898" s="800">
        <v>2.3109999999999999</v>
      </c>
      <c r="F6898" s="801" t="s">
        <v>16</v>
      </c>
      <c r="G6898" s="802" t="s">
        <v>76</v>
      </c>
      <c r="H6898" s="801" t="s">
        <v>1892</v>
      </c>
      <c r="I6898" s="801" t="s">
        <v>1892</v>
      </c>
      <c r="J6898" s="803"/>
      <c r="K6898" s="801" t="str">
        <f t="shared" si="206"/>
        <v>08,26</v>
      </c>
      <c r="L6898" s="801" t="s">
        <v>265</v>
      </c>
      <c r="M6898" s="801">
        <v>2310</v>
      </c>
      <c r="N6898" s="804">
        <v>0.375</v>
      </c>
      <c r="O6898" s="897" t="s">
        <v>1943</v>
      </c>
      <c r="P6898" s="867" t="s">
        <v>1967</v>
      </c>
    </row>
    <row r="6899" spans="1:17" ht="19.5" hidden="1" thickBot="1" x14ac:dyDescent="0.3">
      <c r="A6899" s="1073">
        <f>MAX(A6833:A6898)+1</f>
        <v>4298</v>
      </c>
      <c r="B6899" s="610" t="s">
        <v>1835</v>
      </c>
      <c r="C6899" s="480" t="s">
        <v>26</v>
      </c>
      <c r="D6899" s="481">
        <v>17.457999999999998</v>
      </c>
      <c r="E6899" s="482">
        <f>14.103+0.103</f>
        <v>14.206</v>
      </c>
      <c r="F6899" s="483" t="s">
        <v>16</v>
      </c>
      <c r="G6899" s="549"/>
      <c r="H6899" s="483" t="s">
        <v>1892</v>
      </c>
      <c r="I6899" s="484" t="s">
        <v>1892</v>
      </c>
      <c r="J6899" s="485"/>
      <c r="K6899" s="483" t="str">
        <f t="shared" si="206"/>
        <v>08,26</v>
      </c>
      <c r="L6899" s="483" t="s">
        <v>265</v>
      </c>
      <c r="M6899" s="483">
        <v>17619.18</v>
      </c>
      <c r="N6899" s="486">
        <v>0.41666666666666669</v>
      </c>
      <c r="O6899" s="897" t="s">
        <v>1895</v>
      </c>
      <c r="P6899" s="867" t="s">
        <v>1970</v>
      </c>
      <c r="Q6899" s="847" t="s">
        <v>1973</v>
      </c>
    </row>
    <row r="6900" spans="1:17" ht="19.5" hidden="1" thickBot="1" x14ac:dyDescent="0.3">
      <c r="A6900" s="1077"/>
      <c r="B6900" s="792" t="s">
        <v>1891</v>
      </c>
      <c r="C6900" s="793" t="s">
        <v>26</v>
      </c>
      <c r="D6900" s="794">
        <v>1.1000000000000001</v>
      </c>
      <c r="E6900" s="794">
        <v>1.113</v>
      </c>
      <c r="F6900" s="795" t="s">
        <v>16</v>
      </c>
      <c r="G6900" s="796" t="s">
        <v>76</v>
      </c>
      <c r="H6900" s="795" t="s">
        <v>1892</v>
      </c>
      <c r="I6900" s="795" t="s">
        <v>1892</v>
      </c>
      <c r="J6900" s="797"/>
      <c r="K6900" s="795" t="str">
        <f t="shared" si="206"/>
        <v>08,26</v>
      </c>
      <c r="L6900" s="795" t="s">
        <v>265</v>
      </c>
      <c r="M6900" s="795">
        <v>1110</v>
      </c>
      <c r="N6900" s="502">
        <v>0.41666666666666669</v>
      </c>
      <c r="O6900" s="897" t="s">
        <v>1947</v>
      </c>
      <c r="P6900" s="867" t="s">
        <v>1971</v>
      </c>
    </row>
    <row r="6901" spans="1:17" ht="19.5" hidden="1" thickBot="1" x14ac:dyDescent="0.3">
      <c r="A6901" s="1074"/>
      <c r="B6901" s="805" t="s">
        <v>1891</v>
      </c>
      <c r="C6901" s="806" t="s">
        <v>26</v>
      </c>
      <c r="D6901" s="807">
        <v>2.2000000000000002</v>
      </c>
      <c r="E6901" s="807">
        <v>2.2309999999999999</v>
      </c>
      <c r="F6901" s="808" t="s">
        <v>16</v>
      </c>
      <c r="G6901" s="809" t="s">
        <v>76</v>
      </c>
      <c r="H6901" s="808" t="s">
        <v>1892</v>
      </c>
      <c r="I6901" s="808" t="s">
        <v>1892</v>
      </c>
      <c r="J6901" s="810"/>
      <c r="K6901" s="808" t="str">
        <f t="shared" si="206"/>
        <v>08,26</v>
      </c>
      <c r="L6901" s="808" t="s">
        <v>265</v>
      </c>
      <c r="M6901" s="808">
        <v>2220</v>
      </c>
      <c r="N6901" s="778">
        <v>0.41666666666666669</v>
      </c>
      <c r="O6901" s="897" t="s">
        <v>1944</v>
      </c>
      <c r="P6901" s="867" t="s">
        <v>1972</v>
      </c>
    </row>
    <row r="6902" spans="1:17" ht="57" hidden="1" thickBot="1" x14ac:dyDescent="0.3">
      <c r="A6902" s="1066">
        <f>MAX(A6834:A6901)+1</f>
        <v>4299</v>
      </c>
      <c r="B6902" s="563" t="s">
        <v>1835</v>
      </c>
      <c r="C6902" s="564" t="s">
        <v>587</v>
      </c>
      <c r="D6902" s="565">
        <v>0.51700000000000002</v>
      </c>
      <c r="E6902" s="566">
        <v>0.373</v>
      </c>
      <c r="F6902" s="567" t="s">
        <v>16</v>
      </c>
      <c r="G6902" s="568" t="s">
        <v>794</v>
      </c>
      <c r="H6902" s="567" t="s">
        <v>1892</v>
      </c>
      <c r="I6902" s="569" t="s">
        <v>1903</v>
      </c>
      <c r="J6902" s="570"/>
      <c r="K6902" s="567" t="str">
        <f t="shared" si="206"/>
        <v>08,26</v>
      </c>
      <c r="L6902" s="567" t="s">
        <v>28</v>
      </c>
      <c r="M6902" s="567">
        <v>517.43999999999994</v>
      </c>
      <c r="N6902" s="571">
        <v>0.45833333333333331</v>
      </c>
      <c r="O6902" s="897" t="s">
        <v>1897</v>
      </c>
      <c r="P6902" s="867" t="s">
        <v>1974</v>
      </c>
    </row>
    <row r="6903" spans="1:17" ht="19.5" hidden="1" thickBot="1" x14ac:dyDescent="0.3">
      <c r="A6903" s="1068"/>
      <c r="B6903" s="563" t="s">
        <v>1835</v>
      </c>
      <c r="C6903" s="564" t="s">
        <v>587</v>
      </c>
      <c r="D6903" s="565">
        <v>10.718</v>
      </c>
      <c r="E6903" s="566">
        <v>9.2070000000000007</v>
      </c>
      <c r="F6903" s="567" t="s">
        <v>16</v>
      </c>
      <c r="G6903" s="568" t="s">
        <v>47</v>
      </c>
      <c r="H6903" s="567" t="s">
        <v>1892</v>
      </c>
      <c r="I6903" s="569" t="s">
        <v>1903</v>
      </c>
      <c r="J6903" s="570"/>
      <c r="K6903" s="567" t="str">
        <f t="shared" si="206"/>
        <v>08,26</v>
      </c>
      <c r="L6903" s="567" t="s">
        <v>28</v>
      </c>
      <c r="M6903" s="567">
        <v>10718.320000000002</v>
      </c>
      <c r="N6903" s="571">
        <v>0.45833333333333331</v>
      </c>
      <c r="O6903" s="897" t="s">
        <v>1898</v>
      </c>
      <c r="P6903" s="867" t="s">
        <v>1975</v>
      </c>
    </row>
    <row r="6904" spans="1:17" ht="19.5" hidden="1" thickBot="1" x14ac:dyDescent="0.3">
      <c r="A6904" s="1068"/>
      <c r="B6904" s="563" t="s">
        <v>1835</v>
      </c>
      <c r="C6904" s="564" t="s">
        <v>47</v>
      </c>
      <c r="D6904" s="565">
        <v>6.5919999999999996</v>
      </c>
      <c r="E6904" s="566">
        <v>5.101</v>
      </c>
      <c r="F6904" s="567" t="s">
        <v>16</v>
      </c>
      <c r="G6904" s="568"/>
      <c r="H6904" s="567" t="s">
        <v>1892</v>
      </c>
      <c r="I6904" s="569" t="s">
        <v>1903</v>
      </c>
      <c r="J6904" s="570"/>
      <c r="K6904" s="567" t="str">
        <f t="shared" si="206"/>
        <v>08,26</v>
      </c>
      <c r="L6904" s="567" t="s">
        <v>28</v>
      </c>
      <c r="M6904" s="567">
        <v>6721.67</v>
      </c>
      <c r="N6904" s="571">
        <v>0.45833333333333331</v>
      </c>
      <c r="O6904" s="897" t="s">
        <v>1896</v>
      </c>
      <c r="P6904" s="867" t="s">
        <v>1976</v>
      </c>
    </row>
    <row r="6905" spans="1:17" ht="19.5" hidden="1" thickBot="1" x14ac:dyDescent="0.3">
      <c r="A6905" s="1068"/>
      <c r="B6905" s="836" t="s">
        <v>1891</v>
      </c>
      <c r="C6905" s="837" t="s">
        <v>47</v>
      </c>
      <c r="D6905" s="838">
        <v>3</v>
      </c>
      <c r="E6905" s="838">
        <v>3.0089999999999999</v>
      </c>
      <c r="F6905" s="839" t="s">
        <v>16</v>
      </c>
      <c r="G6905" s="850" t="s">
        <v>76</v>
      </c>
      <c r="H6905" s="839" t="s">
        <v>1892</v>
      </c>
      <c r="I6905" s="839" t="s">
        <v>1903</v>
      </c>
      <c r="J6905" s="840"/>
      <c r="K6905" s="839" t="str">
        <f t="shared" si="206"/>
        <v>08,26</v>
      </c>
      <c r="L6905" s="839" t="s">
        <v>28</v>
      </c>
      <c r="M6905" s="839">
        <v>3005.04</v>
      </c>
      <c r="N6905" s="598">
        <v>0.45833333333333331</v>
      </c>
      <c r="O6905" s="897" t="s">
        <v>1942</v>
      </c>
      <c r="P6905" s="867" t="s">
        <v>1977</v>
      </c>
    </row>
    <row r="6906" spans="1:17" ht="19.5" hidden="1" thickBot="1" x14ac:dyDescent="0.3">
      <c r="A6906" s="513">
        <f>MAX(A6837:A6905)+1</f>
        <v>4300</v>
      </c>
      <c r="B6906" s="514" t="s">
        <v>1864</v>
      </c>
      <c r="C6906" s="515" t="s">
        <v>26</v>
      </c>
      <c r="D6906" s="516">
        <v>13.756</v>
      </c>
      <c r="E6906" s="517">
        <v>13.753</v>
      </c>
      <c r="F6906" s="518" t="s">
        <v>30</v>
      </c>
      <c r="G6906" s="519"/>
      <c r="H6906" s="518" t="s">
        <v>1892</v>
      </c>
      <c r="I6906" s="520" t="s">
        <v>1903</v>
      </c>
      <c r="J6906" s="521"/>
      <c r="K6906" s="518" t="str">
        <f t="shared" si="206"/>
        <v>08,26</v>
      </c>
      <c r="L6906" s="518" t="s">
        <v>265</v>
      </c>
      <c r="M6906" s="518">
        <v>13753.279999999999</v>
      </c>
      <c r="N6906" s="522">
        <v>0.375</v>
      </c>
      <c r="O6906" s="897" t="s">
        <v>1902</v>
      </c>
      <c r="P6906" s="867" t="s">
        <v>1956</v>
      </c>
    </row>
    <row r="6907" spans="1:17" ht="19.5" hidden="1" thickBot="1" x14ac:dyDescent="0.3">
      <c r="A6907" s="503">
        <f>MAX(A6838:A6906)+1</f>
        <v>4301</v>
      </c>
      <c r="B6907" s="504" t="s">
        <v>1864</v>
      </c>
      <c r="C6907" s="505" t="s">
        <v>913</v>
      </c>
      <c r="D6907" s="506">
        <v>11.68</v>
      </c>
      <c r="E6907" s="507">
        <v>10.739000000000001</v>
      </c>
      <c r="F6907" s="508" t="s">
        <v>30</v>
      </c>
      <c r="G6907" s="509"/>
      <c r="H6907" s="508" t="s">
        <v>1892</v>
      </c>
      <c r="I6907" s="510" t="s">
        <v>2049</v>
      </c>
      <c r="J6907" s="511"/>
      <c r="K6907" s="518" t="str">
        <f t="shared" si="206"/>
        <v>08,26</v>
      </c>
      <c r="L6907" s="508" t="s">
        <v>266</v>
      </c>
      <c r="M6907" s="508">
        <v>11680.56</v>
      </c>
      <c r="N6907" s="512">
        <v>0.41666666666666669</v>
      </c>
      <c r="O6907" s="897" t="s">
        <v>1901</v>
      </c>
      <c r="P6907" s="867" t="s">
        <v>2104</v>
      </c>
    </row>
    <row r="6908" spans="1:17" ht="19.5" hidden="1" thickBot="1" x14ac:dyDescent="0.3">
      <c r="A6908" s="1062">
        <f>MAX(A6839:A6907)+1</f>
        <v>4302</v>
      </c>
      <c r="B6908" s="479" t="s">
        <v>1864</v>
      </c>
      <c r="C6908" s="480" t="s">
        <v>32</v>
      </c>
      <c r="D6908" s="481">
        <v>5.0579999999999998</v>
      </c>
      <c r="E6908" s="482">
        <v>5.0039999999999996</v>
      </c>
      <c r="F6908" s="483" t="s">
        <v>16</v>
      </c>
      <c r="G6908" s="549" t="s">
        <v>1702</v>
      </c>
      <c r="H6908" s="483" t="s">
        <v>1892</v>
      </c>
      <c r="I6908" s="484" t="s">
        <v>1903</v>
      </c>
      <c r="J6908" s="485"/>
      <c r="K6908" s="483" t="str">
        <f t="shared" si="206"/>
        <v>08,26</v>
      </c>
      <c r="L6908" s="483" t="s">
        <v>266</v>
      </c>
      <c r="M6908" s="483">
        <v>5061.3999999999996</v>
      </c>
      <c r="N6908" s="486">
        <v>0.5</v>
      </c>
      <c r="O6908" s="897" t="s">
        <v>1907</v>
      </c>
      <c r="P6908" s="867" t="s">
        <v>1978</v>
      </c>
      <c r="Q6908" s="900"/>
    </row>
    <row r="6909" spans="1:17" ht="19.5" hidden="1" thickBot="1" x14ac:dyDescent="0.3">
      <c r="A6909" s="1072"/>
      <c r="B6909" s="523" t="s">
        <v>1864</v>
      </c>
      <c r="C6909" s="524" t="s">
        <v>41</v>
      </c>
      <c r="D6909" s="525">
        <v>6.1</v>
      </c>
      <c r="E6909" s="526">
        <v>6.0369999999999999</v>
      </c>
      <c r="F6909" s="527" t="s">
        <v>16</v>
      </c>
      <c r="G6909" s="561" t="s">
        <v>844</v>
      </c>
      <c r="H6909" s="527" t="s">
        <v>1892</v>
      </c>
      <c r="I6909" s="528" t="s">
        <v>1903</v>
      </c>
      <c r="J6909" s="529"/>
      <c r="K6909" s="527" t="str">
        <f t="shared" si="206"/>
        <v>08,26</v>
      </c>
      <c r="L6909" s="527" t="s">
        <v>266</v>
      </c>
      <c r="M6909" s="527">
        <v>6174.7400000000007</v>
      </c>
      <c r="N6909" s="530">
        <v>0.5</v>
      </c>
      <c r="O6909" s="897" t="s">
        <v>1904</v>
      </c>
      <c r="P6909" s="867" t="s">
        <v>1979</v>
      </c>
      <c r="Q6909" s="900"/>
    </row>
    <row r="6910" spans="1:17" ht="19.5" hidden="1" thickBot="1" x14ac:dyDescent="0.3">
      <c r="A6910" s="1072"/>
      <c r="B6910" s="911" t="s">
        <v>1864</v>
      </c>
      <c r="C6910" s="912" t="s">
        <v>41</v>
      </c>
      <c r="D6910" s="913">
        <v>5</v>
      </c>
      <c r="E6910" s="914" t="s">
        <v>1496</v>
      </c>
      <c r="F6910" s="915" t="s">
        <v>16</v>
      </c>
      <c r="G6910" s="916" t="s">
        <v>845</v>
      </c>
      <c r="H6910" s="915" t="s">
        <v>1892</v>
      </c>
      <c r="I6910" s="917" t="s">
        <v>1496</v>
      </c>
      <c r="J6910" s="918"/>
      <c r="K6910" s="915" t="str">
        <f t="shared" si="206"/>
        <v>тмена</v>
      </c>
      <c r="L6910" s="915" t="s">
        <v>266</v>
      </c>
      <c r="M6910" s="915">
        <v>5007.5999999999995</v>
      </c>
      <c r="N6910" s="919">
        <v>0.5</v>
      </c>
      <c r="O6910" s="920" t="s">
        <v>1906</v>
      </c>
      <c r="P6910" s="921" t="s">
        <v>1024</v>
      </c>
      <c r="Q6910" s="900"/>
    </row>
    <row r="6911" spans="1:17" ht="19.5" hidden="1" thickBot="1" x14ac:dyDescent="0.3">
      <c r="A6911" s="1063"/>
      <c r="B6911" s="645" t="s">
        <v>1864</v>
      </c>
      <c r="C6911" s="646" t="s">
        <v>981</v>
      </c>
      <c r="D6911" s="647">
        <v>7.0598000000000001</v>
      </c>
      <c r="E6911" s="648">
        <v>5.8010000000000002</v>
      </c>
      <c r="F6911" s="649" t="s">
        <v>16</v>
      </c>
      <c r="G6911" s="650"/>
      <c r="H6911" s="649" t="s">
        <v>1892</v>
      </c>
      <c r="I6911" s="651" t="s">
        <v>1903</v>
      </c>
      <c r="J6911" s="652"/>
      <c r="K6911" s="649" t="str">
        <f t="shared" si="206"/>
        <v>08,26</v>
      </c>
      <c r="L6911" s="649" t="s">
        <v>266</v>
      </c>
      <c r="M6911" s="649">
        <v>7059.08</v>
      </c>
      <c r="N6911" s="653">
        <v>0.5</v>
      </c>
      <c r="O6911" s="897" t="s">
        <v>1905</v>
      </c>
      <c r="P6911" s="867" t="s">
        <v>1980</v>
      </c>
      <c r="Q6911" s="900"/>
    </row>
    <row r="6912" spans="1:17" ht="38.25" hidden="1" thickBot="1" x14ac:dyDescent="0.3">
      <c r="A6912" s="1158">
        <f>MAX(A6843:A6911)+1</f>
        <v>4303</v>
      </c>
      <c r="B6912" s="750" t="s">
        <v>1864</v>
      </c>
      <c r="C6912" s="751" t="s">
        <v>23</v>
      </c>
      <c r="D6912" s="752">
        <v>5</v>
      </c>
      <c r="E6912" s="753" t="s">
        <v>1496</v>
      </c>
      <c r="F6912" s="754" t="s">
        <v>16</v>
      </c>
      <c r="G6912" s="931" t="s">
        <v>1900</v>
      </c>
      <c r="H6912" s="754" t="s">
        <v>1892</v>
      </c>
      <c r="I6912" s="932" t="s">
        <v>1496</v>
      </c>
      <c r="J6912" s="755"/>
      <c r="K6912" s="754" t="str">
        <f t="shared" si="206"/>
        <v>тмена</v>
      </c>
      <c r="L6912" s="754" t="s">
        <v>28</v>
      </c>
      <c r="M6912" s="754">
        <v>5007.5999999999995</v>
      </c>
      <c r="N6912" s="756">
        <v>0.58333333333333337</v>
      </c>
      <c r="O6912" s="920" t="s">
        <v>1908</v>
      </c>
      <c r="P6912" s="921" t="s">
        <v>1024</v>
      </c>
    </row>
    <row r="6913" spans="1:16" ht="38.25" hidden="1" thickBot="1" x14ac:dyDescent="0.3">
      <c r="A6913" s="1159"/>
      <c r="B6913" s="933" t="s">
        <v>1864</v>
      </c>
      <c r="C6913" s="934" t="s">
        <v>23</v>
      </c>
      <c r="D6913" s="935">
        <v>5</v>
      </c>
      <c r="E6913" s="936" t="s">
        <v>1496</v>
      </c>
      <c r="F6913" s="937" t="s">
        <v>16</v>
      </c>
      <c r="G6913" s="938" t="s">
        <v>1900</v>
      </c>
      <c r="H6913" s="937" t="s">
        <v>1892</v>
      </c>
      <c r="I6913" s="939" t="s">
        <v>1496</v>
      </c>
      <c r="J6913" s="940"/>
      <c r="K6913" s="937" t="str">
        <f t="shared" si="206"/>
        <v>тмена</v>
      </c>
      <c r="L6913" s="937" t="s">
        <v>28</v>
      </c>
      <c r="M6913" s="937">
        <v>5007.5999999999995</v>
      </c>
      <c r="N6913" s="941">
        <v>0.58333333333333337</v>
      </c>
      <c r="O6913" s="920" t="s">
        <v>1909</v>
      </c>
      <c r="P6913" s="921" t="s">
        <v>1024</v>
      </c>
    </row>
    <row r="6914" spans="1:16" ht="19.5" hidden="1" thickBot="1" x14ac:dyDescent="0.3">
      <c r="A6914" s="662">
        <f>MAX(A6845:A6913)+1</f>
        <v>4304</v>
      </c>
      <c r="B6914" s="663" t="s">
        <v>1864</v>
      </c>
      <c r="C6914" s="664" t="s">
        <v>32</v>
      </c>
      <c r="D6914" s="665">
        <v>17.8</v>
      </c>
      <c r="E6914" s="666" t="s">
        <v>1496</v>
      </c>
      <c r="F6914" s="667" t="s">
        <v>16</v>
      </c>
      <c r="G6914" s="668"/>
      <c r="H6914" s="667" t="s">
        <v>1892</v>
      </c>
      <c r="I6914" s="669" t="s">
        <v>1496</v>
      </c>
      <c r="J6914" s="670"/>
      <c r="K6914" s="667" t="str">
        <f t="shared" si="206"/>
        <v>тмена</v>
      </c>
      <c r="L6914" s="667" t="s">
        <v>266</v>
      </c>
      <c r="M6914" s="667">
        <v>17807.399999999998</v>
      </c>
      <c r="N6914" s="671">
        <v>0.54166666666666663</v>
      </c>
      <c r="O6914" s="920" t="s">
        <v>1912</v>
      </c>
      <c r="P6914" s="921" t="s">
        <v>1024</v>
      </c>
    </row>
    <row r="6915" spans="1:16" ht="19.5" hidden="1" thickBot="1" x14ac:dyDescent="0.3">
      <c r="A6915" s="1066">
        <f>MAX(A6846:A6914)+1</f>
        <v>4305</v>
      </c>
      <c r="B6915" s="531" t="s">
        <v>1864</v>
      </c>
      <c r="C6915" s="532" t="s">
        <v>26</v>
      </c>
      <c r="D6915" s="533">
        <v>14.837</v>
      </c>
      <c r="E6915" s="534">
        <v>11.698</v>
      </c>
      <c r="F6915" s="535" t="s">
        <v>16</v>
      </c>
      <c r="G6915" s="536"/>
      <c r="H6915" s="535" t="s">
        <v>1903</v>
      </c>
      <c r="I6915" s="537" t="s">
        <v>1903</v>
      </c>
      <c r="J6915" s="538"/>
      <c r="K6915" s="535" t="str">
        <f t="shared" si="206"/>
        <v>08,26</v>
      </c>
      <c r="L6915" s="535" t="s">
        <v>265</v>
      </c>
      <c r="M6915" s="535">
        <v>14972.180000000002</v>
      </c>
      <c r="N6915" s="539">
        <v>0.375</v>
      </c>
      <c r="O6915" s="897" t="s">
        <v>1913</v>
      </c>
      <c r="P6915" s="867" t="s">
        <v>1960</v>
      </c>
    </row>
    <row r="6916" spans="1:16" ht="19.5" hidden="1" thickBot="1" x14ac:dyDescent="0.3">
      <c r="A6916" s="1068"/>
      <c r="B6916" s="905" t="s">
        <v>1903</v>
      </c>
      <c r="C6916" s="906" t="s">
        <v>26</v>
      </c>
      <c r="D6916" s="907">
        <v>0.7</v>
      </c>
      <c r="E6916" s="907">
        <v>0.71899999999999997</v>
      </c>
      <c r="F6916" s="908" t="s">
        <v>16</v>
      </c>
      <c r="G6916" s="909" t="s">
        <v>76</v>
      </c>
      <c r="H6916" s="908" t="s">
        <v>1903</v>
      </c>
      <c r="I6916" s="908" t="s">
        <v>1903</v>
      </c>
      <c r="J6916" s="910"/>
      <c r="K6916" s="908" t="str">
        <f t="shared" si="206"/>
        <v>08,26</v>
      </c>
      <c r="L6916" s="908" t="s">
        <v>265</v>
      </c>
      <c r="M6916" s="908">
        <v>720</v>
      </c>
      <c r="N6916" s="571">
        <v>0.375</v>
      </c>
      <c r="O6916" s="897" t="s">
        <v>1949</v>
      </c>
      <c r="P6916" s="867" t="s">
        <v>1961</v>
      </c>
    </row>
    <row r="6917" spans="1:16" ht="19.5" hidden="1" thickBot="1" x14ac:dyDescent="0.3">
      <c r="A6917" s="1068"/>
      <c r="B6917" s="905" t="s">
        <v>1903</v>
      </c>
      <c r="C6917" s="906" t="s">
        <v>26</v>
      </c>
      <c r="D6917" s="907">
        <v>3.1</v>
      </c>
      <c r="E6917" s="907">
        <v>2.7789999999999999</v>
      </c>
      <c r="F6917" s="908" t="s">
        <v>16</v>
      </c>
      <c r="G6917" s="909" t="s">
        <v>76</v>
      </c>
      <c r="H6917" s="908" t="s">
        <v>1903</v>
      </c>
      <c r="I6917" s="908" t="s">
        <v>1903</v>
      </c>
      <c r="J6917" s="910"/>
      <c r="K6917" s="908" t="str">
        <f t="shared" si="206"/>
        <v>08,26</v>
      </c>
      <c r="L6917" s="908" t="s">
        <v>265</v>
      </c>
      <c r="M6917" s="908">
        <v>3120</v>
      </c>
      <c r="N6917" s="571">
        <v>0.375</v>
      </c>
      <c r="O6917" s="897" t="s">
        <v>1950</v>
      </c>
      <c r="P6917" s="867" t="s">
        <v>1962</v>
      </c>
    </row>
    <row r="6918" spans="1:16" ht="19.5" hidden="1" thickBot="1" x14ac:dyDescent="0.3">
      <c r="A6918" s="1068"/>
      <c r="B6918" s="563" t="s">
        <v>1864</v>
      </c>
      <c r="C6918" s="564" t="s">
        <v>952</v>
      </c>
      <c r="D6918" s="565">
        <v>2.3929999999999998</v>
      </c>
      <c r="E6918" s="566">
        <v>2.3180000000000001</v>
      </c>
      <c r="F6918" s="567" t="s">
        <v>16</v>
      </c>
      <c r="G6918" s="568" t="s">
        <v>844</v>
      </c>
      <c r="H6918" s="567" t="s">
        <v>1903</v>
      </c>
      <c r="I6918" s="569" t="s">
        <v>1903</v>
      </c>
      <c r="J6918" s="570"/>
      <c r="K6918" s="567" t="str">
        <f t="shared" si="206"/>
        <v>08,26</v>
      </c>
      <c r="L6918" s="567" t="s">
        <v>265</v>
      </c>
      <c r="M6918" s="567">
        <v>2490.54</v>
      </c>
      <c r="N6918" s="571">
        <v>0.375</v>
      </c>
      <c r="O6918" s="897" t="s">
        <v>1916</v>
      </c>
      <c r="P6918" s="867" t="s">
        <v>1963</v>
      </c>
    </row>
    <row r="6919" spans="1:16" ht="19.5" hidden="1" thickBot="1" x14ac:dyDescent="0.3">
      <c r="A6919" s="1067"/>
      <c r="B6919" s="636" t="s">
        <v>1864</v>
      </c>
      <c r="C6919" s="637" t="s">
        <v>952</v>
      </c>
      <c r="D6919" s="656">
        <v>4.8000000000000001E-2</v>
      </c>
      <c r="E6919" s="639">
        <v>5.8000000000000003E-2</v>
      </c>
      <c r="F6919" s="640" t="s">
        <v>16</v>
      </c>
      <c r="G6919" s="641" t="s">
        <v>845</v>
      </c>
      <c r="H6919" s="640" t="s">
        <v>1903</v>
      </c>
      <c r="I6919" s="642" t="s">
        <v>1903</v>
      </c>
      <c r="J6919" s="643"/>
      <c r="K6919" s="640" t="str">
        <f t="shared" si="206"/>
        <v>08,26</v>
      </c>
      <c r="L6919" s="640" t="s">
        <v>265</v>
      </c>
      <c r="M6919" s="640">
        <v>57.12</v>
      </c>
      <c r="N6919" s="644">
        <v>0.375</v>
      </c>
      <c r="O6919" s="897" t="s">
        <v>1914</v>
      </c>
      <c r="P6919" s="867" t="s">
        <v>1964</v>
      </c>
    </row>
    <row r="6920" spans="1:16" ht="19.5" hidden="1" thickBot="1" x14ac:dyDescent="0.3">
      <c r="A6920" s="1062">
        <f>MAX(A6849:A6919)+1</f>
        <v>4306</v>
      </c>
      <c r="B6920" s="610" t="s">
        <v>1864</v>
      </c>
      <c r="C6920" s="480" t="s">
        <v>23</v>
      </c>
      <c r="D6920" s="481">
        <v>17.588999999999999</v>
      </c>
      <c r="E6920" s="482">
        <v>15.727</v>
      </c>
      <c r="F6920" s="483" t="s">
        <v>16</v>
      </c>
      <c r="G6920" s="899"/>
      <c r="H6920" s="483" t="s">
        <v>1903</v>
      </c>
      <c r="I6920" s="484" t="s">
        <v>1903</v>
      </c>
      <c r="J6920" s="485"/>
      <c r="K6920" s="483" t="str">
        <f t="shared" si="206"/>
        <v>08,26</v>
      </c>
      <c r="L6920" s="483" t="s">
        <v>28</v>
      </c>
      <c r="M6920" s="483">
        <v>17697.579999999998</v>
      </c>
      <c r="N6920" s="486">
        <v>0.41666666666666669</v>
      </c>
      <c r="O6920" s="897" t="s">
        <v>1915</v>
      </c>
      <c r="P6920" s="867" t="s">
        <v>1981</v>
      </c>
    </row>
    <row r="6921" spans="1:16" ht="19.5" hidden="1" thickBot="1" x14ac:dyDescent="0.3">
      <c r="A6921" s="1072"/>
      <c r="B6921" s="792" t="s">
        <v>1903</v>
      </c>
      <c r="C6921" s="793" t="s">
        <v>23</v>
      </c>
      <c r="D6921" s="794">
        <v>2</v>
      </c>
      <c r="E6921" s="794">
        <v>0.80700000000000005</v>
      </c>
      <c r="F6921" s="795" t="s">
        <v>16</v>
      </c>
      <c r="G6921" s="903" t="s">
        <v>76</v>
      </c>
      <c r="H6921" s="795" t="s">
        <v>1903</v>
      </c>
      <c r="I6921" s="795" t="s">
        <v>1903</v>
      </c>
      <c r="J6921" s="797"/>
      <c r="K6921" s="795" t="str">
        <f t="shared" si="206"/>
        <v>08,26</v>
      </c>
      <c r="L6921" s="795" t="s">
        <v>28</v>
      </c>
      <c r="M6921" s="795">
        <v>2011.7999999999997</v>
      </c>
      <c r="N6921" s="502">
        <v>0.41666666666666669</v>
      </c>
      <c r="O6921" s="897" t="s">
        <v>1953</v>
      </c>
      <c r="P6921" s="867" t="s">
        <v>1982</v>
      </c>
    </row>
    <row r="6922" spans="1:16" ht="19.5" hidden="1" thickBot="1" x14ac:dyDescent="0.3">
      <c r="A6922" s="1063"/>
      <c r="B6922" s="805" t="s">
        <v>1892</v>
      </c>
      <c r="C6922" s="806" t="s">
        <v>23</v>
      </c>
      <c r="D6922" s="807">
        <v>1</v>
      </c>
      <c r="E6922" s="807">
        <v>1.0129999999999999</v>
      </c>
      <c r="F6922" s="808" t="s">
        <v>16</v>
      </c>
      <c r="G6922" s="902" t="s">
        <v>76</v>
      </c>
      <c r="H6922" s="808" t="s">
        <v>1903</v>
      </c>
      <c r="I6922" s="808" t="s">
        <v>1903</v>
      </c>
      <c r="J6922" s="810"/>
      <c r="K6922" s="808" t="str">
        <f t="shared" si="206"/>
        <v>08,26</v>
      </c>
      <c r="L6922" s="808" t="s">
        <v>28</v>
      </c>
      <c r="M6922" s="808">
        <v>1009.2</v>
      </c>
      <c r="N6922" s="778">
        <v>0.41666666666666669</v>
      </c>
      <c r="O6922" s="897" t="s">
        <v>1948</v>
      </c>
      <c r="P6922" s="867" t="s">
        <v>1983</v>
      </c>
    </row>
    <row r="6923" spans="1:16" ht="19.5" hidden="1" thickBot="1" x14ac:dyDescent="0.3">
      <c r="A6923" s="503">
        <f>MAX(A6850:A6920)+1</f>
        <v>4307</v>
      </c>
      <c r="B6923" s="504" t="s">
        <v>1891</v>
      </c>
      <c r="C6923" s="505" t="s">
        <v>26</v>
      </c>
      <c r="D6923" s="506">
        <v>14.951000000000001</v>
      </c>
      <c r="E6923" s="507">
        <v>14.951000000000001</v>
      </c>
      <c r="F6923" s="508" t="s">
        <v>30</v>
      </c>
      <c r="G6923" s="509"/>
      <c r="H6923" s="508" t="s">
        <v>1926</v>
      </c>
      <c r="I6923" s="510" t="s">
        <v>1928</v>
      </c>
      <c r="J6923" s="511"/>
      <c r="K6923" s="508" t="str">
        <f t="shared" si="206"/>
        <v>08,26</v>
      </c>
      <c r="L6923" s="508" t="s">
        <v>265</v>
      </c>
      <c r="M6923" s="508">
        <v>14951.8</v>
      </c>
      <c r="N6923" s="512">
        <v>0.375</v>
      </c>
      <c r="O6923" s="897" t="s">
        <v>1927</v>
      </c>
      <c r="P6923" s="867" t="s">
        <v>2014</v>
      </c>
    </row>
    <row r="6924" spans="1:16" ht="19.5" hidden="1" thickBot="1" x14ac:dyDescent="0.3">
      <c r="A6924" s="1062">
        <f>MAX(A6851:A6923)+1</f>
        <v>4308</v>
      </c>
      <c r="B6924" s="610" t="s">
        <v>1891</v>
      </c>
      <c r="C6924" s="480" t="s">
        <v>26</v>
      </c>
      <c r="D6924" s="481">
        <v>17.448</v>
      </c>
      <c r="E6924" s="482">
        <v>13.516999999999999</v>
      </c>
      <c r="F6924" s="483" t="s">
        <v>16</v>
      </c>
      <c r="G6924" s="899"/>
      <c r="H6924" s="483" t="s">
        <v>1926</v>
      </c>
      <c r="I6924" s="484" t="s">
        <v>1926</v>
      </c>
      <c r="J6924" s="485"/>
      <c r="K6924" s="483" t="str">
        <f t="shared" si="206"/>
        <v>08,26</v>
      </c>
      <c r="L6924" s="483" t="s">
        <v>265</v>
      </c>
      <c r="M6924" s="483">
        <v>17579.580000000002</v>
      </c>
      <c r="N6924" s="486">
        <v>0.375</v>
      </c>
      <c r="O6924" s="897" t="s">
        <v>1929</v>
      </c>
      <c r="P6924" s="867" t="s">
        <v>1994</v>
      </c>
    </row>
    <row r="6925" spans="1:16" ht="19.5" hidden="1" thickBot="1" x14ac:dyDescent="0.3">
      <c r="A6925" s="1063"/>
      <c r="B6925" s="805" t="s">
        <v>1903</v>
      </c>
      <c r="C6925" s="806" t="s">
        <v>26</v>
      </c>
      <c r="D6925" s="807">
        <v>3.85</v>
      </c>
      <c r="E6925" s="807">
        <v>3.8929999999999998</v>
      </c>
      <c r="F6925" s="808" t="s">
        <v>16</v>
      </c>
      <c r="G6925" s="902" t="s">
        <v>76</v>
      </c>
      <c r="H6925" s="808" t="s">
        <v>1926</v>
      </c>
      <c r="I6925" s="808" t="s">
        <v>1926</v>
      </c>
      <c r="J6925" s="810"/>
      <c r="K6925" s="808" t="str">
        <f t="shared" ref="K6925:K6990" si="208">RIGHT(I6925,5)</f>
        <v>08,26</v>
      </c>
      <c r="L6925" s="808" t="s">
        <v>265</v>
      </c>
      <c r="M6925" s="808">
        <v>3870</v>
      </c>
      <c r="N6925" s="778">
        <v>0.375</v>
      </c>
      <c r="O6925" s="897" t="s">
        <v>1951</v>
      </c>
      <c r="P6925" s="867" t="s">
        <v>1995</v>
      </c>
    </row>
    <row r="6926" spans="1:16" ht="19.5" hidden="1" thickBot="1" x14ac:dyDescent="0.3">
      <c r="A6926" s="1059">
        <f>MAX(A6852:A6925)+1</f>
        <v>4309</v>
      </c>
      <c r="B6926" s="759" t="s">
        <v>1891</v>
      </c>
      <c r="C6926" s="532" t="s">
        <v>26</v>
      </c>
      <c r="D6926" s="533">
        <v>17.43</v>
      </c>
      <c r="E6926" s="534">
        <v>13.782999999999999</v>
      </c>
      <c r="F6926" s="535" t="s">
        <v>16</v>
      </c>
      <c r="G6926" s="898"/>
      <c r="H6926" s="535" t="s">
        <v>1926</v>
      </c>
      <c r="I6926" s="537" t="s">
        <v>1926</v>
      </c>
      <c r="J6926" s="538"/>
      <c r="K6926" s="535" t="str">
        <f t="shared" si="208"/>
        <v>08,26</v>
      </c>
      <c r="L6926" s="567" t="s">
        <v>265</v>
      </c>
      <c r="M6926" s="567">
        <v>17560.620000000003</v>
      </c>
      <c r="N6926" s="571">
        <v>0.41666666666666669</v>
      </c>
      <c r="O6926" s="897" t="s">
        <v>1933</v>
      </c>
      <c r="P6926" s="867" t="s">
        <v>1998</v>
      </c>
    </row>
    <row r="6927" spans="1:16" ht="19.5" hidden="1" thickBot="1" x14ac:dyDescent="0.3">
      <c r="A6927" s="1061"/>
      <c r="B6927" s="798" t="s">
        <v>1903</v>
      </c>
      <c r="C6927" s="799" t="s">
        <v>26</v>
      </c>
      <c r="D6927" s="800">
        <v>3.7</v>
      </c>
      <c r="E6927" s="800">
        <v>3.738</v>
      </c>
      <c r="F6927" s="801" t="s">
        <v>16</v>
      </c>
      <c r="G6927" s="942" t="s">
        <v>76</v>
      </c>
      <c r="H6927" s="801" t="s">
        <v>1926</v>
      </c>
      <c r="I6927" s="801" t="s">
        <v>1926</v>
      </c>
      <c r="J6927" s="803"/>
      <c r="K6927" s="801" t="str">
        <f t="shared" si="208"/>
        <v>08,26</v>
      </c>
      <c r="L6927" s="801" t="s">
        <v>265</v>
      </c>
      <c r="M6927" s="801">
        <v>3720</v>
      </c>
      <c r="N6927" s="804">
        <v>0.41666666666666669</v>
      </c>
      <c r="O6927" s="897" t="s">
        <v>1952</v>
      </c>
      <c r="P6927" s="867" t="s">
        <v>1999</v>
      </c>
    </row>
    <row r="6928" spans="1:16" ht="19.5" hidden="1" thickBot="1" x14ac:dyDescent="0.3">
      <c r="A6928" s="1062">
        <f>MAX(A6853:A6927)+1</f>
        <v>4310</v>
      </c>
      <c r="B6928" s="610" t="s">
        <v>1891</v>
      </c>
      <c r="C6928" s="480" t="s">
        <v>480</v>
      </c>
      <c r="D6928" s="481">
        <v>6.08</v>
      </c>
      <c r="E6928" s="482">
        <v>4.9889999999999999</v>
      </c>
      <c r="F6928" s="483" t="s">
        <v>16</v>
      </c>
      <c r="G6928" s="549"/>
      <c r="H6928" s="483" t="s">
        <v>1926</v>
      </c>
      <c r="I6928" s="484" t="s">
        <v>1926</v>
      </c>
      <c r="J6928" s="485"/>
      <c r="K6928" s="483" t="str">
        <f t="shared" si="208"/>
        <v>08,26</v>
      </c>
      <c r="L6928" s="483" t="s">
        <v>266</v>
      </c>
      <c r="M6928" s="483">
        <v>6141.4000000000015</v>
      </c>
      <c r="N6928" s="486">
        <v>0.45833333333333331</v>
      </c>
      <c r="O6928" s="897" t="s">
        <v>1937</v>
      </c>
      <c r="P6928" s="867" t="s">
        <v>2000</v>
      </c>
    </row>
    <row r="6929" spans="1:18" ht="19.5" hidden="1" thickBot="1" x14ac:dyDescent="0.3">
      <c r="A6929" s="1072"/>
      <c r="B6929" s="769" t="s">
        <v>1891</v>
      </c>
      <c r="C6929" s="764" t="s">
        <v>913</v>
      </c>
      <c r="D6929" s="765">
        <v>2.2989999999999999</v>
      </c>
      <c r="E6929" s="766">
        <v>2.1219999999999999</v>
      </c>
      <c r="F6929" s="763" t="s">
        <v>16</v>
      </c>
      <c r="G6929" s="767"/>
      <c r="H6929" s="763" t="s">
        <v>1926</v>
      </c>
      <c r="I6929" s="768" t="s">
        <v>1926</v>
      </c>
      <c r="J6929" s="779"/>
      <c r="K6929" s="763" t="str">
        <f t="shared" si="208"/>
        <v>08,26</v>
      </c>
      <c r="L6929" s="763" t="s">
        <v>266</v>
      </c>
      <c r="M6929" s="763">
        <v>2316.8000000000002</v>
      </c>
      <c r="N6929" s="770">
        <v>0.45833333333333331</v>
      </c>
      <c r="O6929" s="897" t="s">
        <v>1936</v>
      </c>
      <c r="P6929" s="867" t="s">
        <v>2001</v>
      </c>
    </row>
    <row r="6930" spans="1:18" ht="19.5" hidden="1" thickBot="1" x14ac:dyDescent="0.3">
      <c r="A6930" s="1072"/>
      <c r="B6930" s="769" t="s">
        <v>1891</v>
      </c>
      <c r="C6930" s="764" t="s">
        <v>23</v>
      </c>
      <c r="D6930" s="765">
        <v>9.0180000000000007</v>
      </c>
      <c r="E6930" s="766">
        <v>7.9450000000000003</v>
      </c>
      <c r="F6930" s="763" t="s">
        <v>16</v>
      </c>
      <c r="G6930" s="767"/>
      <c r="H6930" s="763" t="s">
        <v>1926</v>
      </c>
      <c r="I6930" s="768" t="s">
        <v>1926</v>
      </c>
      <c r="J6930" s="779"/>
      <c r="K6930" s="763" t="str">
        <f t="shared" si="208"/>
        <v>08,26</v>
      </c>
      <c r="L6930" s="763" t="s">
        <v>28</v>
      </c>
      <c r="M6930" s="763">
        <v>9080.2800000000007</v>
      </c>
      <c r="N6930" s="770">
        <v>0.45833333333333331</v>
      </c>
      <c r="O6930" s="897" t="s">
        <v>1935</v>
      </c>
      <c r="P6930" s="867" t="s">
        <v>2002</v>
      </c>
    </row>
    <row r="6931" spans="1:18" ht="19.5" hidden="1" thickBot="1" x14ac:dyDescent="0.3">
      <c r="A6931" s="1063"/>
      <c r="B6931" s="841" t="s">
        <v>1926</v>
      </c>
      <c r="C6931" s="842" t="s">
        <v>23</v>
      </c>
      <c r="D6931" s="843">
        <v>2.48</v>
      </c>
      <c r="E6931" s="843">
        <v>2.5059999999999998</v>
      </c>
      <c r="F6931" s="844" t="s">
        <v>16</v>
      </c>
      <c r="G6931" s="851" t="s">
        <v>76</v>
      </c>
      <c r="H6931" s="844" t="s">
        <v>1926</v>
      </c>
      <c r="I6931" s="844" t="s">
        <v>1926</v>
      </c>
      <c r="J6931" s="845"/>
      <c r="K6931" s="844" t="str">
        <f t="shared" si="208"/>
        <v>08,26</v>
      </c>
      <c r="L6931" s="844" t="s">
        <v>28</v>
      </c>
      <c r="M6931" s="844">
        <v>2497.62</v>
      </c>
      <c r="N6931" s="846">
        <v>0.45833333333333331</v>
      </c>
      <c r="O6931" s="897" t="s">
        <v>1988</v>
      </c>
      <c r="P6931" s="867" t="s">
        <v>2003</v>
      </c>
    </row>
    <row r="6932" spans="1:18" ht="19.5" hidden="1" thickBot="1" x14ac:dyDescent="0.3">
      <c r="A6932" s="1059">
        <f>MAX(A6856:A6931)+1</f>
        <v>4311</v>
      </c>
      <c r="B6932" s="759" t="s">
        <v>1891</v>
      </c>
      <c r="C6932" s="532" t="s">
        <v>23</v>
      </c>
      <c r="D6932" s="533">
        <v>17.013999999999999</v>
      </c>
      <c r="E6932" s="534"/>
      <c r="F6932" s="535" t="s">
        <v>16</v>
      </c>
      <c r="G6932" s="1080" t="s">
        <v>1634</v>
      </c>
      <c r="H6932" s="535" t="s">
        <v>1926</v>
      </c>
      <c r="I6932" s="537" t="s">
        <v>1928</v>
      </c>
      <c r="J6932" s="538"/>
      <c r="K6932" s="535" t="str">
        <f t="shared" si="208"/>
        <v>08,26</v>
      </c>
      <c r="L6932" s="535" t="s">
        <v>28</v>
      </c>
      <c r="M6932" s="535">
        <v>17161.580000000002</v>
      </c>
      <c r="N6932" s="539">
        <v>0.5</v>
      </c>
      <c r="O6932" s="897" t="s">
        <v>1938</v>
      </c>
      <c r="P6932" s="867" t="s">
        <v>2027</v>
      </c>
    </row>
    <row r="6933" spans="1:18" ht="19.5" hidden="1" thickBot="1" x14ac:dyDescent="0.3">
      <c r="A6933" s="1060"/>
      <c r="B6933" s="813" t="s">
        <v>1928</v>
      </c>
      <c r="C6933" s="814" t="s">
        <v>23</v>
      </c>
      <c r="D6933" s="815">
        <v>1</v>
      </c>
      <c r="E6933" s="815"/>
      <c r="F6933" s="816" t="s">
        <v>16</v>
      </c>
      <c r="G6933" s="1102"/>
      <c r="H6933" s="816" t="s">
        <v>1926</v>
      </c>
      <c r="I6933" s="816" t="s">
        <v>1928</v>
      </c>
      <c r="J6933" s="818"/>
      <c r="K6933" s="816" t="str">
        <f t="shared" si="208"/>
        <v>08,26</v>
      </c>
      <c r="L6933" s="816" t="s">
        <v>28</v>
      </c>
      <c r="M6933" s="816">
        <v>1005</v>
      </c>
      <c r="N6933" s="811">
        <v>0.5</v>
      </c>
      <c r="O6933" s="897" t="s">
        <v>2004</v>
      </c>
      <c r="P6933" s="867" t="s">
        <v>2030</v>
      </c>
    </row>
    <row r="6934" spans="1:18" ht="19.5" hidden="1" thickBot="1" x14ac:dyDescent="0.3">
      <c r="A6934" s="1060"/>
      <c r="B6934" s="813" t="s">
        <v>1928</v>
      </c>
      <c r="C6934" s="814" t="s">
        <v>23</v>
      </c>
      <c r="D6934" s="815">
        <v>0.56999999999999995</v>
      </c>
      <c r="E6934" s="815"/>
      <c r="F6934" s="816" t="s">
        <v>16</v>
      </c>
      <c r="G6934" s="1102"/>
      <c r="H6934" s="816" t="s">
        <v>1926</v>
      </c>
      <c r="I6934" s="816" t="s">
        <v>1928</v>
      </c>
      <c r="J6934" s="818"/>
      <c r="K6934" s="816" t="str">
        <f t="shared" si="208"/>
        <v>08,26</v>
      </c>
      <c r="L6934" s="816" t="s">
        <v>28</v>
      </c>
      <c r="M6934" s="816">
        <v>570</v>
      </c>
      <c r="N6934" s="811">
        <v>0.5</v>
      </c>
      <c r="O6934" s="897" t="s">
        <v>2005</v>
      </c>
      <c r="P6934" s="867" t="s">
        <v>2029</v>
      </c>
    </row>
    <row r="6935" spans="1:18" ht="19.5" hidden="1" thickBot="1" x14ac:dyDescent="0.3">
      <c r="A6935" s="1061"/>
      <c r="B6935" s="785" t="s">
        <v>1926</v>
      </c>
      <c r="C6935" s="786" t="s">
        <v>23</v>
      </c>
      <c r="D6935" s="787">
        <v>2.08</v>
      </c>
      <c r="E6935" s="787"/>
      <c r="F6935" s="788" t="s">
        <v>16</v>
      </c>
      <c r="G6935" s="1081"/>
      <c r="H6935" s="788" t="s">
        <v>1926</v>
      </c>
      <c r="I6935" s="788" t="s">
        <v>1928</v>
      </c>
      <c r="J6935" s="790"/>
      <c r="K6935" s="788" t="str">
        <f t="shared" si="208"/>
        <v>08,26</v>
      </c>
      <c r="L6935" s="788" t="s">
        <v>28</v>
      </c>
      <c r="M6935" s="788">
        <v>2100</v>
      </c>
      <c r="N6935" s="784">
        <v>0.5</v>
      </c>
      <c r="O6935" s="897" t="s">
        <v>1987</v>
      </c>
      <c r="P6935" s="867" t="s">
        <v>2028</v>
      </c>
    </row>
    <row r="6936" spans="1:18" ht="19.5" hidden="1" thickBot="1" x14ac:dyDescent="0.3">
      <c r="A6936" s="1062">
        <f>MAX(A6857:A6935)+1</f>
        <v>4312</v>
      </c>
      <c r="B6936" s="523" t="s">
        <v>1891</v>
      </c>
      <c r="C6936" s="524" t="s">
        <v>587</v>
      </c>
      <c r="D6936" s="525">
        <v>3.03</v>
      </c>
      <c r="E6936" s="526">
        <v>3.03</v>
      </c>
      <c r="F6936" s="527" t="s">
        <v>30</v>
      </c>
      <c r="G6936" s="561" t="s">
        <v>23</v>
      </c>
      <c r="H6936" s="527" t="s">
        <v>1926</v>
      </c>
      <c r="I6936" s="528" t="s">
        <v>1926</v>
      </c>
      <c r="J6936" s="529"/>
      <c r="K6936" s="527" t="str">
        <f t="shared" si="208"/>
        <v>08,26</v>
      </c>
      <c r="L6936" s="527" t="s">
        <v>28</v>
      </c>
      <c r="M6936" s="527">
        <v>3030.72</v>
      </c>
      <c r="N6936" s="530">
        <v>0.41666666666666669</v>
      </c>
      <c r="O6936" s="897" t="s">
        <v>1931</v>
      </c>
      <c r="P6936" s="867" t="s">
        <v>1996</v>
      </c>
    </row>
    <row r="6937" spans="1:18" ht="19.5" hidden="1" thickBot="1" x14ac:dyDescent="0.3">
      <c r="A6937" s="1063"/>
      <c r="B6937" s="645" t="s">
        <v>1891</v>
      </c>
      <c r="C6937" s="646" t="s">
        <v>23</v>
      </c>
      <c r="D6937" s="647">
        <v>8.9640000000000004</v>
      </c>
      <c r="E6937" s="648">
        <v>8.9640000000000004</v>
      </c>
      <c r="F6937" s="649" t="s">
        <v>30</v>
      </c>
      <c r="G6937" s="650"/>
      <c r="H6937" s="649" t="s">
        <v>1926</v>
      </c>
      <c r="I6937" s="651" t="s">
        <v>1926</v>
      </c>
      <c r="J6937" s="652"/>
      <c r="K6937" s="649" t="str">
        <f t="shared" si="208"/>
        <v>08,26</v>
      </c>
      <c r="L6937" s="649" t="s">
        <v>28</v>
      </c>
      <c r="M6937" s="649">
        <v>8964.840000000002</v>
      </c>
      <c r="N6937" s="653">
        <v>0.41666666666666669</v>
      </c>
      <c r="O6937" s="897" t="s">
        <v>1930</v>
      </c>
      <c r="P6937" s="867" t="s">
        <v>1997</v>
      </c>
    </row>
    <row r="6938" spans="1:18" ht="19.5" hidden="1" thickBot="1" x14ac:dyDescent="0.3">
      <c r="A6938" s="503">
        <f>MAX(A6858:A6937)+1</f>
        <v>4313</v>
      </c>
      <c r="B6938" s="933" t="s">
        <v>1891</v>
      </c>
      <c r="C6938" s="934" t="s">
        <v>32</v>
      </c>
      <c r="D6938" s="935">
        <v>17.8</v>
      </c>
      <c r="E6938" s="936" t="s">
        <v>1496</v>
      </c>
      <c r="F6938" s="937" t="s">
        <v>16</v>
      </c>
      <c r="G6938" s="938"/>
      <c r="H6938" s="937" t="s">
        <v>1926</v>
      </c>
      <c r="I6938" s="939" t="s">
        <v>1496</v>
      </c>
      <c r="J6938" s="940"/>
      <c r="K6938" s="937" t="str">
        <f t="shared" si="208"/>
        <v>тмена</v>
      </c>
      <c r="L6938" s="937" t="s">
        <v>266</v>
      </c>
      <c r="M6938" s="937">
        <v>17807.399999999998</v>
      </c>
      <c r="N6938" s="941">
        <v>0.58333333333333337</v>
      </c>
      <c r="O6938" s="920" t="s">
        <v>1945</v>
      </c>
      <c r="P6938" s="921" t="s">
        <v>1024</v>
      </c>
    </row>
    <row r="6939" spans="1:18" ht="19.5" hidden="1" thickBot="1" x14ac:dyDescent="0.3">
      <c r="A6939" s="1062">
        <f>MAX(A6859:A6938)+1</f>
        <v>4314</v>
      </c>
      <c r="B6939" s="610" t="s">
        <v>1891</v>
      </c>
      <c r="C6939" s="480" t="s">
        <v>26</v>
      </c>
      <c r="D6939" s="481">
        <v>17.48</v>
      </c>
      <c r="E6939" s="482">
        <v>14.175000000000001</v>
      </c>
      <c r="F6939" s="483" t="s">
        <v>16</v>
      </c>
      <c r="G6939" s="899"/>
      <c r="H6939" s="483" t="s">
        <v>1928</v>
      </c>
      <c r="I6939" s="484" t="s">
        <v>1928</v>
      </c>
      <c r="J6939" s="485"/>
      <c r="K6939" s="483" t="str">
        <f t="shared" si="208"/>
        <v>08,26</v>
      </c>
      <c r="L6939" s="483" t="s">
        <v>265</v>
      </c>
      <c r="M6939" s="483">
        <v>17644.68</v>
      </c>
      <c r="N6939" s="486">
        <v>0.375</v>
      </c>
      <c r="O6939" s="897" t="s">
        <v>1932</v>
      </c>
      <c r="P6939" s="867" t="s">
        <v>2020</v>
      </c>
    </row>
    <row r="6940" spans="1:18" ht="19.5" hidden="1" thickBot="1" x14ac:dyDescent="0.3">
      <c r="A6940" s="1063"/>
      <c r="B6940" s="805" t="s">
        <v>1926</v>
      </c>
      <c r="C6940" s="806" t="s">
        <v>26</v>
      </c>
      <c r="D6940" s="807">
        <v>3.52</v>
      </c>
      <c r="E6940" s="807">
        <v>3.585</v>
      </c>
      <c r="F6940" s="808" t="s">
        <v>16</v>
      </c>
      <c r="G6940" s="902" t="s">
        <v>76</v>
      </c>
      <c r="H6940" s="808" t="s">
        <v>1928</v>
      </c>
      <c r="I6940" s="808" t="s">
        <v>1928</v>
      </c>
      <c r="J6940" s="810"/>
      <c r="K6940" s="808" t="str">
        <f t="shared" si="208"/>
        <v>08,26</v>
      </c>
      <c r="L6940" s="808" t="s">
        <v>265</v>
      </c>
      <c r="M6940" s="808">
        <v>3555</v>
      </c>
      <c r="N6940" s="778">
        <v>0.375</v>
      </c>
      <c r="O6940" s="897" t="s">
        <v>1992</v>
      </c>
      <c r="P6940" s="867" t="s">
        <v>2021</v>
      </c>
    </row>
    <row r="6941" spans="1:18" ht="19.5" hidden="1" thickBot="1" x14ac:dyDescent="0.3">
      <c r="A6941" s="1059">
        <f>MAX(A6860:A6939)+1</f>
        <v>4315</v>
      </c>
      <c r="B6941" s="759" t="s">
        <v>1891</v>
      </c>
      <c r="C6941" s="532" t="s">
        <v>26</v>
      </c>
      <c r="D6941" s="533">
        <v>17.454999999999998</v>
      </c>
      <c r="E6941" s="534">
        <v>14.146000000000001</v>
      </c>
      <c r="F6941" s="535" t="s">
        <v>16</v>
      </c>
      <c r="G6941" s="898"/>
      <c r="H6941" s="535" t="s">
        <v>1928</v>
      </c>
      <c r="I6941" s="537" t="s">
        <v>1928</v>
      </c>
      <c r="J6941" s="538"/>
      <c r="K6941" s="535" t="str">
        <f t="shared" si="208"/>
        <v>08,26</v>
      </c>
      <c r="L6941" s="567" t="s">
        <v>265</v>
      </c>
      <c r="M6941" s="567">
        <v>17646.919999999998</v>
      </c>
      <c r="N6941" s="571">
        <v>0.41666666666666669</v>
      </c>
      <c r="O6941" s="897" t="s">
        <v>1934</v>
      </c>
      <c r="P6941" s="867" t="s">
        <v>2018</v>
      </c>
    </row>
    <row r="6942" spans="1:18" ht="19.5" hidden="1" thickBot="1" x14ac:dyDescent="0.3">
      <c r="A6942" s="1061"/>
      <c r="B6942" s="798" t="s">
        <v>1926</v>
      </c>
      <c r="C6942" s="799" t="s">
        <v>26</v>
      </c>
      <c r="D6942" s="800">
        <v>3.5</v>
      </c>
      <c r="E6942" s="800">
        <v>3.5590000000000002</v>
      </c>
      <c r="F6942" s="801" t="s">
        <v>16</v>
      </c>
      <c r="G6942" s="942" t="s">
        <v>76</v>
      </c>
      <c r="H6942" s="801" t="s">
        <v>1928</v>
      </c>
      <c r="I6942" s="801" t="s">
        <v>1928</v>
      </c>
      <c r="J6942" s="803"/>
      <c r="K6942" s="801" t="str">
        <f t="shared" si="208"/>
        <v>08,26</v>
      </c>
      <c r="L6942" s="801" t="s">
        <v>265</v>
      </c>
      <c r="M6942" s="801">
        <v>3540</v>
      </c>
      <c r="N6942" s="804">
        <v>0.41666666666666669</v>
      </c>
      <c r="O6942" s="897" t="s">
        <v>1993</v>
      </c>
      <c r="P6942" s="867" t="s">
        <v>2019</v>
      </c>
    </row>
    <row r="6943" spans="1:18" ht="19.5" hidden="1" thickBot="1" x14ac:dyDescent="0.3">
      <c r="A6943" s="1073">
        <f>MAX(A6861:A6941)+1</f>
        <v>4316</v>
      </c>
      <c r="B6943" s="610" t="s">
        <v>1891</v>
      </c>
      <c r="C6943" s="480" t="s">
        <v>15</v>
      </c>
      <c r="D6943" s="481">
        <v>6.5579999999999998</v>
      </c>
      <c r="E6943" s="482">
        <v>5.5830000000000002</v>
      </c>
      <c r="F6943" s="483" t="s">
        <v>16</v>
      </c>
      <c r="G6943" s="1075" t="s">
        <v>1724</v>
      </c>
      <c r="H6943" s="483" t="s">
        <v>1928</v>
      </c>
      <c r="I6943" s="484" t="s">
        <v>1984</v>
      </c>
      <c r="J6943" s="485"/>
      <c r="K6943" s="483" t="str">
        <f t="shared" si="208"/>
        <v>08,26</v>
      </c>
      <c r="L6943" s="483" t="s">
        <v>28</v>
      </c>
      <c r="M6943" s="483">
        <v>6694.68</v>
      </c>
      <c r="N6943" s="486">
        <v>0.45833333333333331</v>
      </c>
      <c r="O6943" s="897" t="s">
        <v>1939</v>
      </c>
      <c r="P6943" s="867" t="s">
        <v>2022</v>
      </c>
      <c r="R6943" s="943"/>
    </row>
    <row r="6944" spans="1:18" ht="19.5" hidden="1" thickBot="1" x14ac:dyDescent="0.3">
      <c r="A6944" s="1077"/>
      <c r="B6944" s="769" t="s">
        <v>1891</v>
      </c>
      <c r="C6944" s="764" t="s">
        <v>24</v>
      </c>
      <c r="D6944" s="765">
        <v>9.4920000000000009</v>
      </c>
      <c r="E6944" s="766">
        <v>7.3079999999999998</v>
      </c>
      <c r="F6944" s="763" t="s">
        <v>16</v>
      </c>
      <c r="G6944" s="1078"/>
      <c r="H6944" s="763" t="s">
        <v>1928</v>
      </c>
      <c r="I6944" s="768" t="s">
        <v>1984</v>
      </c>
      <c r="J6944" s="779"/>
      <c r="K6944" s="763" t="str">
        <f t="shared" si="208"/>
        <v>08,26</v>
      </c>
      <c r="L6944" s="763" t="s">
        <v>28</v>
      </c>
      <c r="M6944" s="763">
        <v>9667.34</v>
      </c>
      <c r="N6944" s="770">
        <v>0.45833333333333331</v>
      </c>
      <c r="O6944" s="897" t="s">
        <v>1941</v>
      </c>
      <c r="P6944" s="867" t="s">
        <v>2023</v>
      </c>
    </row>
    <row r="6945" spans="1:18" ht="19.5" hidden="1" thickBot="1" x14ac:dyDescent="0.3">
      <c r="A6945" s="1077"/>
      <c r="B6945" s="841" t="s">
        <v>1928</v>
      </c>
      <c r="C6945" s="842" t="s">
        <v>15</v>
      </c>
      <c r="D6945" s="843">
        <v>1.5</v>
      </c>
      <c r="E6945" s="843">
        <v>1.512</v>
      </c>
      <c r="F6945" s="844" t="s">
        <v>16</v>
      </c>
      <c r="G6945" s="1079"/>
      <c r="H6945" s="844" t="s">
        <v>1928</v>
      </c>
      <c r="I6945" s="844" t="s">
        <v>1984</v>
      </c>
      <c r="J6945" s="845"/>
      <c r="K6945" s="844" t="str">
        <f t="shared" si="208"/>
        <v>08,26</v>
      </c>
      <c r="L6945" s="844" t="s">
        <v>28</v>
      </c>
      <c r="M6945" s="844">
        <v>1515</v>
      </c>
      <c r="N6945" s="770">
        <v>0.45833333333333331</v>
      </c>
      <c r="O6945" s="897" t="s">
        <v>2013</v>
      </c>
      <c r="P6945" s="867" t="s">
        <v>2024</v>
      </c>
    </row>
    <row r="6946" spans="1:18" ht="19.5" hidden="1" thickBot="1" x14ac:dyDescent="0.3">
      <c r="A6946" s="1077"/>
      <c r="B6946" s="841" t="s">
        <v>1928</v>
      </c>
      <c r="C6946" s="842" t="s">
        <v>24</v>
      </c>
      <c r="D6946" s="843">
        <v>1.3</v>
      </c>
      <c r="E6946" s="843">
        <v>1.3069999999999999</v>
      </c>
      <c r="F6946" s="844" t="s">
        <v>16</v>
      </c>
      <c r="G6946" s="1079"/>
      <c r="H6946" s="844" t="s">
        <v>1928</v>
      </c>
      <c r="I6946" s="844" t="s">
        <v>1984</v>
      </c>
      <c r="J6946" s="845"/>
      <c r="K6946" s="844" t="str">
        <f t="shared" si="208"/>
        <v>08,26</v>
      </c>
      <c r="L6946" s="844" t="s">
        <v>28</v>
      </c>
      <c r="M6946" s="844">
        <v>1305</v>
      </c>
      <c r="N6946" s="770">
        <v>0.45833333333333331</v>
      </c>
      <c r="O6946" s="897" t="s">
        <v>2011</v>
      </c>
      <c r="P6946" s="867" t="s">
        <v>2025</v>
      </c>
    </row>
    <row r="6947" spans="1:18" ht="19.5" hidden="1" thickBot="1" x14ac:dyDescent="0.3">
      <c r="A6947" s="1074"/>
      <c r="B6947" s="805" t="s">
        <v>1926</v>
      </c>
      <c r="C6947" s="806" t="s">
        <v>24</v>
      </c>
      <c r="D6947" s="807">
        <v>0.48</v>
      </c>
      <c r="E6947" s="807">
        <v>0.46700000000000003</v>
      </c>
      <c r="F6947" s="808" t="s">
        <v>16</v>
      </c>
      <c r="G6947" s="1076"/>
      <c r="H6947" s="808" t="s">
        <v>1928</v>
      </c>
      <c r="I6947" s="808" t="s">
        <v>1984</v>
      </c>
      <c r="J6947" s="810"/>
      <c r="K6947" s="808" t="str">
        <f t="shared" si="208"/>
        <v>08,26</v>
      </c>
      <c r="L6947" s="808" t="s">
        <v>28</v>
      </c>
      <c r="M6947" s="808">
        <v>486</v>
      </c>
      <c r="N6947" s="778">
        <v>0.45833333333333331</v>
      </c>
      <c r="O6947" s="897" t="s">
        <v>1990</v>
      </c>
      <c r="P6947" s="867" t="s">
        <v>2026</v>
      </c>
    </row>
    <row r="6948" spans="1:18" ht="19.5" hidden="1" thickBot="1" x14ac:dyDescent="0.3">
      <c r="A6948" s="1059">
        <f>MAX(A6863:A6947)+1</f>
        <v>4317</v>
      </c>
      <c r="B6948" s="760" t="s">
        <v>1891</v>
      </c>
      <c r="C6948" s="564" t="s">
        <v>47</v>
      </c>
      <c r="D6948" s="565">
        <v>16.506</v>
      </c>
      <c r="E6948" s="566">
        <v>13.561</v>
      </c>
      <c r="F6948" s="567" t="s">
        <v>16</v>
      </c>
      <c r="G6948" s="1102" t="s">
        <v>1633</v>
      </c>
      <c r="H6948" s="567" t="s">
        <v>1928</v>
      </c>
      <c r="I6948" s="569" t="s">
        <v>1928</v>
      </c>
      <c r="J6948" s="570"/>
      <c r="K6948" s="567" t="str">
        <f t="shared" si="208"/>
        <v>08,26</v>
      </c>
      <c r="L6948" s="567" t="s">
        <v>28</v>
      </c>
      <c r="M6948" s="567">
        <v>16702.310000000001</v>
      </c>
      <c r="N6948" s="571">
        <v>0.5</v>
      </c>
      <c r="O6948" s="897" t="s">
        <v>1940</v>
      </c>
      <c r="P6948" s="867" t="s">
        <v>2015</v>
      </c>
      <c r="R6948" s="943"/>
    </row>
    <row r="6949" spans="1:18" ht="19.5" hidden="1" thickBot="1" x14ac:dyDescent="0.3">
      <c r="A6949" s="1060"/>
      <c r="B6949" s="852" t="s">
        <v>1928</v>
      </c>
      <c r="C6949" s="837" t="s">
        <v>47</v>
      </c>
      <c r="D6949" s="838">
        <v>2.1</v>
      </c>
      <c r="E6949" s="838">
        <v>2.0990000000000002</v>
      </c>
      <c r="F6949" s="839" t="s">
        <v>16</v>
      </c>
      <c r="G6949" s="1102"/>
      <c r="H6949" s="839" t="s">
        <v>1928</v>
      </c>
      <c r="I6949" s="839" t="s">
        <v>1928</v>
      </c>
      <c r="J6949" s="840"/>
      <c r="K6949" s="839" t="str">
        <f t="shared" si="208"/>
        <v>08,26</v>
      </c>
      <c r="L6949" s="839" t="s">
        <v>28</v>
      </c>
      <c r="M6949" s="839">
        <v>2100</v>
      </c>
      <c r="N6949" s="598">
        <v>0.5</v>
      </c>
      <c r="O6949" s="897" t="s">
        <v>2012</v>
      </c>
      <c r="P6949" s="867" t="s">
        <v>2016</v>
      </c>
      <c r="R6949" s="943"/>
    </row>
    <row r="6950" spans="1:18" ht="19.5" hidden="1" thickBot="1" x14ac:dyDescent="0.3">
      <c r="A6950" s="1061"/>
      <c r="B6950" s="785" t="s">
        <v>1926</v>
      </c>
      <c r="C6950" s="786" t="s">
        <v>47</v>
      </c>
      <c r="D6950" s="787">
        <v>1.05</v>
      </c>
      <c r="E6950" s="787">
        <v>1.052</v>
      </c>
      <c r="F6950" s="788" t="s">
        <v>16</v>
      </c>
      <c r="G6950" s="1081"/>
      <c r="H6950" s="788" t="s">
        <v>1928</v>
      </c>
      <c r="I6950" s="788" t="s">
        <v>1928</v>
      </c>
      <c r="J6950" s="790"/>
      <c r="K6950" s="788" t="str">
        <f t="shared" si="208"/>
        <v>08,26</v>
      </c>
      <c r="L6950" s="788" t="s">
        <v>28</v>
      </c>
      <c r="M6950" s="788">
        <v>1053</v>
      </c>
      <c r="N6950" s="784">
        <v>0.5</v>
      </c>
      <c r="O6950" s="897" t="s">
        <v>1989</v>
      </c>
      <c r="P6950" s="867" t="s">
        <v>2017</v>
      </c>
    </row>
    <row r="6951" spans="1:18" ht="19.5" hidden="1" thickBot="1" x14ac:dyDescent="0.3">
      <c r="A6951" s="1062">
        <f>MAX(A6864:A6948)+1</f>
        <v>4318</v>
      </c>
      <c r="B6951" s="479" t="s">
        <v>1926</v>
      </c>
      <c r="C6951" s="480" t="s">
        <v>55</v>
      </c>
      <c r="D6951" s="481">
        <v>2.66</v>
      </c>
      <c r="E6951" s="482">
        <v>1.94</v>
      </c>
      <c r="F6951" s="483" t="s">
        <v>16</v>
      </c>
      <c r="G6951" s="549" t="s">
        <v>844</v>
      </c>
      <c r="H6951" s="483" t="s">
        <v>1984</v>
      </c>
      <c r="I6951" s="484" t="s">
        <v>2006</v>
      </c>
      <c r="J6951" s="485"/>
      <c r="K6951" s="483" t="str">
        <f t="shared" si="208"/>
        <v>08,26</v>
      </c>
      <c r="L6951" s="483" t="s">
        <v>266</v>
      </c>
      <c r="M6951" s="483">
        <v>2721.37</v>
      </c>
      <c r="N6951" s="486">
        <v>0.5</v>
      </c>
      <c r="O6951" s="897" t="s">
        <v>1985</v>
      </c>
      <c r="P6951" s="867" t="s">
        <v>2047</v>
      </c>
    </row>
    <row r="6952" spans="1:18" ht="19.5" hidden="1" thickBot="1" x14ac:dyDescent="0.3">
      <c r="A6952" s="1063"/>
      <c r="B6952" s="645" t="s">
        <v>1926</v>
      </c>
      <c r="C6952" s="646" t="s">
        <v>55</v>
      </c>
      <c r="D6952" s="647">
        <v>13.019</v>
      </c>
      <c r="E6952" s="648">
        <v>6.6310000000000002</v>
      </c>
      <c r="F6952" s="649" t="s">
        <v>16</v>
      </c>
      <c r="G6952" s="650" t="s">
        <v>845</v>
      </c>
      <c r="H6952" s="649" t="s">
        <v>1984</v>
      </c>
      <c r="I6952" s="651" t="s">
        <v>2006</v>
      </c>
      <c r="J6952" s="652"/>
      <c r="K6952" s="649" t="str">
        <f t="shared" si="208"/>
        <v>08,26</v>
      </c>
      <c r="L6952" s="649" t="s">
        <v>266</v>
      </c>
      <c r="M6952" s="649">
        <v>13142.089999999997</v>
      </c>
      <c r="N6952" s="653">
        <v>0.5</v>
      </c>
      <c r="O6952" s="897" t="s">
        <v>1986</v>
      </c>
      <c r="P6952" s="867" t="s">
        <v>2048</v>
      </c>
    </row>
    <row r="6953" spans="1:18" ht="19.5" hidden="1" thickBot="1" x14ac:dyDescent="0.3">
      <c r="A6953" s="551">
        <f t="shared" ref="A6953:A6958" si="209">MAX(A6866:A6952)+1</f>
        <v>4319</v>
      </c>
      <c r="B6953" s="552" t="s">
        <v>1926</v>
      </c>
      <c r="C6953" s="553" t="s">
        <v>47</v>
      </c>
      <c r="D6953" s="554">
        <v>13.087999999999999</v>
      </c>
      <c r="E6953" s="555">
        <v>13.073</v>
      </c>
      <c r="F6953" s="556" t="s">
        <v>30</v>
      </c>
      <c r="G6953" s="557"/>
      <c r="H6953" s="556" t="s">
        <v>1984</v>
      </c>
      <c r="I6953" s="558" t="s">
        <v>2049</v>
      </c>
      <c r="J6953" s="559"/>
      <c r="K6953" s="556" t="str">
        <f t="shared" si="208"/>
        <v>08,26</v>
      </c>
      <c r="L6953" s="556" t="s">
        <v>28</v>
      </c>
      <c r="M6953" s="556">
        <v>13088.68</v>
      </c>
      <c r="N6953" s="560">
        <v>0.41666666666666669</v>
      </c>
      <c r="O6953" s="897" t="s">
        <v>1991</v>
      </c>
      <c r="P6953" s="867" t="s">
        <v>2112</v>
      </c>
    </row>
    <row r="6954" spans="1:18" ht="19.5" hidden="1" thickBot="1" x14ac:dyDescent="0.3">
      <c r="A6954" s="513">
        <f t="shared" si="209"/>
        <v>4320</v>
      </c>
      <c r="B6954" s="514" t="s">
        <v>1928</v>
      </c>
      <c r="C6954" s="515" t="s">
        <v>32</v>
      </c>
      <c r="D6954" s="516">
        <v>17.887</v>
      </c>
      <c r="E6954" s="517">
        <v>15.691000000000001</v>
      </c>
      <c r="F6954" s="518" t="s">
        <v>16</v>
      </c>
      <c r="G6954" s="519"/>
      <c r="H6954" s="518" t="s">
        <v>2006</v>
      </c>
      <c r="I6954" s="520" t="s">
        <v>2006</v>
      </c>
      <c r="J6954" s="521"/>
      <c r="K6954" s="518" t="str">
        <f t="shared" si="208"/>
        <v>08,26</v>
      </c>
      <c r="L6954" s="518" t="s">
        <v>266</v>
      </c>
      <c r="M6954" s="518">
        <v>18069.04</v>
      </c>
      <c r="N6954" s="522">
        <v>0.41666666666666669</v>
      </c>
      <c r="O6954" s="897" t="s">
        <v>2009</v>
      </c>
      <c r="P6954" s="867" t="s">
        <v>2056</v>
      </c>
    </row>
    <row r="6955" spans="1:18" ht="19.5" hidden="1" thickBot="1" x14ac:dyDescent="0.3">
      <c r="A6955" s="503">
        <f t="shared" si="209"/>
        <v>4321</v>
      </c>
      <c r="B6955" s="504" t="s">
        <v>1928</v>
      </c>
      <c r="C6955" s="505" t="s">
        <v>32</v>
      </c>
      <c r="D6955" s="506">
        <v>17.949000000000002</v>
      </c>
      <c r="E6955" s="507">
        <v>17.603000000000002</v>
      </c>
      <c r="F6955" s="508" t="s">
        <v>16</v>
      </c>
      <c r="G6955" s="509"/>
      <c r="H6955" s="508" t="s">
        <v>2006</v>
      </c>
      <c r="I6955" s="510" t="s">
        <v>2031</v>
      </c>
      <c r="J6955" s="511"/>
      <c r="K6955" s="508" t="str">
        <f t="shared" si="208"/>
        <v>08,26</v>
      </c>
      <c r="L6955" s="508" t="s">
        <v>266</v>
      </c>
      <c r="M6955" s="508">
        <v>18036.810000000001</v>
      </c>
      <c r="N6955" s="512">
        <v>0.45833333333333331</v>
      </c>
      <c r="O6955" s="897" t="s">
        <v>2007</v>
      </c>
      <c r="P6955" s="867" t="s">
        <v>2058</v>
      </c>
    </row>
    <row r="6956" spans="1:18" ht="19.5" hidden="1" thickBot="1" x14ac:dyDescent="0.3">
      <c r="A6956" s="513">
        <f t="shared" si="209"/>
        <v>4322</v>
      </c>
      <c r="B6956" s="663" t="s">
        <v>1928</v>
      </c>
      <c r="C6956" s="664" t="s">
        <v>32</v>
      </c>
      <c r="D6956" s="665">
        <v>17.5</v>
      </c>
      <c r="E6956" s="666" t="s">
        <v>1496</v>
      </c>
      <c r="F6956" s="667" t="s">
        <v>16</v>
      </c>
      <c r="G6956" s="668"/>
      <c r="H6956" s="667" t="s">
        <v>2006</v>
      </c>
      <c r="I6956" s="669" t="s">
        <v>1496</v>
      </c>
      <c r="J6956" s="670"/>
      <c r="K6956" s="667" t="str">
        <f t="shared" si="208"/>
        <v>тмена</v>
      </c>
      <c r="L6956" s="667" t="s">
        <v>266</v>
      </c>
      <c r="M6956" s="667">
        <v>17503.2</v>
      </c>
      <c r="N6956" s="671">
        <v>0.5</v>
      </c>
      <c r="O6956" s="920" t="s">
        <v>2008</v>
      </c>
      <c r="P6956" s="921" t="s">
        <v>1024</v>
      </c>
    </row>
    <row r="6957" spans="1:18" ht="19.5" hidden="1" thickBot="1" x14ac:dyDescent="0.3">
      <c r="A6957" s="551">
        <f t="shared" si="209"/>
        <v>4323</v>
      </c>
      <c r="B6957" s="552" t="s">
        <v>1928</v>
      </c>
      <c r="C6957" s="553" t="s">
        <v>848</v>
      </c>
      <c r="D6957" s="554">
        <v>18.02</v>
      </c>
      <c r="E6957" s="555">
        <v>15.821999999999999</v>
      </c>
      <c r="F6957" s="556" t="s">
        <v>16</v>
      </c>
      <c r="G6957" s="557"/>
      <c r="H6957" s="556" t="s">
        <v>2006</v>
      </c>
      <c r="I6957" s="558" t="s">
        <v>2031</v>
      </c>
      <c r="J6957" s="559"/>
      <c r="K6957" s="556" t="str">
        <f t="shared" si="208"/>
        <v>08,26</v>
      </c>
      <c r="L6957" s="556" t="s">
        <v>266</v>
      </c>
      <c r="M6957" s="556">
        <v>18177.039999999997</v>
      </c>
      <c r="N6957" s="560">
        <v>0.54166666666666663</v>
      </c>
      <c r="O6957" s="897" t="s">
        <v>2010</v>
      </c>
      <c r="P6957" s="867" t="s">
        <v>2057</v>
      </c>
    </row>
    <row r="6958" spans="1:18" ht="19.5" hidden="1" thickBot="1" x14ac:dyDescent="0.3">
      <c r="A6958" s="1062">
        <f t="shared" si="209"/>
        <v>4324</v>
      </c>
      <c r="B6958" s="610" t="s">
        <v>1984</v>
      </c>
      <c r="C6958" s="480" t="s">
        <v>26</v>
      </c>
      <c r="D6958" s="481">
        <v>17</v>
      </c>
      <c r="E6958" s="482">
        <v>12.427</v>
      </c>
      <c r="F6958" s="483" t="s">
        <v>16</v>
      </c>
      <c r="G6958" s="899"/>
      <c r="H6958" s="483" t="s">
        <v>2031</v>
      </c>
      <c r="I6958" s="484" t="s">
        <v>2031</v>
      </c>
      <c r="J6958" s="485"/>
      <c r="K6958" s="483" t="str">
        <f t="shared" si="208"/>
        <v>08,26</v>
      </c>
      <c r="L6958" s="483" t="s">
        <v>265</v>
      </c>
      <c r="M6958" s="483">
        <v>17009.400000000001</v>
      </c>
      <c r="N6958" s="486">
        <v>0.375</v>
      </c>
      <c r="O6958" s="897" t="s">
        <v>2032</v>
      </c>
      <c r="P6958" s="867" t="s">
        <v>2089</v>
      </c>
    </row>
    <row r="6959" spans="1:18" ht="19.5" hidden="1" thickBot="1" x14ac:dyDescent="0.3">
      <c r="A6959" s="1072"/>
      <c r="B6959" s="792" t="s">
        <v>2031</v>
      </c>
      <c r="C6959" s="793" t="s">
        <v>26</v>
      </c>
      <c r="D6959" s="794">
        <v>2.38</v>
      </c>
      <c r="E6959" s="794">
        <v>2.3860000000000001</v>
      </c>
      <c r="F6959" s="795" t="s">
        <v>16</v>
      </c>
      <c r="G6959" s="903" t="s">
        <v>76</v>
      </c>
      <c r="H6959" s="795" t="s">
        <v>2031</v>
      </c>
      <c r="I6959" s="795" t="s">
        <v>2031</v>
      </c>
      <c r="J6959" s="797"/>
      <c r="K6959" s="795" t="str">
        <f t="shared" si="208"/>
        <v>08,26</v>
      </c>
      <c r="L6959" s="795" t="s">
        <v>265</v>
      </c>
      <c r="M6959" s="795">
        <v>2385</v>
      </c>
      <c r="N6959" s="502">
        <v>0.375</v>
      </c>
      <c r="O6959" s="897" t="s">
        <v>2080</v>
      </c>
      <c r="P6959" s="867" t="s">
        <v>2090</v>
      </c>
    </row>
    <row r="6960" spans="1:18" ht="19.5" hidden="1" thickBot="1" x14ac:dyDescent="0.3">
      <c r="A6960" s="1063"/>
      <c r="B6960" s="805" t="s">
        <v>2031</v>
      </c>
      <c r="C6960" s="806" t="s">
        <v>26</v>
      </c>
      <c r="D6960" s="807">
        <v>2.4</v>
      </c>
      <c r="E6960" s="807">
        <v>2.4060000000000001</v>
      </c>
      <c r="F6960" s="808" t="s">
        <v>16</v>
      </c>
      <c r="G6960" s="902" t="s">
        <v>76</v>
      </c>
      <c r="H6960" s="808" t="s">
        <v>2031</v>
      </c>
      <c r="I6960" s="808" t="s">
        <v>2031</v>
      </c>
      <c r="J6960" s="810"/>
      <c r="K6960" s="808" t="str">
        <f t="shared" si="208"/>
        <v>08,26</v>
      </c>
      <c r="L6960" s="808" t="s">
        <v>265</v>
      </c>
      <c r="M6960" s="808">
        <v>2400</v>
      </c>
      <c r="N6960" s="778">
        <v>0.375</v>
      </c>
      <c r="O6960" s="897" t="s">
        <v>2059</v>
      </c>
      <c r="P6960" s="867" t="s">
        <v>2091</v>
      </c>
    </row>
    <row r="6961" spans="1:16" ht="19.5" hidden="1" thickBot="1" x14ac:dyDescent="0.3">
      <c r="A6961" s="1059">
        <f>MAX(A6872:A6960)+1</f>
        <v>4325</v>
      </c>
      <c r="B6961" s="759" t="s">
        <v>1984</v>
      </c>
      <c r="C6961" s="532" t="s">
        <v>26</v>
      </c>
      <c r="D6961" s="533">
        <v>17.47</v>
      </c>
      <c r="E6961" s="534">
        <v>12.959</v>
      </c>
      <c r="F6961" s="535" t="s">
        <v>16</v>
      </c>
      <c r="G6961" s="898"/>
      <c r="H6961" s="535" t="s">
        <v>2031</v>
      </c>
      <c r="I6961" s="537" t="s">
        <v>2031</v>
      </c>
      <c r="J6961" s="538"/>
      <c r="K6961" s="535" t="str">
        <f t="shared" si="208"/>
        <v>08,26</v>
      </c>
      <c r="L6961" s="567" t="s">
        <v>265</v>
      </c>
      <c r="M6961" s="567">
        <v>17628.839999999997</v>
      </c>
      <c r="N6961" s="571">
        <v>0.41666666666666669</v>
      </c>
      <c r="O6961" s="897" t="s">
        <v>2033</v>
      </c>
      <c r="P6961" s="867" t="s">
        <v>2060</v>
      </c>
    </row>
    <row r="6962" spans="1:16" ht="19.5" hidden="1" thickBot="1" x14ac:dyDescent="0.3">
      <c r="A6962" s="1061"/>
      <c r="B6962" s="798" t="s">
        <v>2006</v>
      </c>
      <c r="C6962" s="799" t="s">
        <v>26</v>
      </c>
      <c r="D6962" s="800">
        <v>4.5999999999999996</v>
      </c>
      <c r="E6962" s="800">
        <v>4.6369999999999996</v>
      </c>
      <c r="F6962" s="801" t="s">
        <v>16</v>
      </c>
      <c r="G6962" s="942" t="s">
        <v>76</v>
      </c>
      <c r="H6962" s="801" t="s">
        <v>2031</v>
      </c>
      <c r="I6962" s="801" t="s">
        <v>2031</v>
      </c>
      <c r="J6962" s="803"/>
      <c r="K6962" s="801" t="str">
        <f t="shared" si="208"/>
        <v>08,26</v>
      </c>
      <c r="L6962" s="801" t="s">
        <v>265</v>
      </c>
      <c r="M6962" s="801">
        <v>4620</v>
      </c>
      <c r="N6962" s="804">
        <v>0.41666666666666669</v>
      </c>
      <c r="O6962" s="897" t="s">
        <v>2055</v>
      </c>
      <c r="P6962" s="867" t="s">
        <v>2061</v>
      </c>
    </row>
    <row r="6963" spans="1:16" ht="19.5" hidden="1" thickBot="1" x14ac:dyDescent="0.3">
      <c r="A6963" s="1062">
        <f>MAX(A6873:A6962)+1</f>
        <v>4326</v>
      </c>
      <c r="B6963" s="479" t="s">
        <v>1984</v>
      </c>
      <c r="C6963" s="480" t="s">
        <v>981</v>
      </c>
      <c r="D6963" s="481">
        <v>4.726</v>
      </c>
      <c r="E6963" s="482">
        <v>4.2030000000000003</v>
      </c>
      <c r="F6963" s="483" t="s">
        <v>16</v>
      </c>
      <c r="G6963" s="549" t="s">
        <v>844</v>
      </c>
      <c r="H6963" s="483" t="s">
        <v>2031</v>
      </c>
      <c r="I6963" s="484" t="s">
        <v>2049</v>
      </c>
      <c r="J6963" s="485"/>
      <c r="K6963" s="483" t="str">
        <f t="shared" si="208"/>
        <v>08,26</v>
      </c>
      <c r="L6963" s="483" t="s">
        <v>266</v>
      </c>
      <c r="M6963" s="483">
        <v>4727.74</v>
      </c>
      <c r="N6963" s="486">
        <v>0.45833333333333331</v>
      </c>
      <c r="O6963" s="897" t="s">
        <v>2036</v>
      </c>
      <c r="P6963" s="867" t="s">
        <v>2092</v>
      </c>
    </row>
    <row r="6964" spans="1:16" ht="19.5" hidden="1" thickBot="1" x14ac:dyDescent="0.3">
      <c r="A6964" s="1072"/>
      <c r="B6964" s="911" t="s">
        <v>1984</v>
      </c>
      <c r="C6964" s="912" t="s">
        <v>981</v>
      </c>
      <c r="D6964" s="913">
        <v>2</v>
      </c>
      <c r="E6964" s="914" t="s">
        <v>1496</v>
      </c>
      <c r="F6964" s="915" t="s">
        <v>16</v>
      </c>
      <c r="G6964" s="916" t="s">
        <v>845</v>
      </c>
      <c r="H6964" s="915" t="s">
        <v>2031</v>
      </c>
      <c r="I6964" s="917" t="s">
        <v>1496</v>
      </c>
      <c r="J6964" s="918"/>
      <c r="K6964" s="915" t="str">
        <f t="shared" si="208"/>
        <v>тмена</v>
      </c>
      <c r="L6964" s="915" t="s">
        <v>266</v>
      </c>
      <c r="M6964" s="915">
        <v>2004.6</v>
      </c>
      <c r="N6964" s="919">
        <v>0.45833333333333331</v>
      </c>
      <c r="O6964" s="920" t="s">
        <v>2035</v>
      </c>
      <c r="P6964" s="921" t="s">
        <v>1024</v>
      </c>
    </row>
    <row r="6965" spans="1:16" ht="19.5" hidden="1" thickBot="1" x14ac:dyDescent="0.3">
      <c r="A6965" s="1072"/>
      <c r="B6965" s="523" t="s">
        <v>1984</v>
      </c>
      <c r="C6965" s="524" t="s">
        <v>41</v>
      </c>
      <c r="D6965" s="525">
        <v>4.5149999999999997</v>
      </c>
      <c r="E6965" s="526">
        <v>2.3849999999999998</v>
      </c>
      <c r="F6965" s="527" t="s">
        <v>16</v>
      </c>
      <c r="G6965" s="561" t="s">
        <v>844</v>
      </c>
      <c r="H6965" s="527" t="s">
        <v>2031</v>
      </c>
      <c r="I6965" s="528" t="s">
        <v>2049</v>
      </c>
      <c r="J6965" s="529"/>
      <c r="K6965" s="527" t="str">
        <f t="shared" si="208"/>
        <v>08,26</v>
      </c>
      <c r="L6965" s="527" t="s">
        <v>266</v>
      </c>
      <c r="M6965" s="527">
        <v>4606.380000000001</v>
      </c>
      <c r="N6965" s="530">
        <v>0.45833333333333331</v>
      </c>
      <c r="O6965" s="897" t="s">
        <v>2039</v>
      </c>
      <c r="P6965" s="867" t="s">
        <v>2118</v>
      </c>
    </row>
    <row r="6966" spans="1:16" ht="19.5" hidden="1" thickBot="1" x14ac:dyDescent="0.3">
      <c r="A6966" s="1072"/>
      <c r="B6966" s="911" t="s">
        <v>1984</v>
      </c>
      <c r="C6966" s="912" t="s">
        <v>41</v>
      </c>
      <c r="D6966" s="913">
        <v>5</v>
      </c>
      <c r="E6966" s="914" t="s">
        <v>1496</v>
      </c>
      <c r="F6966" s="915" t="s">
        <v>16</v>
      </c>
      <c r="G6966" s="916" t="s">
        <v>845</v>
      </c>
      <c r="H6966" s="915" t="s">
        <v>2031</v>
      </c>
      <c r="I6966" s="917" t="s">
        <v>1496</v>
      </c>
      <c r="J6966" s="918"/>
      <c r="K6966" s="915" t="str">
        <f t="shared" si="208"/>
        <v>тмена</v>
      </c>
      <c r="L6966" s="915" t="s">
        <v>266</v>
      </c>
      <c r="M6966" s="915">
        <v>5007.5999999999995</v>
      </c>
      <c r="N6966" s="919">
        <v>0.45833333333333331</v>
      </c>
      <c r="O6966" s="920" t="s">
        <v>2037</v>
      </c>
      <c r="P6966" s="921" t="s">
        <v>1024</v>
      </c>
    </row>
    <row r="6967" spans="1:16" ht="19.5" hidden="1" thickBot="1" x14ac:dyDescent="0.3">
      <c r="A6967" s="1063"/>
      <c r="B6967" s="645" t="s">
        <v>1984</v>
      </c>
      <c r="C6967" s="646" t="s">
        <v>32</v>
      </c>
      <c r="D6967" s="647">
        <v>3.9649999999999999</v>
      </c>
      <c r="E6967" s="648">
        <v>4.4029999999999996</v>
      </c>
      <c r="F6967" s="649" t="s">
        <v>16</v>
      </c>
      <c r="G6967" s="650" t="s">
        <v>1702</v>
      </c>
      <c r="H6967" s="649" t="s">
        <v>2031</v>
      </c>
      <c r="I6967" s="651" t="s">
        <v>2049</v>
      </c>
      <c r="J6967" s="652"/>
      <c r="K6967" s="649" t="str">
        <f t="shared" si="208"/>
        <v>08,26</v>
      </c>
      <c r="L6967" s="649" t="s">
        <v>266</v>
      </c>
      <c r="M6967" s="649">
        <v>3968.3</v>
      </c>
      <c r="N6967" s="653">
        <v>0.45833333333333331</v>
      </c>
      <c r="O6967" s="897" t="s">
        <v>2038</v>
      </c>
      <c r="P6967" s="867" t="s">
        <v>2119</v>
      </c>
    </row>
    <row r="6968" spans="1:16" ht="19.5" hidden="1" thickBot="1" x14ac:dyDescent="0.3">
      <c r="A6968" s="1059">
        <f>MAX(A6878:A6967)+1</f>
        <v>4327</v>
      </c>
      <c r="B6968" s="759" t="s">
        <v>1984</v>
      </c>
      <c r="C6968" s="532" t="s">
        <v>26</v>
      </c>
      <c r="D6968" s="533">
        <v>17.405000000000001</v>
      </c>
      <c r="E6968" s="534">
        <v>12.760999999999999</v>
      </c>
      <c r="F6968" s="535" t="s">
        <v>16</v>
      </c>
      <c r="G6968" s="898"/>
      <c r="H6968" s="535" t="s">
        <v>2034</v>
      </c>
      <c r="I6968" s="537" t="s">
        <v>2034</v>
      </c>
      <c r="J6968" s="538"/>
      <c r="K6968" s="535" t="str">
        <f t="shared" si="208"/>
        <v>08,26</v>
      </c>
      <c r="L6968" s="567" t="s">
        <v>265</v>
      </c>
      <c r="M6968" s="567">
        <v>17570.419999999998</v>
      </c>
      <c r="N6968" s="571">
        <v>0.375</v>
      </c>
      <c r="O6968" s="897" t="s">
        <v>2040</v>
      </c>
      <c r="P6968" s="867" t="s">
        <v>2093</v>
      </c>
    </row>
    <row r="6969" spans="1:16" ht="19.5" hidden="1" thickBot="1" x14ac:dyDescent="0.3">
      <c r="A6969" s="1061"/>
      <c r="B6969" s="798" t="s">
        <v>2031</v>
      </c>
      <c r="C6969" s="799" t="s">
        <v>26</v>
      </c>
      <c r="D6969" s="800">
        <v>4.4000000000000004</v>
      </c>
      <c r="E6969" s="800">
        <v>4.423</v>
      </c>
      <c r="F6969" s="801" t="s">
        <v>16</v>
      </c>
      <c r="G6969" s="942" t="s">
        <v>76</v>
      </c>
      <c r="H6969" s="801" t="s">
        <v>2034</v>
      </c>
      <c r="I6969" s="801" t="s">
        <v>2034</v>
      </c>
      <c r="J6969" s="803"/>
      <c r="K6969" s="801" t="str">
        <f t="shared" si="208"/>
        <v>08,26</v>
      </c>
      <c r="L6969" s="801" t="s">
        <v>265</v>
      </c>
      <c r="M6969" s="801">
        <v>4422.6000000000004</v>
      </c>
      <c r="N6969" s="804">
        <v>0.375</v>
      </c>
      <c r="O6969" s="897" t="s">
        <v>2081</v>
      </c>
      <c r="P6969" s="867" t="s">
        <v>2094</v>
      </c>
    </row>
    <row r="6970" spans="1:16" ht="19.5" hidden="1" thickBot="1" x14ac:dyDescent="0.3">
      <c r="A6970" s="1062">
        <f>MAX(A6879:A6969)+1</f>
        <v>4328</v>
      </c>
      <c r="B6970" s="479" t="s">
        <v>1984</v>
      </c>
      <c r="C6970" s="480" t="s">
        <v>15</v>
      </c>
      <c r="D6970" s="481">
        <v>4.8869999999999996</v>
      </c>
      <c r="E6970" s="482">
        <v>2.452</v>
      </c>
      <c r="F6970" s="483" t="s">
        <v>16</v>
      </c>
      <c r="G6970" s="549"/>
      <c r="H6970" s="483" t="s">
        <v>2034</v>
      </c>
      <c r="I6970" s="484" t="s">
        <v>2049</v>
      </c>
      <c r="J6970" s="485"/>
      <c r="K6970" s="483" t="str">
        <f t="shared" si="208"/>
        <v>08,26</v>
      </c>
      <c r="L6970" s="483" t="s">
        <v>28</v>
      </c>
      <c r="M6970" s="483">
        <v>5035.8899999999994</v>
      </c>
      <c r="N6970" s="486">
        <v>0.41666666666666669</v>
      </c>
      <c r="O6970" s="897" t="s">
        <v>2041</v>
      </c>
      <c r="P6970" s="867" t="s">
        <v>2105</v>
      </c>
    </row>
    <row r="6971" spans="1:16" ht="19.5" hidden="1" thickBot="1" x14ac:dyDescent="0.3">
      <c r="A6971" s="1072"/>
      <c r="B6971" s="523" t="s">
        <v>1984</v>
      </c>
      <c r="C6971" s="524" t="s">
        <v>24</v>
      </c>
      <c r="D6971" s="525">
        <v>3.7</v>
      </c>
      <c r="E6971" s="526">
        <v>2.4820000000000002</v>
      </c>
      <c r="F6971" s="527" t="s">
        <v>16</v>
      </c>
      <c r="G6971" s="561"/>
      <c r="H6971" s="527" t="s">
        <v>2034</v>
      </c>
      <c r="I6971" s="528" t="s">
        <v>2049</v>
      </c>
      <c r="J6971" s="529"/>
      <c r="K6971" s="527" t="str">
        <f t="shared" si="208"/>
        <v>08,26</v>
      </c>
      <c r="L6971" s="527" t="s">
        <v>28</v>
      </c>
      <c r="M6971" s="527">
        <v>3810.32</v>
      </c>
      <c r="N6971" s="530">
        <v>0.41666666666666669</v>
      </c>
      <c r="O6971" s="897" t="s">
        <v>2043</v>
      </c>
      <c r="P6971" s="867" t="s">
        <v>2106</v>
      </c>
    </row>
    <row r="6972" spans="1:16" ht="19.5" hidden="1" thickBot="1" x14ac:dyDescent="0.3">
      <c r="A6972" s="1072"/>
      <c r="B6972" s="523" t="s">
        <v>1984</v>
      </c>
      <c r="C6972" s="524" t="s">
        <v>764</v>
      </c>
      <c r="D6972" s="525">
        <v>9.1</v>
      </c>
      <c r="E6972" s="526">
        <v>8.8829999999999991</v>
      </c>
      <c r="F6972" s="527" t="s">
        <v>16</v>
      </c>
      <c r="G6972" s="561"/>
      <c r="H6972" s="527" t="s">
        <v>2034</v>
      </c>
      <c r="I6972" s="528" t="s">
        <v>2049</v>
      </c>
      <c r="J6972" s="529"/>
      <c r="K6972" s="527" t="str">
        <f t="shared" si="208"/>
        <v>08,26</v>
      </c>
      <c r="L6972" s="527" t="s">
        <v>28</v>
      </c>
      <c r="M6972" s="527">
        <v>9153.0000000000018</v>
      </c>
      <c r="N6972" s="530">
        <v>0.41666666666666669</v>
      </c>
      <c r="O6972" s="897" t="s">
        <v>2042</v>
      </c>
      <c r="P6972" s="867" t="s">
        <v>2107</v>
      </c>
    </row>
    <row r="6973" spans="1:16" ht="19.5" hidden="1" thickBot="1" x14ac:dyDescent="0.3">
      <c r="A6973" s="1072"/>
      <c r="B6973" s="944" t="s">
        <v>2034</v>
      </c>
      <c r="C6973" s="945" t="s">
        <v>15</v>
      </c>
      <c r="D6973" s="946">
        <v>1.26</v>
      </c>
      <c r="E6973" s="946">
        <v>1.3</v>
      </c>
      <c r="F6973" s="947" t="s">
        <v>16</v>
      </c>
      <c r="G6973" s="948" t="s">
        <v>76</v>
      </c>
      <c r="H6973" s="947" t="s">
        <v>2034</v>
      </c>
      <c r="I6973" s="947" t="s">
        <v>2049</v>
      </c>
      <c r="J6973" s="949"/>
      <c r="K6973" s="947" t="str">
        <f t="shared" si="208"/>
        <v>08,26</v>
      </c>
      <c r="L6973" s="947" t="s">
        <v>28</v>
      </c>
      <c r="M6973" s="947">
        <v>1292.28</v>
      </c>
      <c r="N6973" s="530">
        <v>0.41666666666666669</v>
      </c>
      <c r="O6973" s="897" t="s">
        <v>2083</v>
      </c>
      <c r="P6973" s="867" t="s">
        <v>2108</v>
      </c>
    </row>
    <row r="6974" spans="1:16" ht="19.5" hidden="1" thickBot="1" x14ac:dyDescent="0.3">
      <c r="A6974" s="1063"/>
      <c r="B6974" s="859" t="s">
        <v>2034</v>
      </c>
      <c r="C6974" s="854" t="s">
        <v>24</v>
      </c>
      <c r="D6974" s="855">
        <v>2.34</v>
      </c>
      <c r="E6974" s="855">
        <v>2.3690000000000002</v>
      </c>
      <c r="F6974" s="856" t="s">
        <v>16</v>
      </c>
      <c r="G6974" s="857" t="s">
        <v>76</v>
      </c>
      <c r="H6974" s="856" t="s">
        <v>2034</v>
      </c>
      <c r="I6974" s="856" t="s">
        <v>2049</v>
      </c>
      <c r="J6974" s="858"/>
      <c r="K6974" s="856" t="str">
        <f t="shared" si="208"/>
        <v>08,26</v>
      </c>
      <c r="L6974" s="856" t="s">
        <v>28</v>
      </c>
      <c r="M6974" s="856">
        <v>2369.1600000000003</v>
      </c>
      <c r="N6974" s="653">
        <v>0.41666666666666669</v>
      </c>
      <c r="O6974" s="897" t="s">
        <v>2082</v>
      </c>
      <c r="P6974" s="867" t="s">
        <v>2109</v>
      </c>
    </row>
    <row r="6975" spans="1:16" ht="57" hidden="1" thickBot="1" x14ac:dyDescent="0.3">
      <c r="A6975" s="1066">
        <f>MAX(A6882:A6974)+1</f>
        <v>4329</v>
      </c>
      <c r="B6975" s="531" t="s">
        <v>1984</v>
      </c>
      <c r="C6975" s="532" t="s">
        <v>587</v>
      </c>
      <c r="D6975" s="533">
        <v>0.59299999999999997</v>
      </c>
      <c r="E6975" s="534">
        <v>0.45100000000000001</v>
      </c>
      <c r="F6975" s="535" t="s">
        <v>16</v>
      </c>
      <c r="G6975" s="536" t="s">
        <v>794</v>
      </c>
      <c r="H6975" s="535" t="s">
        <v>2034</v>
      </c>
      <c r="I6975" s="537" t="s">
        <v>2034</v>
      </c>
      <c r="J6975" s="538"/>
      <c r="K6975" s="535" t="str">
        <f t="shared" si="208"/>
        <v>08,26</v>
      </c>
      <c r="L6975" s="535" t="s">
        <v>28</v>
      </c>
      <c r="M6975" s="535">
        <v>593.28</v>
      </c>
      <c r="N6975" s="539">
        <v>0.45833333333333331</v>
      </c>
      <c r="O6975" s="897" t="s">
        <v>2045</v>
      </c>
      <c r="P6975" s="867" t="s">
        <v>2100</v>
      </c>
    </row>
    <row r="6976" spans="1:16" ht="19.5" hidden="1" thickBot="1" x14ac:dyDescent="0.3">
      <c r="A6976" s="1068"/>
      <c r="B6976" s="563" t="s">
        <v>1984</v>
      </c>
      <c r="C6976" s="564" t="s">
        <v>587</v>
      </c>
      <c r="D6976" s="565">
        <v>8.36</v>
      </c>
      <c r="E6976" s="566">
        <v>6.992</v>
      </c>
      <c r="F6976" s="567" t="s">
        <v>16</v>
      </c>
      <c r="G6976" s="568" t="s">
        <v>47</v>
      </c>
      <c r="H6976" s="567" t="s">
        <v>2034</v>
      </c>
      <c r="I6976" s="569" t="s">
        <v>2034</v>
      </c>
      <c r="J6976" s="570"/>
      <c r="K6976" s="567" t="str">
        <f t="shared" si="208"/>
        <v>08,26</v>
      </c>
      <c r="L6976" s="567" t="s">
        <v>28</v>
      </c>
      <c r="M6976" s="567">
        <v>8360.8799999999992</v>
      </c>
      <c r="N6976" s="571">
        <v>0.45833333333333331</v>
      </c>
      <c r="O6976" s="897" t="s">
        <v>2046</v>
      </c>
      <c r="P6976" s="867" t="s">
        <v>2101</v>
      </c>
    </row>
    <row r="6977" spans="1:16" ht="19.5" hidden="1" thickBot="1" x14ac:dyDescent="0.3">
      <c r="A6977" s="1068"/>
      <c r="B6977" s="563" t="s">
        <v>1984</v>
      </c>
      <c r="C6977" s="564" t="s">
        <v>47</v>
      </c>
      <c r="D6977" s="565">
        <v>8.7309999999999999</v>
      </c>
      <c r="E6977" s="566">
        <v>5.6429999999999998</v>
      </c>
      <c r="F6977" s="567" t="s">
        <v>16</v>
      </c>
      <c r="G6977" s="568"/>
      <c r="H6977" s="567" t="s">
        <v>2034</v>
      </c>
      <c r="I6977" s="569" t="s">
        <v>2034</v>
      </c>
      <c r="J6977" s="570"/>
      <c r="K6977" s="567" t="str">
        <f t="shared" si="208"/>
        <v>08,26</v>
      </c>
      <c r="L6977" s="567" t="s">
        <v>28</v>
      </c>
      <c r="M6977" s="567">
        <v>8891.89</v>
      </c>
      <c r="N6977" s="571">
        <v>0.45833333333333331</v>
      </c>
      <c r="O6977" s="897" t="s">
        <v>2044</v>
      </c>
      <c r="P6977" s="867" t="s">
        <v>2102</v>
      </c>
    </row>
    <row r="6978" spans="1:16" ht="19.5" hidden="1" thickBot="1" x14ac:dyDescent="0.3">
      <c r="A6978" s="1068"/>
      <c r="B6978" s="836" t="s">
        <v>2034</v>
      </c>
      <c r="C6978" s="837" t="s">
        <v>47</v>
      </c>
      <c r="D6978" s="838">
        <v>2.85</v>
      </c>
      <c r="E6978" s="838">
        <v>2.8980000000000001</v>
      </c>
      <c r="F6978" s="839" t="s">
        <v>16</v>
      </c>
      <c r="G6978" s="850" t="s">
        <v>76</v>
      </c>
      <c r="H6978" s="839" t="s">
        <v>2034</v>
      </c>
      <c r="I6978" s="839" t="s">
        <v>2034</v>
      </c>
      <c r="J6978" s="840"/>
      <c r="K6978" s="839" t="str">
        <f t="shared" si="208"/>
        <v>08,26</v>
      </c>
      <c r="L6978" s="839" t="s">
        <v>28</v>
      </c>
      <c r="M6978" s="839">
        <v>2878.02</v>
      </c>
      <c r="N6978" s="598">
        <v>0.45833333333333331</v>
      </c>
      <c r="O6978" s="897" t="s">
        <v>2085</v>
      </c>
      <c r="P6978" s="867" t="s">
        <v>2103</v>
      </c>
    </row>
    <row r="6979" spans="1:16" ht="19.5" hidden="1" thickBot="1" x14ac:dyDescent="0.3">
      <c r="A6979" s="513">
        <f>MAX(A6885:A6978)+1</f>
        <v>4330</v>
      </c>
      <c r="B6979" s="514" t="s">
        <v>2006</v>
      </c>
      <c r="C6979" s="515" t="s">
        <v>26</v>
      </c>
      <c r="D6979" s="516">
        <v>14.669</v>
      </c>
      <c r="E6979" s="517">
        <v>14.669</v>
      </c>
      <c r="F6979" s="518" t="s">
        <v>30</v>
      </c>
      <c r="G6979" s="519"/>
      <c r="H6979" s="518" t="s">
        <v>2034</v>
      </c>
      <c r="I6979" s="520" t="s">
        <v>2034</v>
      </c>
      <c r="J6979" s="521"/>
      <c r="K6979" s="518" t="str">
        <f t="shared" si="208"/>
        <v>08,26</v>
      </c>
      <c r="L6979" s="518" t="s">
        <v>265</v>
      </c>
      <c r="M6979" s="518">
        <v>14669.72</v>
      </c>
      <c r="N6979" s="522">
        <v>0.375</v>
      </c>
      <c r="O6979" s="897" t="s">
        <v>2050</v>
      </c>
      <c r="P6979" s="867" t="s">
        <v>2095</v>
      </c>
    </row>
    <row r="6980" spans="1:16" ht="19.5" hidden="1" thickBot="1" x14ac:dyDescent="0.3">
      <c r="A6980" s="662">
        <f>MAX(A6886:A6979)+1</f>
        <v>4331</v>
      </c>
      <c r="B6980" s="663" t="s">
        <v>2006</v>
      </c>
      <c r="C6980" s="664" t="s">
        <v>32</v>
      </c>
      <c r="D6980" s="665">
        <v>17.5</v>
      </c>
      <c r="E6980" s="666" t="s">
        <v>1496</v>
      </c>
      <c r="F6980" s="667" t="s">
        <v>16</v>
      </c>
      <c r="G6980" s="668"/>
      <c r="H6980" s="667" t="s">
        <v>2034</v>
      </c>
      <c r="I6980" s="669" t="s">
        <v>1496</v>
      </c>
      <c r="J6980" s="670"/>
      <c r="K6980" s="667" t="str">
        <f t="shared" si="208"/>
        <v>тмена</v>
      </c>
      <c r="L6980" s="667" t="s">
        <v>266</v>
      </c>
      <c r="M6980" s="667">
        <v>17503.2</v>
      </c>
      <c r="N6980" s="671">
        <v>0.5</v>
      </c>
      <c r="O6980" s="920" t="s">
        <v>2052</v>
      </c>
      <c r="P6980" s="921" t="s">
        <v>1024</v>
      </c>
    </row>
    <row r="6981" spans="1:16" ht="19.5" hidden="1" thickBot="1" x14ac:dyDescent="0.3">
      <c r="A6981" s="1062">
        <f>MAX(A6887:A6980)+1</f>
        <v>4332</v>
      </c>
      <c r="B6981" s="479" t="s">
        <v>2006</v>
      </c>
      <c r="C6981" s="480" t="s">
        <v>26</v>
      </c>
      <c r="D6981" s="481">
        <v>15.587</v>
      </c>
      <c r="E6981" s="482">
        <v>10.817</v>
      </c>
      <c r="F6981" s="483" t="s">
        <v>16</v>
      </c>
      <c r="G6981" s="549"/>
      <c r="H6981" s="483" t="s">
        <v>2049</v>
      </c>
      <c r="I6981" s="484" t="s">
        <v>2049</v>
      </c>
      <c r="J6981" s="485"/>
      <c r="K6981" s="483" t="str">
        <f t="shared" si="208"/>
        <v>08,26</v>
      </c>
      <c r="L6981" s="483" t="s">
        <v>265</v>
      </c>
      <c r="M6981" s="483">
        <v>15744.24</v>
      </c>
      <c r="N6981" s="486">
        <v>0.375</v>
      </c>
      <c r="O6981" s="897" t="s">
        <v>2053</v>
      </c>
      <c r="P6981" s="867" t="s">
        <v>2097</v>
      </c>
    </row>
    <row r="6982" spans="1:16" ht="19.5" hidden="1" thickBot="1" x14ac:dyDescent="0.3">
      <c r="A6982" s="1072"/>
      <c r="B6982" s="523" t="s">
        <v>2006</v>
      </c>
      <c r="C6982" s="524" t="s">
        <v>952</v>
      </c>
      <c r="D6982" s="525">
        <v>1.8919999999999999</v>
      </c>
      <c r="E6982" s="526">
        <v>1.464</v>
      </c>
      <c r="F6982" s="527" t="s">
        <v>16</v>
      </c>
      <c r="G6982" s="561"/>
      <c r="H6982" s="527" t="s">
        <v>2049</v>
      </c>
      <c r="I6982" s="528" t="s">
        <v>2049</v>
      </c>
      <c r="J6982" s="529"/>
      <c r="K6982" s="527" t="str">
        <f t="shared" si="208"/>
        <v>08,26</v>
      </c>
      <c r="L6982" s="527" t="s">
        <v>265</v>
      </c>
      <c r="M6982" s="527">
        <v>1968.0600000000002</v>
      </c>
      <c r="N6982" s="530">
        <v>0.375</v>
      </c>
      <c r="O6982" s="897" t="s">
        <v>2051</v>
      </c>
      <c r="P6982" s="867" t="s">
        <v>2096</v>
      </c>
    </row>
    <row r="6983" spans="1:16" ht="19.5" hidden="1" thickBot="1" x14ac:dyDescent="0.3">
      <c r="A6983" s="1072"/>
      <c r="B6983" s="944" t="s">
        <v>2049</v>
      </c>
      <c r="C6983" s="945" t="s">
        <v>26</v>
      </c>
      <c r="D6983" s="946">
        <v>1.85</v>
      </c>
      <c r="E6983" s="946">
        <v>1.869</v>
      </c>
      <c r="F6983" s="947" t="s">
        <v>16</v>
      </c>
      <c r="G6983" s="948" t="s">
        <v>76</v>
      </c>
      <c r="H6983" s="947" t="s">
        <v>2049</v>
      </c>
      <c r="I6983" s="947" t="s">
        <v>2049</v>
      </c>
      <c r="J6983" s="949"/>
      <c r="K6983" s="947" t="str">
        <f t="shared" si="208"/>
        <v>08,26</v>
      </c>
      <c r="L6983" s="947" t="s">
        <v>265</v>
      </c>
      <c r="M6983" s="947">
        <v>1860</v>
      </c>
      <c r="N6983" s="530">
        <v>0.375</v>
      </c>
      <c r="O6983" s="897" t="s">
        <v>2088</v>
      </c>
      <c r="P6983" s="867" t="s">
        <v>2098</v>
      </c>
    </row>
    <row r="6984" spans="1:16" ht="19.5" hidden="1" thickBot="1" x14ac:dyDescent="0.3">
      <c r="A6984" s="1063"/>
      <c r="B6984" s="859" t="s">
        <v>2034</v>
      </c>
      <c r="C6984" s="854" t="s">
        <v>26</v>
      </c>
      <c r="D6984" s="855">
        <v>3.6</v>
      </c>
      <c r="E6984" s="855">
        <v>3.62</v>
      </c>
      <c r="F6984" s="856" t="s">
        <v>16</v>
      </c>
      <c r="G6984" s="857" t="s">
        <v>76</v>
      </c>
      <c r="H6984" s="856" t="s">
        <v>2049</v>
      </c>
      <c r="I6984" s="856" t="s">
        <v>2049</v>
      </c>
      <c r="J6984" s="858"/>
      <c r="K6984" s="856" t="str">
        <f t="shared" si="208"/>
        <v>08,26</v>
      </c>
      <c r="L6984" s="856" t="s">
        <v>265</v>
      </c>
      <c r="M6984" s="856">
        <v>3615.3</v>
      </c>
      <c r="N6984" s="653">
        <v>0.375</v>
      </c>
      <c r="O6984" s="897" t="s">
        <v>2086</v>
      </c>
      <c r="P6984" s="867" t="s">
        <v>2099</v>
      </c>
    </row>
    <row r="6985" spans="1:16" ht="19.5" hidden="1" thickBot="1" x14ac:dyDescent="0.3">
      <c r="A6985" s="1059">
        <f>MAX(A6889:A6984)+1</f>
        <v>4333</v>
      </c>
      <c r="B6985" s="759" t="s">
        <v>2006</v>
      </c>
      <c r="C6985" s="532" t="s">
        <v>23</v>
      </c>
      <c r="D6985" s="533">
        <v>17.716999999999999</v>
      </c>
      <c r="E6985" s="534">
        <v>16.302</v>
      </c>
      <c r="F6985" s="535" t="s">
        <v>16</v>
      </c>
      <c r="G6985" s="898"/>
      <c r="H6985" s="535" t="s">
        <v>2049</v>
      </c>
      <c r="I6985" s="537" t="s">
        <v>2067</v>
      </c>
      <c r="J6985" s="538"/>
      <c r="K6985" s="535" t="str">
        <f t="shared" si="208"/>
        <v>08,26</v>
      </c>
      <c r="L6985" s="567" t="s">
        <v>28</v>
      </c>
      <c r="M6985" s="567">
        <v>17859.079999999998</v>
      </c>
      <c r="N6985" s="571">
        <v>0.41666666666666669</v>
      </c>
      <c r="O6985" s="897" t="s">
        <v>2054</v>
      </c>
      <c r="P6985" s="867" t="s">
        <v>2110</v>
      </c>
    </row>
    <row r="6986" spans="1:16" ht="19.5" hidden="1" thickBot="1" x14ac:dyDescent="0.3">
      <c r="A6986" s="1061"/>
      <c r="B6986" s="798" t="s">
        <v>2049</v>
      </c>
      <c r="C6986" s="799" t="s">
        <v>23</v>
      </c>
      <c r="D6986" s="800">
        <v>1.48</v>
      </c>
      <c r="E6986" s="800">
        <v>1.5149999999999999</v>
      </c>
      <c r="F6986" s="801" t="s">
        <v>16</v>
      </c>
      <c r="G6986" s="942" t="s">
        <v>76</v>
      </c>
      <c r="H6986" s="801" t="s">
        <v>2049</v>
      </c>
      <c r="I6986" s="801" t="s">
        <v>2067</v>
      </c>
      <c r="J6986" s="803"/>
      <c r="K6986" s="801" t="str">
        <f t="shared" si="208"/>
        <v>08,26</v>
      </c>
      <c r="L6986" s="801" t="s">
        <v>28</v>
      </c>
      <c r="M6986" s="801">
        <v>1497.6</v>
      </c>
      <c r="N6986" s="804">
        <v>0.41666666666666669</v>
      </c>
      <c r="O6986" s="897" t="s">
        <v>2087</v>
      </c>
      <c r="P6986" s="867" t="s">
        <v>2111</v>
      </c>
    </row>
    <row r="6987" spans="1:16" ht="19.5" hidden="1" thickBot="1" x14ac:dyDescent="0.3">
      <c r="A6987" s="1062">
        <f>MAX(A6890:A6986)+1</f>
        <v>4334</v>
      </c>
      <c r="B6987" s="479" t="s">
        <v>2031</v>
      </c>
      <c r="C6987" s="480" t="s">
        <v>667</v>
      </c>
      <c r="D6987" s="481">
        <v>3.2759999999999998</v>
      </c>
      <c r="E6987" s="482">
        <v>3.2759999999999998</v>
      </c>
      <c r="F6987" s="483" t="s">
        <v>30</v>
      </c>
      <c r="G6987" s="549"/>
      <c r="H6987" s="483" t="s">
        <v>2049</v>
      </c>
      <c r="I6987" s="484" t="s">
        <v>2067</v>
      </c>
      <c r="J6987" s="485"/>
      <c r="K6987" s="483" t="str">
        <f t="shared" si="208"/>
        <v>08,26</v>
      </c>
      <c r="L6987" s="483" t="s">
        <v>28</v>
      </c>
      <c r="M6987" s="483">
        <v>3276.3599999999997</v>
      </c>
      <c r="N6987" s="486">
        <v>0.41666666666666669</v>
      </c>
      <c r="O6987" s="897" t="s">
        <v>2063</v>
      </c>
      <c r="P6987" s="867" t="s">
        <v>2131</v>
      </c>
    </row>
    <row r="6988" spans="1:16" ht="19.5" hidden="1" thickBot="1" x14ac:dyDescent="0.3">
      <c r="A6988" s="1063"/>
      <c r="B6988" s="645" t="s">
        <v>2031</v>
      </c>
      <c r="C6988" s="646" t="s">
        <v>764</v>
      </c>
      <c r="D6988" s="647">
        <v>6.9630000000000001</v>
      </c>
      <c r="E6988" s="648">
        <v>6.9630000000000001</v>
      </c>
      <c r="F6988" s="649" t="s">
        <v>30</v>
      </c>
      <c r="G6988" s="650"/>
      <c r="H6988" s="649" t="s">
        <v>2049</v>
      </c>
      <c r="I6988" s="651" t="s">
        <v>2067</v>
      </c>
      <c r="J6988" s="652"/>
      <c r="K6988" s="649" t="str">
        <f t="shared" si="208"/>
        <v>08,26</v>
      </c>
      <c r="L6988" s="649" t="s">
        <v>28</v>
      </c>
      <c r="M6988" s="649">
        <v>6962.9999999999991</v>
      </c>
      <c r="N6988" s="653">
        <v>0.41666666666666669</v>
      </c>
      <c r="O6988" s="897" t="s">
        <v>2062</v>
      </c>
      <c r="P6988" s="867" t="s">
        <v>2132</v>
      </c>
    </row>
    <row r="6989" spans="1:16" ht="19.5" hidden="1" thickBot="1" x14ac:dyDescent="0.3">
      <c r="A6989" s="1066">
        <f>MAX(A6892:A6988)+1</f>
        <v>4335</v>
      </c>
      <c r="B6989" s="531" t="s">
        <v>2031</v>
      </c>
      <c r="C6989" s="532" t="s">
        <v>840</v>
      </c>
      <c r="D6989" s="533">
        <v>9.0020000000000007</v>
      </c>
      <c r="E6989" s="534">
        <v>8.0809999999999995</v>
      </c>
      <c r="F6989" s="535" t="s">
        <v>16</v>
      </c>
      <c r="G6989" s="536" t="s">
        <v>844</v>
      </c>
      <c r="H6989" s="535" t="s">
        <v>2049</v>
      </c>
      <c r="I6989" s="537" t="s">
        <v>2068</v>
      </c>
      <c r="J6989" s="538"/>
      <c r="K6989" s="535" t="str">
        <f t="shared" si="208"/>
        <v>08,26</v>
      </c>
      <c r="L6989" s="535" t="s">
        <v>266</v>
      </c>
      <c r="M6989" s="535">
        <v>9082.1999999999989</v>
      </c>
      <c r="N6989" s="539">
        <v>0.45833333333333331</v>
      </c>
      <c r="O6989" s="897" t="s">
        <v>2065</v>
      </c>
      <c r="P6989" s="867" t="s">
        <v>2138</v>
      </c>
    </row>
    <row r="6990" spans="1:16" ht="19.5" hidden="1" thickBot="1" x14ac:dyDescent="0.3">
      <c r="A6990" s="1068"/>
      <c r="B6990" s="911" t="s">
        <v>2031</v>
      </c>
      <c r="C6990" s="912" t="s">
        <v>840</v>
      </c>
      <c r="D6990" s="913">
        <v>5</v>
      </c>
      <c r="E6990" s="914" t="s">
        <v>1496</v>
      </c>
      <c r="F6990" s="915" t="s">
        <v>16</v>
      </c>
      <c r="G6990" s="916" t="s">
        <v>845</v>
      </c>
      <c r="H6990" s="915" t="s">
        <v>2049</v>
      </c>
      <c r="I6990" s="917" t="s">
        <v>1496</v>
      </c>
      <c r="J6990" s="918"/>
      <c r="K6990" s="915" t="str">
        <f t="shared" si="208"/>
        <v>тмена</v>
      </c>
      <c r="L6990" s="915" t="s">
        <v>266</v>
      </c>
      <c r="M6990" s="915">
        <v>5004</v>
      </c>
      <c r="N6990" s="919">
        <v>0.45833333333333331</v>
      </c>
      <c r="O6990" s="920" t="s">
        <v>2066</v>
      </c>
      <c r="P6990" s="921" t="s">
        <v>1024</v>
      </c>
    </row>
    <row r="6991" spans="1:16" ht="19.5" hidden="1" thickBot="1" x14ac:dyDescent="0.3">
      <c r="A6991" s="1067"/>
      <c r="B6991" s="636" t="s">
        <v>2031</v>
      </c>
      <c r="C6991" s="637" t="s">
        <v>480</v>
      </c>
      <c r="D6991" s="638">
        <v>8.84</v>
      </c>
      <c r="E6991" s="639">
        <v>6.0350000000000001</v>
      </c>
      <c r="F6991" s="640" t="s">
        <v>16</v>
      </c>
      <c r="G6991" s="641"/>
      <c r="H6991" s="640" t="s">
        <v>2049</v>
      </c>
      <c r="I6991" s="642" t="s">
        <v>2068</v>
      </c>
      <c r="J6991" s="643"/>
      <c r="K6991" s="640" t="str">
        <f t="shared" ref="K6991:K7054" si="210">RIGHT(I6991,5)</f>
        <v>08,26</v>
      </c>
      <c r="L6991" s="640" t="s">
        <v>266</v>
      </c>
      <c r="M6991" s="640">
        <v>8964.15</v>
      </c>
      <c r="N6991" s="644">
        <v>0.45833333333333331</v>
      </c>
      <c r="O6991" s="897" t="s">
        <v>2064</v>
      </c>
      <c r="P6991" s="867" t="s">
        <v>2139</v>
      </c>
    </row>
    <row r="6992" spans="1:16" ht="19.5" hidden="1" thickBot="1" x14ac:dyDescent="0.3">
      <c r="A6992" s="1062">
        <f>MAX(A6895:A6991)+1</f>
        <v>4336</v>
      </c>
      <c r="B6992" s="479" t="s">
        <v>2031</v>
      </c>
      <c r="C6992" s="480" t="s">
        <v>26</v>
      </c>
      <c r="D6992" s="481">
        <v>11.048999999999999</v>
      </c>
      <c r="E6992" s="482">
        <v>8.7330000000000005</v>
      </c>
      <c r="F6992" s="483" t="s">
        <v>16</v>
      </c>
      <c r="G6992" s="549"/>
      <c r="H6992" s="483" t="s">
        <v>2067</v>
      </c>
      <c r="I6992" s="484" t="s">
        <v>2067</v>
      </c>
      <c r="J6992" s="485"/>
      <c r="K6992" s="483" t="str">
        <f t="shared" si="210"/>
        <v>08,26</v>
      </c>
      <c r="L6992" s="483" t="s">
        <v>265</v>
      </c>
      <c r="M6992" s="483">
        <v>11215.979999999998</v>
      </c>
      <c r="N6992" s="486">
        <v>0.375</v>
      </c>
      <c r="O6992" s="897" t="s">
        <v>2070</v>
      </c>
      <c r="P6992" s="867" t="s">
        <v>2140</v>
      </c>
    </row>
    <row r="6993" spans="1:18" ht="19.5" hidden="1" thickBot="1" x14ac:dyDescent="0.3">
      <c r="A6993" s="1072"/>
      <c r="B6993" s="523" t="s">
        <v>2031</v>
      </c>
      <c r="C6993" s="524" t="s">
        <v>1358</v>
      </c>
      <c r="D6993" s="525">
        <v>4.5359999999999996</v>
      </c>
      <c r="E6993" s="526">
        <v>3.8250000000000002</v>
      </c>
      <c r="F6993" s="527" t="s">
        <v>16</v>
      </c>
      <c r="G6993" s="561" t="s">
        <v>844</v>
      </c>
      <c r="H6993" s="527" t="s">
        <v>2067</v>
      </c>
      <c r="I6993" s="528" t="s">
        <v>2067</v>
      </c>
      <c r="J6993" s="529"/>
      <c r="K6993" s="527" t="str">
        <f t="shared" si="210"/>
        <v>08,26</v>
      </c>
      <c r="L6993" s="527" t="s">
        <v>265</v>
      </c>
      <c r="M6993" s="527">
        <v>4649.4599999999991</v>
      </c>
      <c r="N6993" s="530">
        <v>0.375</v>
      </c>
      <c r="O6993" s="897" t="s">
        <v>2071</v>
      </c>
      <c r="P6993" s="867" t="s">
        <v>2141</v>
      </c>
    </row>
    <row r="6994" spans="1:18" ht="19.5" hidden="1" thickBot="1" x14ac:dyDescent="0.3">
      <c r="A6994" s="1072"/>
      <c r="B6994" s="523" t="s">
        <v>2031</v>
      </c>
      <c r="C6994" s="524" t="s">
        <v>1358</v>
      </c>
      <c r="D6994" s="525">
        <v>1.764</v>
      </c>
      <c r="E6994" s="526">
        <v>1.3819999999999999</v>
      </c>
      <c r="F6994" s="527" t="s">
        <v>16</v>
      </c>
      <c r="G6994" s="561" t="s">
        <v>845</v>
      </c>
      <c r="H6994" s="527" t="s">
        <v>2067</v>
      </c>
      <c r="I6994" s="528" t="s">
        <v>2067</v>
      </c>
      <c r="J6994" s="529"/>
      <c r="K6994" s="527" t="str">
        <f t="shared" si="210"/>
        <v>08,26</v>
      </c>
      <c r="L6994" s="527" t="s">
        <v>265</v>
      </c>
      <c r="M6994" s="527">
        <v>1850.04</v>
      </c>
      <c r="N6994" s="530">
        <v>0.375</v>
      </c>
      <c r="O6994" s="897" t="s">
        <v>2072</v>
      </c>
      <c r="P6994" s="834" t="s">
        <v>2142</v>
      </c>
    </row>
    <row r="6995" spans="1:18" ht="19.5" hidden="1" thickBot="1" x14ac:dyDescent="0.3">
      <c r="A6995" s="1063"/>
      <c r="B6995" s="859" t="s">
        <v>2049</v>
      </c>
      <c r="C6995" s="854" t="s">
        <v>26</v>
      </c>
      <c r="D6995" s="855">
        <v>3.75</v>
      </c>
      <c r="E6995" s="855">
        <v>3.782</v>
      </c>
      <c r="F6995" s="856" t="s">
        <v>16</v>
      </c>
      <c r="G6995" s="857" t="s">
        <v>76</v>
      </c>
      <c r="H6995" s="856" t="s">
        <v>2067</v>
      </c>
      <c r="I6995" s="856" t="s">
        <v>2067</v>
      </c>
      <c r="J6995" s="858"/>
      <c r="K6995" s="856" t="str">
        <f t="shared" si="210"/>
        <v>08,26</v>
      </c>
      <c r="L6995" s="856" t="s">
        <v>265</v>
      </c>
      <c r="M6995" s="856">
        <v>3750</v>
      </c>
      <c r="N6995" s="653">
        <v>0.375</v>
      </c>
      <c r="O6995" s="897" t="s">
        <v>2128</v>
      </c>
      <c r="P6995" s="867" t="s">
        <v>2143</v>
      </c>
    </row>
    <row r="6996" spans="1:18" ht="19.5" hidden="1" thickBot="1" x14ac:dyDescent="0.3">
      <c r="A6996" s="1059">
        <f>MAX(A6898:A6995)+1</f>
        <v>4337</v>
      </c>
      <c r="B6996" s="759" t="s">
        <v>2031</v>
      </c>
      <c r="C6996" s="532" t="s">
        <v>26</v>
      </c>
      <c r="D6996" s="533">
        <v>17.388000000000002</v>
      </c>
      <c r="E6996" s="534">
        <v>13.606999999999999</v>
      </c>
      <c r="F6996" s="535" t="s">
        <v>16</v>
      </c>
      <c r="G6996" s="898"/>
      <c r="H6996" s="535" t="s">
        <v>2067</v>
      </c>
      <c r="I6996" s="537" t="s">
        <v>2067</v>
      </c>
      <c r="J6996" s="538"/>
      <c r="K6996" s="535" t="str">
        <f t="shared" si="210"/>
        <v>08,26</v>
      </c>
      <c r="L6996" s="567" t="s">
        <v>265</v>
      </c>
      <c r="M6996" s="567">
        <v>17547.560000000001</v>
      </c>
      <c r="N6996" s="571">
        <v>0.41666666666666669</v>
      </c>
      <c r="O6996" s="897" t="s">
        <v>2079</v>
      </c>
      <c r="P6996" s="867" t="s">
        <v>2135</v>
      </c>
    </row>
    <row r="6997" spans="1:18" ht="19.5" hidden="1" thickBot="1" x14ac:dyDescent="0.3">
      <c r="A6997" s="1060"/>
      <c r="B6997" s="852" t="s">
        <v>2067</v>
      </c>
      <c r="C6997" s="837" t="s">
        <v>26</v>
      </c>
      <c r="D6997" s="838">
        <v>1.9</v>
      </c>
      <c r="E6997" s="838">
        <v>1.9119999999999999</v>
      </c>
      <c r="F6997" s="839" t="s">
        <v>16</v>
      </c>
      <c r="G6997" s="950" t="s">
        <v>76</v>
      </c>
      <c r="H6997" s="839" t="s">
        <v>2067</v>
      </c>
      <c r="I6997" s="839" t="s">
        <v>2067</v>
      </c>
      <c r="J6997" s="840"/>
      <c r="K6997" s="839" t="str">
        <f t="shared" si="210"/>
        <v>08,26</v>
      </c>
      <c r="L6997" s="839" t="s">
        <v>265</v>
      </c>
      <c r="M6997" s="839">
        <v>1905</v>
      </c>
      <c r="N6997" s="598">
        <v>0.41666666666666669</v>
      </c>
      <c r="O6997" s="897" t="s">
        <v>2115</v>
      </c>
      <c r="P6997" s="867" t="s">
        <v>2136</v>
      </c>
    </row>
    <row r="6998" spans="1:18" ht="19.5" hidden="1" thickBot="1" x14ac:dyDescent="0.3">
      <c r="A6998" s="1061"/>
      <c r="B6998" s="798" t="s">
        <v>2049</v>
      </c>
      <c r="C6998" s="799" t="s">
        <v>26</v>
      </c>
      <c r="D6998" s="800">
        <v>1.85</v>
      </c>
      <c r="E6998" s="800">
        <v>1.8680000000000001</v>
      </c>
      <c r="F6998" s="801" t="s">
        <v>16</v>
      </c>
      <c r="G6998" s="942" t="s">
        <v>76</v>
      </c>
      <c r="H6998" s="801" t="s">
        <v>2067</v>
      </c>
      <c r="I6998" s="801" t="s">
        <v>2067</v>
      </c>
      <c r="J6998" s="803"/>
      <c r="K6998" s="801" t="str">
        <f t="shared" si="210"/>
        <v>08,26</v>
      </c>
      <c r="L6998" s="801" t="s">
        <v>265</v>
      </c>
      <c r="M6998" s="801">
        <v>1860</v>
      </c>
      <c r="N6998" s="804">
        <v>0.41666666666666669</v>
      </c>
      <c r="O6998" s="897" t="s">
        <v>2114</v>
      </c>
      <c r="P6998" s="867" t="s">
        <v>2137</v>
      </c>
    </row>
    <row r="6999" spans="1:18" ht="18.75" hidden="1" customHeight="1" x14ac:dyDescent="0.25">
      <c r="A6999" s="1073">
        <f>MAX(A6899:A6998)+1</f>
        <v>4338</v>
      </c>
      <c r="B6999" s="610" t="s">
        <v>2031</v>
      </c>
      <c r="C6999" s="480" t="s">
        <v>15</v>
      </c>
      <c r="D6999" s="481">
        <v>8.4060000000000006</v>
      </c>
      <c r="E6999" s="482">
        <v>6.5730000000000004</v>
      </c>
      <c r="F6999" s="483" t="s">
        <v>16</v>
      </c>
      <c r="G6999" s="1094" t="s">
        <v>1633</v>
      </c>
      <c r="H6999" s="483" t="s">
        <v>2067</v>
      </c>
      <c r="I6999" s="484" t="s">
        <v>2068</v>
      </c>
      <c r="J6999" s="485"/>
      <c r="K6999" s="483" t="str">
        <f t="shared" si="210"/>
        <v>08,26</v>
      </c>
      <c r="L6999" s="483" t="s">
        <v>28</v>
      </c>
      <c r="M6999" s="483">
        <v>8593.130000000001</v>
      </c>
      <c r="N6999" s="486">
        <v>0.45833333333333331</v>
      </c>
      <c r="O6999" s="897" t="s">
        <v>2073</v>
      </c>
      <c r="P6999" s="867" t="s">
        <v>2154</v>
      </c>
      <c r="R6999" s="943"/>
    </row>
    <row r="7000" spans="1:18" ht="19.5" hidden="1" thickBot="1" x14ac:dyDescent="0.3">
      <c r="A7000" s="1077"/>
      <c r="B7000" s="769" t="s">
        <v>2031</v>
      </c>
      <c r="C7000" s="764" t="s">
        <v>24</v>
      </c>
      <c r="D7000" s="765">
        <v>8.3030000000000008</v>
      </c>
      <c r="E7000" s="766">
        <v>5.9240000000000004</v>
      </c>
      <c r="F7000" s="763" t="s">
        <v>16</v>
      </c>
      <c r="G7000" s="1095"/>
      <c r="H7000" s="763" t="s">
        <v>2067</v>
      </c>
      <c r="I7000" s="768" t="s">
        <v>2068</v>
      </c>
      <c r="J7000" s="779"/>
      <c r="K7000" s="763" t="str">
        <f t="shared" si="210"/>
        <v>08,26</v>
      </c>
      <c r="L7000" s="763" t="s">
        <v>28</v>
      </c>
      <c r="M7000" s="763">
        <v>8484.9500000000007</v>
      </c>
      <c r="N7000" s="770">
        <v>0.45833333333333331</v>
      </c>
      <c r="O7000" s="897" t="s">
        <v>2074</v>
      </c>
      <c r="P7000" s="867" t="s">
        <v>2155</v>
      </c>
    </row>
    <row r="7001" spans="1:18" ht="18.75" hidden="1" customHeight="1" x14ac:dyDescent="0.25">
      <c r="A7001" s="1077"/>
      <c r="B7001" s="864" t="s">
        <v>2067</v>
      </c>
      <c r="C7001" s="861" t="s">
        <v>15</v>
      </c>
      <c r="D7001" s="862">
        <v>1.7</v>
      </c>
      <c r="E7001" s="862">
        <v>1.716</v>
      </c>
      <c r="F7001" s="860" t="s">
        <v>16</v>
      </c>
      <c r="G7001" s="1095"/>
      <c r="H7001" s="860" t="s">
        <v>2067</v>
      </c>
      <c r="I7001" s="860" t="s">
        <v>2068</v>
      </c>
      <c r="J7001" s="865"/>
      <c r="K7001" s="860" t="str">
        <f t="shared" si="210"/>
        <v>08,26</v>
      </c>
      <c r="L7001" s="860" t="s">
        <v>28</v>
      </c>
      <c r="M7001" s="860">
        <v>1718.64</v>
      </c>
      <c r="N7001" s="770">
        <v>0.45833333333333331</v>
      </c>
      <c r="O7001" s="897" t="s">
        <v>2120</v>
      </c>
      <c r="P7001" s="867" t="s">
        <v>2156</v>
      </c>
    </row>
    <row r="7002" spans="1:18" ht="18.75" hidden="1" customHeight="1" x14ac:dyDescent="0.25">
      <c r="A7002" s="1077"/>
      <c r="B7002" s="841" t="s">
        <v>2068</v>
      </c>
      <c r="C7002" s="842" t="s">
        <v>24</v>
      </c>
      <c r="D7002" s="843">
        <v>0.7</v>
      </c>
      <c r="E7002" s="843">
        <v>0.70299999999999996</v>
      </c>
      <c r="F7002" s="844" t="s">
        <v>16</v>
      </c>
      <c r="G7002" s="1095"/>
      <c r="H7002" s="844" t="s">
        <v>2067</v>
      </c>
      <c r="I7002" s="844" t="s">
        <v>2068</v>
      </c>
      <c r="J7002" s="845"/>
      <c r="K7002" s="844" t="str">
        <f t="shared" si="210"/>
        <v>08,26</v>
      </c>
      <c r="L7002" s="844" t="s">
        <v>28</v>
      </c>
      <c r="M7002" s="844">
        <v>705</v>
      </c>
      <c r="N7002" s="846">
        <v>0.45833333333333331</v>
      </c>
      <c r="O7002" s="897" t="s">
        <v>2147</v>
      </c>
      <c r="P7002" s="867" t="s">
        <v>2157</v>
      </c>
    </row>
    <row r="7003" spans="1:18" ht="19.5" hidden="1" thickBot="1" x14ac:dyDescent="0.3">
      <c r="A7003" s="1074"/>
      <c r="B7003" s="805" t="s">
        <v>2067</v>
      </c>
      <c r="C7003" s="806" t="s">
        <v>24</v>
      </c>
      <c r="D7003" s="807">
        <v>2.1</v>
      </c>
      <c r="E7003" s="807">
        <v>2.12</v>
      </c>
      <c r="F7003" s="808" t="s">
        <v>16</v>
      </c>
      <c r="G7003" s="1101"/>
      <c r="H7003" s="808" t="s">
        <v>2067</v>
      </c>
      <c r="I7003" s="808" t="s">
        <v>2068</v>
      </c>
      <c r="J7003" s="810"/>
      <c r="K7003" s="808" t="str">
        <f t="shared" si="210"/>
        <v>08,26</v>
      </c>
      <c r="L7003" s="808" t="s">
        <v>28</v>
      </c>
      <c r="M7003" s="808">
        <v>2115</v>
      </c>
      <c r="N7003" s="778">
        <v>0.45833333333333331</v>
      </c>
      <c r="O7003" s="897" t="s">
        <v>2125</v>
      </c>
      <c r="P7003" s="867" t="s">
        <v>2158</v>
      </c>
    </row>
    <row r="7004" spans="1:18" ht="19.5" hidden="1" thickBot="1" x14ac:dyDescent="0.3">
      <c r="A7004" s="1059">
        <f>MAX(A6901:A7003)+1</f>
        <v>4339</v>
      </c>
      <c r="B7004" s="759" t="s">
        <v>2031</v>
      </c>
      <c r="C7004" s="532" t="s">
        <v>47</v>
      </c>
      <c r="D7004" s="533">
        <v>17.602</v>
      </c>
      <c r="E7004" s="534">
        <v>14.334</v>
      </c>
      <c r="F7004" s="535" t="s">
        <v>16</v>
      </c>
      <c r="G7004" s="898"/>
      <c r="H7004" s="535" t="s">
        <v>2067</v>
      </c>
      <c r="I7004" s="537" t="s">
        <v>2067</v>
      </c>
      <c r="J7004" s="538"/>
      <c r="K7004" s="535" t="str">
        <f t="shared" si="210"/>
        <v>08,26</v>
      </c>
      <c r="L7004" s="567" t="s">
        <v>28</v>
      </c>
      <c r="M7004" s="567">
        <v>17819.179999999997</v>
      </c>
      <c r="N7004" s="571">
        <v>0.5</v>
      </c>
      <c r="O7004" s="897" t="s">
        <v>2075</v>
      </c>
      <c r="P7004" s="867" t="s">
        <v>2145</v>
      </c>
    </row>
    <row r="7005" spans="1:18" ht="19.5" hidden="1" thickBot="1" x14ac:dyDescent="0.3">
      <c r="A7005" s="1061"/>
      <c r="B7005" s="798" t="s">
        <v>2067</v>
      </c>
      <c r="C7005" s="799" t="s">
        <v>47</v>
      </c>
      <c r="D7005" s="800">
        <v>3.2</v>
      </c>
      <c r="E7005" s="800">
        <v>3.2610000000000001</v>
      </c>
      <c r="F7005" s="801" t="s">
        <v>16</v>
      </c>
      <c r="G7005" s="942" t="s">
        <v>76</v>
      </c>
      <c r="H7005" s="801" t="s">
        <v>2067</v>
      </c>
      <c r="I7005" s="801" t="s">
        <v>2067</v>
      </c>
      <c r="J7005" s="803"/>
      <c r="K7005" s="801" t="str">
        <f t="shared" si="210"/>
        <v>08,26</v>
      </c>
      <c r="L7005" s="801" t="s">
        <v>28</v>
      </c>
      <c r="M7005" s="801">
        <v>3215.04</v>
      </c>
      <c r="N7005" s="804">
        <v>0.5</v>
      </c>
      <c r="O7005" s="897" t="s">
        <v>2123</v>
      </c>
      <c r="P7005" s="867" t="s">
        <v>2146</v>
      </c>
    </row>
    <row r="7006" spans="1:18" ht="19.5" hidden="1" thickBot="1" x14ac:dyDescent="0.3">
      <c r="A7006" s="1062">
        <f>MAX(A6902:A7005)+1</f>
        <v>4340</v>
      </c>
      <c r="B7006" s="610" t="s">
        <v>2031</v>
      </c>
      <c r="C7006" s="480" t="s">
        <v>23</v>
      </c>
      <c r="D7006" s="481">
        <v>17.59</v>
      </c>
      <c r="E7006" s="482">
        <v>16.478000000000002</v>
      </c>
      <c r="F7006" s="483" t="s">
        <v>16</v>
      </c>
      <c r="G7006" s="899"/>
      <c r="H7006" s="483" t="s">
        <v>2067</v>
      </c>
      <c r="I7006" s="484" t="s">
        <v>2067</v>
      </c>
      <c r="J7006" s="485"/>
      <c r="K7006" s="483" t="str">
        <f t="shared" si="210"/>
        <v>08,26</v>
      </c>
      <c r="L7006" s="483" t="s">
        <v>28</v>
      </c>
      <c r="M7006" s="483">
        <v>17754.54</v>
      </c>
      <c r="N7006" s="486">
        <v>0.54166666666666663</v>
      </c>
      <c r="O7006" s="897" t="s">
        <v>2076</v>
      </c>
      <c r="P7006" s="867" t="s">
        <v>2133</v>
      </c>
    </row>
    <row r="7007" spans="1:18" ht="19.5" hidden="1" thickBot="1" x14ac:dyDescent="0.3">
      <c r="A7007" s="1063"/>
      <c r="B7007" s="805" t="s">
        <v>2067</v>
      </c>
      <c r="C7007" s="806" t="s">
        <v>23</v>
      </c>
      <c r="D7007" s="807">
        <v>1.25</v>
      </c>
      <c r="E7007" s="807">
        <v>1.266</v>
      </c>
      <c r="F7007" s="808" t="s">
        <v>16</v>
      </c>
      <c r="G7007" s="902"/>
      <c r="H7007" s="808" t="s">
        <v>2067</v>
      </c>
      <c r="I7007" s="808" t="s">
        <v>2067</v>
      </c>
      <c r="J7007" s="810"/>
      <c r="K7007" s="808" t="str">
        <f t="shared" si="210"/>
        <v>08,26</v>
      </c>
      <c r="L7007" s="808" t="s">
        <v>28</v>
      </c>
      <c r="M7007" s="808">
        <v>1264.08</v>
      </c>
      <c r="N7007" s="778">
        <v>0.54166666666666663</v>
      </c>
      <c r="O7007" s="897" t="s">
        <v>2124</v>
      </c>
      <c r="P7007" s="867" t="s">
        <v>2134</v>
      </c>
    </row>
    <row r="7008" spans="1:18" ht="19.5" hidden="1" thickBot="1" x14ac:dyDescent="0.3">
      <c r="A7008" s="503">
        <f>MAX(A6903:A7006)+1</f>
        <v>4341</v>
      </c>
      <c r="B7008" s="504" t="s">
        <v>2031</v>
      </c>
      <c r="C7008" s="505" t="s">
        <v>26</v>
      </c>
      <c r="D7008" s="506">
        <v>14.385999999999999</v>
      </c>
      <c r="E7008" s="507">
        <v>14.385999999999999</v>
      </c>
      <c r="F7008" s="508" t="s">
        <v>30</v>
      </c>
      <c r="G7008" s="509"/>
      <c r="H7008" s="508" t="s">
        <v>2067</v>
      </c>
      <c r="I7008" s="510" t="s">
        <v>2067</v>
      </c>
      <c r="J7008" s="511"/>
      <c r="K7008" s="508" t="str">
        <f t="shared" si="210"/>
        <v>08,26</v>
      </c>
      <c r="L7008" s="508" t="s">
        <v>265</v>
      </c>
      <c r="M7008" s="508">
        <v>14386.36</v>
      </c>
      <c r="N7008" s="512">
        <v>0.375</v>
      </c>
      <c r="O7008" s="897" t="s">
        <v>2069</v>
      </c>
      <c r="P7008" s="867" t="s">
        <v>2127</v>
      </c>
    </row>
    <row r="7009" spans="1:16" ht="19.5" hidden="1" thickBot="1" x14ac:dyDescent="0.3">
      <c r="A7009" s="513">
        <f>MAX(A6904:A7008)+1</f>
        <v>4342</v>
      </c>
      <c r="B7009" s="514" t="s">
        <v>2031</v>
      </c>
      <c r="C7009" s="515" t="s">
        <v>587</v>
      </c>
      <c r="D7009" s="516">
        <v>10.834</v>
      </c>
      <c r="E7009" s="517">
        <v>10.834</v>
      </c>
      <c r="F7009" s="518" t="s">
        <v>30</v>
      </c>
      <c r="G7009" s="519" t="s">
        <v>23</v>
      </c>
      <c r="H7009" s="518" t="s">
        <v>2067</v>
      </c>
      <c r="I7009" s="520" t="s">
        <v>2162</v>
      </c>
      <c r="J7009" s="521"/>
      <c r="K7009" s="518" t="str">
        <f t="shared" si="210"/>
        <v>08,26</v>
      </c>
      <c r="L7009" s="518" t="s">
        <v>28</v>
      </c>
      <c r="M7009" s="518">
        <v>10834.2</v>
      </c>
      <c r="N7009" s="522">
        <v>0.41666666666666669</v>
      </c>
      <c r="O7009" s="897" t="s">
        <v>2113</v>
      </c>
      <c r="P7009" s="867" t="s">
        <v>2252</v>
      </c>
    </row>
    <row r="7010" spans="1:16" ht="19.5" hidden="1" thickBot="1" x14ac:dyDescent="0.3">
      <c r="A7010" s="503">
        <f>MAX(A6902:A7009)+1</f>
        <v>4343</v>
      </c>
      <c r="B7010" s="504" t="s">
        <v>2034</v>
      </c>
      <c r="C7010" s="505" t="s">
        <v>1382</v>
      </c>
      <c r="D7010" s="506">
        <v>17.96</v>
      </c>
      <c r="E7010" s="507">
        <v>17.73</v>
      </c>
      <c r="F7010" s="508" t="s">
        <v>16</v>
      </c>
      <c r="G7010" s="509"/>
      <c r="H7010" s="508" t="s">
        <v>2067</v>
      </c>
      <c r="I7010" s="510" t="s">
        <v>2067</v>
      </c>
      <c r="J7010" s="511"/>
      <c r="K7010" s="508" t="str">
        <f t="shared" si="210"/>
        <v>08,26</v>
      </c>
      <c r="L7010" s="508" t="s">
        <v>266</v>
      </c>
      <c r="M7010" s="508">
        <v>18116.34</v>
      </c>
      <c r="N7010" s="512">
        <v>0.58333333333333337</v>
      </c>
      <c r="O7010" s="897" t="s">
        <v>2084</v>
      </c>
      <c r="P7010" s="867" t="s">
        <v>2144</v>
      </c>
    </row>
    <row r="7011" spans="1:16" ht="19.5" hidden="1" thickBot="1" x14ac:dyDescent="0.3">
      <c r="A7011" s="1062">
        <f>MAX(A6903:A7010)+1</f>
        <v>4344</v>
      </c>
      <c r="B7011" s="610" t="s">
        <v>2031</v>
      </c>
      <c r="C7011" s="480" t="s">
        <v>26</v>
      </c>
      <c r="D7011" s="481">
        <v>17.321999999999999</v>
      </c>
      <c r="E7011" s="482">
        <v>13.848000000000001</v>
      </c>
      <c r="F7011" s="483" t="s">
        <v>16</v>
      </c>
      <c r="G7011" s="899"/>
      <c r="H7011" s="483" t="s">
        <v>2068</v>
      </c>
      <c r="I7011" s="484" t="s">
        <v>2116</v>
      </c>
      <c r="J7011" s="485"/>
      <c r="K7011" s="483" t="str">
        <f t="shared" si="210"/>
        <v>08,26</v>
      </c>
      <c r="L7011" s="483" t="s">
        <v>265</v>
      </c>
      <c r="M7011" s="483">
        <v>17508.819999999992</v>
      </c>
      <c r="N7011" s="486">
        <v>0.375</v>
      </c>
      <c r="O7011" s="897" t="s">
        <v>2077</v>
      </c>
      <c r="P7011" s="867" t="s">
        <v>2171</v>
      </c>
    </row>
    <row r="7012" spans="1:16" ht="19.5" hidden="1" thickBot="1" x14ac:dyDescent="0.3">
      <c r="A7012" s="1072"/>
      <c r="B7012" s="792" t="s">
        <v>2067</v>
      </c>
      <c r="C7012" s="793" t="s">
        <v>26</v>
      </c>
      <c r="D7012" s="794">
        <v>1.7</v>
      </c>
      <c r="E7012" s="794">
        <v>1.7230000000000001</v>
      </c>
      <c r="F7012" s="795" t="s">
        <v>16</v>
      </c>
      <c r="G7012" s="903" t="s">
        <v>76</v>
      </c>
      <c r="H7012" s="795" t="s">
        <v>2068</v>
      </c>
      <c r="I7012" s="795" t="s">
        <v>2116</v>
      </c>
      <c r="J7012" s="797"/>
      <c r="K7012" s="795" t="str">
        <f t="shared" si="210"/>
        <v>08,26</v>
      </c>
      <c r="L7012" s="795" t="s">
        <v>265</v>
      </c>
      <c r="M7012" s="795">
        <v>1712.6</v>
      </c>
      <c r="N7012" s="502">
        <v>0.375</v>
      </c>
      <c r="O7012" s="897" t="s">
        <v>2130</v>
      </c>
      <c r="P7012" s="867" t="s">
        <v>2172</v>
      </c>
    </row>
    <row r="7013" spans="1:16" ht="19.5" hidden="1" thickBot="1" x14ac:dyDescent="0.3">
      <c r="A7013" s="1063"/>
      <c r="B7013" s="841" t="s">
        <v>2067</v>
      </c>
      <c r="C7013" s="842" t="s">
        <v>26</v>
      </c>
      <c r="D7013" s="843">
        <v>3.7</v>
      </c>
      <c r="E7013" s="843">
        <v>2.0129999999999999</v>
      </c>
      <c r="F7013" s="844" t="s">
        <v>16</v>
      </c>
      <c r="G7013" s="904" t="s">
        <v>76</v>
      </c>
      <c r="H7013" s="844" t="s">
        <v>2068</v>
      </c>
      <c r="I7013" s="844" t="s">
        <v>2116</v>
      </c>
      <c r="J7013" s="845"/>
      <c r="K7013" s="844" t="str">
        <f t="shared" si="210"/>
        <v>08,26</v>
      </c>
      <c r="L7013" s="844" t="s">
        <v>265</v>
      </c>
      <c r="M7013" s="844">
        <v>3705</v>
      </c>
      <c r="N7013" s="846">
        <v>0.375</v>
      </c>
      <c r="O7013" s="897" t="s">
        <v>2129</v>
      </c>
      <c r="P7013" s="867" t="s">
        <v>2173</v>
      </c>
    </row>
    <row r="7014" spans="1:16" ht="19.5" hidden="1" thickBot="1" x14ac:dyDescent="0.3">
      <c r="A7014" s="1059">
        <f>MAX(A6904:A7013)+1</f>
        <v>4345</v>
      </c>
      <c r="B7014" s="759" t="s">
        <v>2031</v>
      </c>
      <c r="C7014" s="532" t="s">
        <v>23</v>
      </c>
      <c r="D7014" s="533">
        <v>17.219000000000001</v>
      </c>
      <c r="E7014" s="534">
        <v>16.494</v>
      </c>
      <c r="F7014" s="535" t="s">
        <v>16</v>
      </c>
      <c r="G7014" s="1080" t="s">
        <v>1634</v>
      </c>
      <c r="H7014" s="535" t="s">
        <v>2068</v>
      </c>
      <c r="I7014" s="537" t="s">
        <v>2068</v>
      </c>
      <c r="J7014" s="538"/>
      <c r="K7014" s="535" t="str">
        <f t="shared" si="210"/>
        <v>08,26</v>
      </c>
      <c r="L7014" s="535" t="s">
        <v>28</v>
      </c>
      <c r="M7014" s="535">
        <v>17310.52</v>
      </c>
      <c r="N7014" s="539">
        <v>0.41666666666666669</v>
      </c>
      <c r="O7014" s="897" t="s">
        <v>2078</v>
      </c>
      <c r="P7014" s="867" t="s">
        <v>2160</v>
      </c>
    </row>
    <row r="7015" spans="1:16" ht="19.5" hidden="1" thickBot="1" x14ac:dyDescent="0.3">
      <c r="A7015" s="1061"/>
      <c r="B7015" s="785" t="s">
        <v>2068</v>
      </c>
      <c r="C7015" s="786" t="s">
        <v>23</v>
      </c>
      <c r="D7015" s="787">
        <v>0.84</v>
      </c>
      <c r="E7015" s="787">
        <v>0.84</v>
      </c>
      <c r="F7015" s="788" t="s">
        <v>16</v>
      </c>
      <c r="G7015" s="1081"/>
      <c r="H7015" s="873" t="s">
        <v>2068</v>
      </c>
      <c r="I7015" s="788" t="s">
        <v>2068</v>
      </c>
      <c r="J7015" s="790"/>
      <c r="K7015" s="873" t="str">
        <f t="shared" si="210"/>
        <v>08,26</v>
      </c>
      <c r="L7015" s="788" t="s">
        <v>28</v>
      </c>
      <c r="M7015" s="788">
        <v>843.60000000000014</v>
      </c>
      <c r="N7015" s="784">
        <v>0.41666666666666669</v>
      </c>
      <c r="O7015" s="897" t="s">
        <v>2150</v>
      </c>
      <c r="P7015" s="867" t="s">
        <v>2161</v>
      </c>
    </row>
    <row r="7016" spans="1:16" ht="19.5" hidden="1" thickBot="1" x14ac:dyDescent="0.3">
      <c r="A7016" s="513">
        <f>MAX(A6905:A7015)+1</f>
        <v>4346</v>
      </c>
      <c r="B7016" s="495" t="s">
        <v>2067</v>
      </c>
      <c r="C7016" s="496" t="s">
        <v>26</v>
      </c>
      <c r="D7016" s="497">
        <v>14.736000000000001</v>
      </c>
      <c r="E7016" s="498">
        <v>14.736000000000001</v>
      </c>
      <c r="F7016" s="499" t="s">
        <v>30</v>
      </c>
      <c r="G7016" s="562"/>
      <c r="H7016" s="499" t="s">
        <v>2116</v>
      </c>
      <c r="I7016" s="500" t="s">
        <v>2148</v>
      </c>
      <c r="J7016" s="501"/>
      <c r="K7016" s="499" t="str">
        <f t="shared" si="210"/>
        <v>08,26</v>
      </c>
      <c r="L7016" s="499" t="s">
        <v>265</v>
      </c>
      <c r="M7016" s="499">
        <v>14736.039999999999</v>
      </c>
      <c r="N7016" s="502">
        <v>0.375</v>
      </c>
      <c r="O7016" s="897" t="s">
        <v>2117</v>
      </c>
      <c r="P7016" s="867" t="s">
        <v>2194</v>
      </c>
    </row>
    <row r="7017" spans="1:16" ht="19.5" hidden="1" thickBot="1" x14ac:dyDescent="0.3">
      <c r="A7017" s="1059">
        <f>MAX(A6906:A7016)+1</f>
        <v>4347</v>
      </c>
      <c r="B7017" s="759" t="s">
        <v>2067</v>
      </c>
      <c r="C7017" s="532" t="s">
        <v>320</v>
      </c>
      <c r="D7017" s="533">
        <v>1.159</v>
      </c>
      <c r="E7017" s="534">
        <v>1.159</v>
      </c>
      <c r="F7017" s="535" t="s">
        <v>30</v>
      </c>
      <c r="G7017" s="536"/>
      <c r="H7017" s="535" t="s">
        <v>2116</v>
      </c>
      <c r="I7017" s="537" t="s">
        <v>2116</v>
      </c>
      <c r="J7017" s="538"/>
      <c r="K7017" s="535" t="str">
        <f t="shared" si="210"/>
        <v>08,26</v>
      </c>
      <c r="L7017" s="535" t="s">
        <v>266</v>
      </c>
      <c r="M7017" s="535">
        <v>1159.2</v>
      </c>
      <c r="N7017" s="539">
        <v>0.41666666666666669</v>
      </c>
      <c r="O7017" s="897" t="s">
        <v>2122</v>
      </c>
      <c r="P7017" s="867" t="s">
        <v>2174</v>
      </c>
    </row>
    <row r="7018" spans="1:16" ht="19.5" hidden="1" thickBot="1" x14ac:dyDescent="0.3">
      <c r="A7018" s="1060"/>
      <c r="B7018" s="824" t="s">
        <v>2067</v>
      </c>
      <c r="C7018" s="820" t="s">
        <v>47</v>
      </c>
      <c r="D7018" s="821">
        <v>0.10199999999999999</v>
      </c>
      <c r="E7018" s="822">
        <v>0.10199999999999999</v>
      </c>
      <c r="F7018" s="819" t="s">
        <v>30</v>
      </c>
      <c r="G7018" s="823"/>
      <c r="H7018" s="819" t="s">
        <v>2116</v>
      </c>
      <c r="I7018" s="782" t="s">
        <v>2116</v>
      </c>
      <c r="J7018" s="825"/>
      <c r="K7018" s="819" t="str">
        <f t="shared" si="210"/>
        <v>08,26</v>
      </c>
      <c r="L7018" s="819" t="s">
        <v>28</v>
      </c>
      <c r="M7018" s="819">
        <v>102.11999999999999</v>
      </c>
      <c r="N7018" s="811">
        <v>0.41666666666666669</v>
      </c>
      <c r="P7018" s="867" t="s">
        <v>2175</v>
      </c>
    </row>
    <row r="7019" spans="1:16" ht="19.5" hidden="1" thickBot="1" x14ac:dyDescent="0.3">
      <c r="A7019" s="1061"/>
      <c r="B7019" s="951" t="s">
        <v>2067</v>
      </c>
      <c r="C7019" s="870" t="s">
        <v>47</v>
      </c>
      <c r="D7019" s="871">
        <v>11.289</v>
      </c>
      <c r="E7019" s="872">
        <v>11.29</v>
      </c>
      <c r="F7019" s="873" t="s">
        <v>30</v>
      </c>
      <c r="G7019" s="874"/>
      <c r="H7019" s="873" t="s">
        <v>2116</v>
      </c>
      <c r="I7019" s="875" t="s">
        <v>2116</v>
      </c>
      <c r="J7019" s="876"/>
      <c r="K7019" s="873" t="str">
        <f t="shared" si="210"/>
        <v>08,26</v>
      </c>
      <c r="L7019" s="873" t="s">
        <v>28</v>
      </c>
      <c r="M7019" s="873">
        <v>11289.920000000002</v>
      </c>
      <c r="N7019" s="784">
        <v>0.41666666666666669</v>
      </c>
      <c r="O7019" s="897" t="s">
        <v>2121</v>
      </c>
      <c r="P7019" s="867" t="s">
        <v>2176</v>
      </c>
    </row>
    <row r="7020" spans="1:16" ht="19.5" hidden="1" thickBot="1" x14ac:dyDescent="0.3">
      <c r="A7020" s="572">
        <f t="shared" ref="A7020:A7026" si="211">MAX(A6908:A7019)+1</f>
        <v>4348</v>
      </c>
      <c r="B7020" s="953" t="s">
        <v>2067</v>
      </c>
      <c r="C7020" s="954" t="s">
        <v>32</v>
      </c>
      <c r="D7020" s="955">
        <v>17.5</v>
      </c>
      <c r="E7020" s="956" t="s">
        <v>1496</v>
      </c>
      <c r="F7020" s="957" t="s">
        <v>16</v>
      </c>
      <c r="G7020" s="958"/>
      <c r="H7020" s="957" t="s">
        <v>2116</v>
      </c>
      <c r="I7020" s="959" t="s">
        <v>1496</v>
      </c>
      <c r="J7020" s="960"/>
      <c r="K7020" s="957" t="str">
        <f t="shared" si="210"/>
        <v>тмена</v>
      </c>
      <c r="L7020" s="957" t="s">
        <v>266</v>
      </c>
      <c r="M7020" s="957">
        <v>17503.2</v>
      </c>
      <c r="N7020" s="961">
        <v>0.41666666666666669</v>
      </c>
      <c r="O7020" s="920" t="s">
        <v>2126</v>
      </c>
      <c r="P7020" s="921" t="s">
        <v>1024</v>
      </c>
    </row>
    <row r="7021" spans="1:16" ht="19.5" hidden="1" thickBot="1" x14ac:dyDescent="0.3">
      <c r="A7021" s="503">
        <f t="shared" si="211"/>
        <v>4349</v>
      </c>
      <c r="B7021" s="504" t="s">
        <v>2068</v>
      </c>
      <c r="C7021" s="505" t="s">
        <v>32</v>
      </c>
      <c r="D7021" s="506">
        <v>18.096</v>
      </c>
      <c r="E7021" s="507">
        <v>15.866</v>
      </c>
      <c r="F7021" s="508" t="s">
        <v>16</v>
      </c>
      <c r="G7021" s="509"/>
      <c r="H7021" s="508" t="s">
        <v>2148</v>
      </c>
      <c r="I7021" s="510" t="s">
        <v>2148</v>
      </c>
      <c r="J7021" s="511"/>
      <c r="K7021" s="508" t="str">
        <f t="shared" si="210"/>
        <v>08,26</v>
      </c>
      <c r="L7021" s="508" t="s">
        <v>266</v>
      </c>
      <c r="M7021" s="508">
        <v>18255.400000000001</v>
      </c>
      <c r="N7021" s="512">
        <v>0.41666666666666669</v>
      </c>
      <c r="O7021" s="897" t="s">
        <v>2149</v>
      </c>
      <c r="P7021" s="867" t="s">
        <v>2197</v>
      </c>
    </row>
    <row r="7022" spans="1:16" ht="19.5" hidden="1" thickBot="1" x14ac:dyDescent="0.3">
      <c r="A7022" s="513">
        <f t="shared" si="211"/>
        <v>4350</v>
      </c>
      <c r="B7022" s="514" t="s">
        <v>2068</v>
      </c>
      <c r="C7022" s="515" t="s">
        <v>32</v>
      </c>
      <c r="D7022" s="516">
        <v>17.931999999999999</v>
      </c>
      <c r="E7022" s="517">
        <v>16.312999999999999</v>
      </c>
      <c r="F7022" s="518" t="s">
        <v>16</v>
      </c>
      <c r="G7022" s="519"/>
      <c r="H7022" s="518" t="s">
        <v>2148</v>
      </c>
      <c r="I7022" s="520" t="s">
        <v>2162</v>
      </c>
      <c r="J7022" s="521"/>
      <c r="K7022" s="518" t="str">
        <f t="shared" si="210"/>
        <v>08,26</v>
      </c>
      <c r="L7022" s="518" t="s">
        <v>266</v>
      </c>
      <c r="M7022" s="518">
        <v>18039.280000000002</v>
      </c>
      <c r="N7022" s="522">
        <v>0.45833333333333331</v>
      </c>
      <c r="O7022" s="897" t="s">
        <v>2151</v>
      </c>
      <c r="P7022" s="867" t="s">
        <v>2243</v>
      </c>
    </row>
    <row r="7023" spans="1:16" ht="19.5" hidden="1" thickBot="1" x14ac:dyDescent="0.3">
      <c r="A7023" s="503">
        <f t="shared" si="211"/>
        <v>4351</v>
      </c>
      <c r="B7023" s="504" t="s">
        <v>2068</v>
      </c>
      <c r="C7023" s="505" t="s">
        <v>32</v>
      </c>
      <c r="D7023" s="506">
        <v>18</v>
      </c>
      <c r="E7023" s="507">
        <v>16.992000000000001</v>
      </c>
      <c r="F7023" s="508" t="s">
        <v>16</v>
      </c>
      <c r="G7023" s="509"/>
      <c r="H7023" s="508" t="s">
        <v>2148</v>
      </c>
      <c r="I7023" s="510" t="s">
        <v>2162</v>
      </c>
      <c r="J7023" s="511"/>
      <c r="K7023" s="508" t="str">
        <f t="shared" si="210"/>
        <v>08,26</v>
      </c>
      <c r="L7023" s="508" t="s">
        <v>266</v>
      </c>
      <c r="M7023" s="508">
        <v>18018</v>
      </c>
      <c r="N7023" s="512">
        <v>0.5</v>
      </c>
      <c r="O7023" s="897" t="s">
        <v>2152</v>
      </c>
      <c r="P7023" s="867" t="s">
        <v>2244</v>
      </c>
    </row>
    <row r="7024" spans="1:16" ht="19.5" hidden="1" thickBot="1" x14ac:dyDescent="0.3">
      <c r="A7024" s="513">
        <f t="shared" si="211"/>
        <v>4352</v>
      </c>
      <c r="B7024" s="663" t="s">
        <v>2068</v>
      </c>
      <c r="C7024" s="664" t="s">
        <v>32</v>
      </c>
      <c r="D7024" s="665">
        <v>17.8</v>
      </c>
      <c r="E7024" s="666" t="s">
        <v>1496</v>
      </c>
      <c r="F7024" s="667" t="s">
        <v>16</v>
      </c>
      <c r="G7024" s="668"/>
      <c r="H7024" s="667" t="s">
        <v>2148</v>
      </c>
      <c r="I7024" s="669" t="s">
        <v>1496</v>
      </c>
      <c r="J7024" s="670"/>
      <c r="K7024" s="667" t="str">
        <f t="shared" si="210"/>
        <v>тмена</v>
      </c>
      <c r="L7024" s="667" t="s">
        <v>266</v>
      </c>
      <c r="M7024" s="667">
        <v>17810.400000000001</v>
      </c>
      <c r="N7024" s="671">
        <v>0.54166666666666663</v>
      </c>
      <c r="O7024" s="920" t="s">
        <v>2153</v>
      </c>
      <c r="P7024" s="921" t="s">
        <v>1024</v>
      </c>
    </row>
    <row r="7025" spans="1:17" ht="19.5" hidden="1" thickBot="1" x14ac:dyDescent="0.3">
      <c r="A7025" s="551">
        <f t="shared" si="211"/>
        <v>4353</v>
      </c>
      <c r="B7025" s="552" t="s">
        <v>2068</v>
      </c>
      <c r="C7025" s="553" t="s">
        <v>848</v>
      </c>
      <c r="D7025" s="554">
        <v>18</v>
      </c>
      <c r="E7025" s="555">
        <v>13.577</v>
      </c>
      <c r="F7025" s="556" t="s">
        <v>16</v>
      </c>
      <c r="G7025" s="557"/>
      <c r="H7025" s="556" t="s">
        <v>2148</v>
      </c>
      <c r="I7025" s="558" t="s">
        <v>2162</v>
      </c>
      <c r="J7025" s="559"/>
      <c r="K7025" s="556" t="str">
        <f t="shared" si="210"/>
        <v>08,26</v>
      </c>
      <c r="L7025" s="556" t="s">
        <v>266</v>
      </c>
      <c r="M7025" s="556">
        <v>18144.8</v>
      </c>
      <c r="N7025" s="560">
        <v>0.58333333333333337</v>
      </c>
      <c r="O7025" s="897" t="s">
        <v>2159</v>
      </c>
      <c r="P7025" s="867" t="s">
        <v>2248</v>
      </c>
    </row>
    <row r="7026" spans="1:17" ht="19.5" hidden="1" thickBot="1" x14ac:dyDescent="0.3">
      <c r="A7026" s="1062">
        <f t="shared" si="211"/>
        <v>4354</v>
      </c>
      <c r="B7026" s="610" t="s">
        <v>2116</v>
      </c>
      <c r="C7026" s="480" t="s">
        <v>26</v>
      </c>
      <c r="D7026" s="481">
        <v>17.289000000000001</v>
      </c>
      <c r="E7026" s="482">
        <v>13.244</v>
      </c>
      <c r="F7026" s="483" t="s">
        <v>16</v>
      </c>
      <c r="G7026" s="899"/>
      <c r="H7026" s="483" t="s">
        <v>2162</v>
      </c>
      <c r="I7026" s="484" t="s">
        <v>2162</v>
      </c>
      <c r="J7026" s="485"/>
      <c r="K7026" s="483" t="str">
        <f t="shared" si="210"/>
        <v>08,26</v>
      </c>
      <c r="L7026" s="483" t="s">
        <v>265</v>
      </c>
      <c r="M7026" s="483">
        <v>17506.84</v>
      </c>
      <c r="N7026" s="486">
        <v>0.375</v>
      </c>
      <c r="O7026" s="897" t="s">
        <v>2163</v>
      </c>
      <c r="P7026" s="867" t="s">
        <v>2195</v>
      </c>
    </row>
    <row r="7027" spans="1:17" ht="19.5" hidden="1" thickBot="1" x14ac:dyDescent="0.3">
      <c r="A7027" s="1063"/>
      <c r="B7027" s="805" t="s">
        <v>2148</v>
      </c>
      <c r="C7027" s="806" t="s">
        <v>26</v>
      </c>
      <c r="D7027" s="807">
        <v>4.0999999999999996</v>
      </c>
      <c r="E7027" s="807">
        <v>4.1219999999999999</v>
      </c>
      <c r="F7027" s="808" t="s">
        <v>16</v>
      </c>
      <c r="G7027" s="902" t="s">
        <v>76</v>
      </c>
      <c r="H7027" s="808" t="s">
        <v>2191</v>
      </c>
      <c r="I7027" s="808" t="s">
        <v>2162</v>
      </c>
      <c r="J7027" s="810"/>
      <c r="K7027" s="808" t="str">
        <f t="shared" si="210"/>
        <v>08,26</v>
      </c>
      <c r="L7027" s="808" t="s">
        <v>265</v>
      </c>
      <c r="M7027" s="808">
        <v>4110</v>
      </c>
      <c r="N7027" s="778">
        <v>0.375</v>
      </c>
      <c r="O7027" s="897" t="s">
        <v>2193</v>
      </c>
      <c r="P7027" s="867" t="s">
        <v>2196</v>
      </c>
    </row>
    <row r="7028" spans="1:17" ht="19.5" hidden="1" thickBot="1" x14ac:dyDescent="0.3">
      <c r="A7028" s="1066">
        <f>MAX(A6915:A7027)+1</f>
        <v>4355</v>
      </c>
      <c r="B7028" s="759" t="s">
        <v>2116</v>
      </c>
      <c r="C7028" s="532" t="s">
        <v>26</v>
      </c>
      <c r="D7028" s="533">
        <v>17.274000000000001</v>
      </c>
      <c r="E7028" s="534">
        <v>12.675000000000001</v>
      </c>
      <c r="F7028" s="535" t="s">
        <v>16</v>
      </c>
      <c r="G7028" s="898"/>
      <c r="H7028" s="535" t="s">
        <v>2162</v>
      </c>
      <c r="I7028" s="537" t="s">
        <v>2162</v>
      </c>
      <c r="J7028" s="538"/>
      <c r="K7028" s="535" t="str">
        <f t="shared" si="210"/>
        <v>08,26</v>
      </c>
      <c r="L7028" s="567" t="s">
        <v>265</v>
      </c>
      <c r="M7028" s="567">
        <v>17492.02</v>
      </c>
      <c r="N7028" s="571">
        <v>0.41666666666666669</v>
      </c>
      <c r="O7028" s="897" t="s">
        <v>2165</v>
      </c>
      <c r="P7028" s="867" t="s">
        <v>2204</v>
      </c>
    </row>
    <row r="7029" spans="1:17" ht="19.5" hidden="1" thickBot="1" x14ac:dyDescent="0.3">
      <c r="A7029" s="1068"/>
      <c r="B7029" s="852" t="s">
        <v>2162</v>
      </c>
      <c r="C7029" s="837" t="s">
        <v>26</v>
      </c>
      <c r="D7029" s="838">
        <v>0.7</v>
      </c>
      <c r="E7029" s="838">
        <v>0.71199999999999997</v>
      </c>
      <c r="F7029" s="839" t="s">
        <v>16</v>
      </c>
      <c r="G7029" s="950" t="s">
        <v>76</v>
      </c>
      <c r="H7029" s="839" t="s">
        <v>2162</v>
      </c>
      <c r="I7029" s="839" t="s">
        <v>2162</v>
      </c>
      <c r="J7029" s="840"/>
      <c r="K7029" s="839" t="str">
        <f t="shared" si="210"/>
        <v>08,26</v>
      </c>
      <c r="L7029" s="839" t="s">
        <v>265</v>
      </c>
      <c r="M7029" s="839">
        <v>705</v>
      </c>
      <c r="N7029" s="598">
        <v>0.41666666666666669</v>
      </c>
      <c r="O7029" s="897" t="s">
        <v>2198</v>
      </c>
      <c r="P7029" s="867" t="s">
        <v>2205</v>
      </c>
    </row>
    <row r="7030" spans="1:17" ht="19.5" hidden="1" thickBot="1" x14ac:dyDescent="0.3">
      <c r="A7030" s="1067"/>
      <c r="B7030" s="798" t="s">
        <v>2148</v>
      </c>
      <c r="C7030" s="799" t="s">
        <v>26</v>
      </c>
      <c r="D7030" s="800">
        <v>4</v>
      </c>
      <c r="E7030" s="800">
        <v>4.0289999999999999</v>
      </c>
      <c r="F7030" s="801" t="s">
        <v>16</v>
      </c>
      <c r="G7030" s="942" t="s">
        <v>76</v>
      </c>
      <c r="H7030" s="801" t="s">
        <v>2162</v>
      </c>
      <c r="I7030" s="801" t="s">
        <v>2162</v>
      </c>
      <c r="J7030" s="803"/>
      <c r="K7030" s="801" t="str">
        <f t="shared" si="210"/>
        <v>08,26</v>
      </c>
      <c r="L7030" s="801" t="s">
        <v>265</v>
      </c>
      <c r="M7030" s="801">
        <v>4020</v>
      </c>
      <c r="N7030" s="804">
        <v>0.41666666666666669</v>
      </c>
      <c r="O7030" s="897" t="s">
        <v>2192</v>
      </c>
      <c r="P7030" s="867" t="s">
        <v>2206</v>
      </c>
    </row>
    <row r="7031" spans="1:17" ht="19.5" hidden="1" thickBot="1" x14ac:dyDescent="0.3">
      <c r="A7031" s="513">
        <f t="shared" ref="A7031:A7032" si="212">MAX(A6916:A7030)+1</f>
        <v>4356</v>
      </c>
      <c r="B7031" s="514" t="s">
        <v>2116</v>
      </c>
      <c r="C7031" s="515" t="s">
        <v>23</v>
      </c>
      <c r="D7031" s="516">
        <v>11.18</v>
      </c>
      <c r="E7031" s="517">
        <v>11.18</v>
      </c>
      <c r="F7031" s="518" t="s">
        <v>30</v>
      </c>
      <c r="G7031" s="519"/>
      <c r="H7031" s="518" t="s">
        <v>2162</v>
      </c>
      <c r="I7031" s="520" t="s">
        <v>2162</v>
      </c>
      <c r="J7031" s="521"/>
      <c r="K7031" s="518" t="str">
        <f t="shared" si="210"/>
        <v>08,26</v>
      </c>
      <c r="L7031" s="518" t="s">
        <v>28</v>
      </c>
      <c r="M7031" s="518">
        <v>11180.84</v>
      </c>
      <c r="N7031" s="522">
        <v>0.41666666666666669</v>
      </c>
      <c r="O7031" s="897" t="s">
        <v>2168</v>
      </c>
      <c r="P7031" s="867" t="s">
        <v>2268</v>
      </c>
    </row>
    <row r="7032" spans="1:17" ht="19.5" hidden="1" thickBot="1" x14ac:dyDescent="0.3">
      <c r="A7032" s="1066">
        <f t="shared" si="212"/>
        <v>4357</v>
      </c>
      <c r="B7032" s="759" t="s">
        <v>2116</v>
      </c>
      <c r="C7032" s="532" t="s">
        <v>26</v>
      </c>
      <c r="D7032" s="533">
        <v>17.21</v>
      </c>
      <c r="E7032" s="534">
        <v>12.603999999999999</v>
      </c>
      <c r="F7032" s="535" t="s">
        <v>16</v>
      </c>
      <c r="G7032" s="898"/>
      <c r="H7032" s="535" t="s">
        <v>2164</v>
      </c>
      <c r="I7032" s="537" t="s">
        <v>2164</v>
      </c>
      <c r="J7032" s="538"/>
      <c r="K7032" s="535" t="str">
        <f t="shared" si="210"/>
        <v>08,26</v>
      </c>
      <c r="L7032" s="567" t="s">
        <v>265</v>
      </c>
      <c r="M7032" s="567">
        <v>17234.2</v>
      </c>
      <c r="N7032" s="571">
        <v>0.375</v>
      </c>
      <c r="O7032" s="897" t="s">
        <v>2166</v>
      </c>
      <c r="P7032" s="867" t="s">
        <v>2245</v>
      </c>
    </row>
    <row r="7033" spans="1:17" ht="19.5" hidden="1" thickBot="1" x14ac:dyDescent="0.3">
      <c r="A7033" s="1068"/>
      <c r="B7033" s="852" t="s">
        <v>2164</v>
      </c>
      <c r="C7033" s="837" t="s">
        <v>26</v>
      </c>
      <c r="D7033" s="838">
        <v>1.2</v>
      </c>
      <c r="E7033" s="838">
        <v>1.216</v>
      </c>
      <c r="F7033" s="839" t="s">
        <v>16</v>
      </c>
      <c r="G7033" s="950" t="s">
        <v>76</v>
      </c>
      <c r="H7033" s="839" t="s">
        <v>2164</v>
      </c>
      <c r="I7033" s="839" t="s">
        <v>2164</v>
      </c>
      <c r="J7033" s="840"/>
      <c r="K7033" s="839" t="str">
        <f t="shared" si="210"/>
        <v>08,26</v>
      </c>
      <c r="L7033" s="839" t="s">
        <v>265</v>
      </c>
      <c r="M7033" s="839">
        <v>1200</v>
      </c>
      <c r="N7033" s="598">
        <v>0.375</v>
      </c>
      <c r="O7033" s="897" t="s">
        <v>2227</v>
      </c>
      <c r="P7033" s="867" t="s">
        <v>2246</v>
      </c>
    </row>
    <row r="7034" spans="1:17" ht="19.5" hidden="1" thickBot="1" x14ac:dyDescent="0.3">
      <c r="A7034" s="1067"/>
      <c r="B7034" s="798" t="s">
        <v>2162</v>
      </c>
      <c r="C7034" s="799" t="s">
        <v>26</v>
      </c>
      <c r="D7034" s="800">
        <v>3.6</v>
      </c>
      <c r="E7034" s="800">
        <v>3.621</v>
      </c>
      <c r="F7034" s="801" t="s">
        <v>16</v>
      </c>
      <c r="G7034" s="942" t="s">
        <v>76</v>
      </c>
      <c r="H7034" s="801" t="s">
        <v>2164</v>
      </c>
      <c r="I7034" s="801" t="s">
        <v>2164</v>
      </c>
      <c r="J7034" s="803"/>
      <c r="K7034" s="801" t="str">
        <f t="shared" si="210"/>
        <v>08,26</v>
      </c>
      <c r="L7034" s="801" t="s">
        <v>265</v>
      </c>
      <c r="M7034" s="801">
        <v>3615</v>
      </c>
      <c r="N7034" s="804">
        <v>0.375</v>
      </c>
      <c r="O7034" s="897" t="s">
        <v>2226</v>
      </c>
      <c r="P7034" s="867" t="s">
        <v>2247</v>
      </c>
    </row>
    <row r="7035" spans="1:17" ht="19.5" hidden="1" thickBot="1" x14ac:dyDescent="0.3">
      <c r="A7035" s="1062">
        <f>MAX(A6918:A7032)+1</f>
        <v>4358</v>
      </c>
      <c r="B7035" s="610" t="s">
        <v>2116</v>
      </c>
      <c r="C7035" s="480" t="s">
        <v>26</v>
      </c>
      <c r="D7035" s="481">
        <v>17.335999999999999</v>
      </c>
      <c r="E7035" s="482">
        <f>12.074+0.347</f>
        <v>12.420999999999999</v>
      </c>
      <c r="F7035" s="483" t="s">
        <v>16</v>
      </c>
      <c r="G7035" s="899"/>
      <c r="H7035" s="483" t="s">
        <v>2164</v>
      </c>
      <c r="I7035" s="484" t="s">
        <v>2184</v>
      </c>
      <c r="J7035" s="485"/>
      <c r="K7035" s="483" t="str">
        <f t="shared" si="210"/>
        <v>08,26</v>
      </c>
      <c r="L7035" s="483" t="s">
        <v>265</v>
      </c>
      <c r="M7035" s="483">
        <v>17498</v>
      </c>
      <c r="N7035" s="486">
        <v>0.41666666666666669</v>
      </c>
      <c r="O7035" s="897" t="s">
        <v>2167</v>
      </c>
      <c r="P7035" s="867" t="s">
        <v>2236</v>
      </c>
      <c r="Q7035" s="847" t="s">
        <v>2239</v>
      </c>
    </row>
    <row r="7036" spans="1:17" ht="19.5" hidden="1" thickBot="1" x14ac:dyDescent="0.3">
      <c r="A7036" s="1063"/>
      <c r="B7036" s="805" t="s">
        <v>2162</v>
      </c>
      <c r="C7036" s="806" t="s">
        <v>26</v>
      </c>
      <c r="D7036" s="807">
        <v>5</v>
      </c>
      <c r="E7036" s="807">
        <v>5.0620000000000003</v>
      </c>
      <c r="F7036" s="808" t="s">
        <v>16</v>
      </c>
      <c r="G7036" s="902" t="s">
        <v>76</v>
      </c>
      <c r="H7036" s="808" t="s">
        <v>2164</v>
      </c>
      <c r="I7036" s="808" t="s">
        <v>2184</v>
      </c>
      <c r="J7036" s="810"/>
      <c r="K7036" s="808" t="str">
        <f t="shared" si="210"/>
        <v>08,26</v>
      </c>
      <c r="L7036" s="808" t="s">
        <v>265</v>
      </c>
      <c r="M7036" s="808">
        <v>5025</v>
      </c>
      <c r="N7036" s="778">
        <v>0.41666666666666669</v>
      </c>
      <c r="O7036" s="897" t="s">
        <v>2238</v>
      </c>
      <c r="P7036" s="867" t="s">
        <v>2237</v>
      </c>
      <c r="Q7036" s="952"/>
    </row>
    <row r="7037" spans="1:17" ht="19.5" hidden="1" thickBot="1" x14ac:dyDescent="0.3">
      <c r="A7037" s="1059">
        <f>MAX(A6919:A7035)+1</f>
        <v>4359</v>
      </c>
      <c r="B7037" s="759" t="s">
        <v>2116</v>
      </c>
      <c r="C7037" s="532" t="s">
        <v>23</v>
      </c>
      <c r="D7037" s="533">
        <v>17.605</v>
      </c>
      <c r="E7037" s="534">
        <v>16.12</v>
      </c>
      <c r="F7037" s="535" t="s">
        <v>16</v>
      </c>
      <c r="G7037" s="898"/>
      <c r="H7037" s="535" t="s">
        <v>2164</v>
      </c>
      <c r="I7037" s="537" t="s">
        <v>2164</v>
      </c>
      <c r="J7037" s="538"/>
      <c r="K7037" s="535" t="str">
        <f t="shared" si="210"/>
        <v>08,26</v>
      </c>
      <c r="L7037" s="567" t="s">
        <v>28</v>
      </c>
      <c r="M7037" s="567">
        <v>17760.07</v>
      </c>
      <c r="N7037" s="571">
        <v>0.45833333333333331</v>
      </c>
      <c r="O7037" s="897" t="s">
        <v>2169</v>
      </c>
      <c r="P7037" s="867" t="s">
        <v>2269</v>
      </c>
    </row>
    <row r="7038" spans="1:17" ht="19.5" hidden="1" thickBot="1" x14ac:dyDescent="0.3">
      <c r="A7038" s="1061"/>
      <c r="B7038" s="798" t="s">
        <v>2164</v>
      </c>
      <c r="C7038" s="799" t="s">
        <v>23</v>
      </c>
      <c r="D7038" s="800">
        <v>1</v>
      </c>
      <c r="E7038" s="800">
        <v>1.0189999999999999</v>
      </c>
      <c r="F7038" s="801" t="s">
        <v>16</v>
      </c>
      <c r="G7038" s="942" t="s">
        <v>76</v>
      </c>
      <c r="H7038" s="801" t="s">
        <v>2164</v>
      </c>
      <c r="I7038" s="801" t="s">
        <v>2164</v>
      </c>
      <c r="J7038" s="803"/>
      <c r="K7038" s="801" t="str">
        <f t="shared" si="210"/>
        <v>08,26</v>
      </c>
      <c r="L7038" s="801" t="s">
        <v>28</v>
      </c>
      <c r="M7038" s="801">
        <v>1020.9000000000001</v>
      </c>
      <c r="N7038" s="804">
        <v>0.45833333333333331</v>
      </c>
      <c r="O7038" s="897" t="s">
        <v>2228</v>
      </c>
      <c r="P7038" s="867" t="s">
        <v>2270</v>
      </c>
    </row>
    <row r="7039" spans="1:17" ht="19.5" hidden="1" thickBot="1" x14ac:dyDescent="0.3">
      <c r="A7039" s="1062">
        <f>MAX(A6920:A7037)+1</f>
        <v>4360</v>
      </c>
      <c r="B7039" s="610" t="s">
        <v>2116</v>
      </c>
      <c r="C7039" s="480" t="s">
        <v>47</v>
      </c>
      <c r="D7039" s="481">
        <v>17.609000000000002</v>
      </c>
      <c r="E7039" s="482">
        <f>14.263+0.598</f>
        <v>14.861000000000001</v>
      </c>
      <c r="F7039" s="483" t="s">
        <v>16</v>
      </c>
      <c r="G7039" s="899"/>
      <c r="H7039" s="483" t="s">
        <v>2164</v>
      </c>
      <c r="I7039" s="484" t="s">
        <v>2184</v>
      </c>
      <c r="J7039" s="485"/>
      <c r="K7039" s="483" t="str">
        <f t="shared" si="210"/>
        <v>08,26</v>
      </c>
      <c r="L7039" s="483" t="s">
        <v>28</v>
      </c>
      <c r="M7039" s="483">
        <v>17830.800000000003</v>
      </c>
      <c r="N7039" s="486">
        <v>0.5</v>
      </c>
      <c r="O7039" s="897" t="s">
        <v>2170</v>
      </c>
      <c r="P7039" s="867" t="s">
        <v>2253</v>
      </c>
      <c r="Q7039" s="847" t="s">
        <v>2255</v>
      </c>
    </row>
    <row r="7040" spans="1:17" ht="19.5" hidden="1" thickBot="1" x14ac:dyDescent="0.3">
      <c r="A7040" s="1063"/>
      <c r="B7040" s="805" t="s">
        <v>2164</v>
      </c>
      <c r="C7040" s="806" t="s">
        <v>47</v>
      </c>
      <c r="D7040" s="807">
        <v>2.6</v>
      </c>
      <c r="E7040" s="807">
        <v>2.629</v>
      </c>
      <c r="F7040" s="808" t="s">
        <v>16</v>
      </c>
      <c r="G7040" s="902" t="s">
        <v>76</v>
      </c>
      <c r="H7040" s="808" t="s">
        <v>2164</v>
      </c>
      <c r="I7040" s="808" t="s">
        <v>2184</v>
      </c>
      <c r="J7040" s="810"/>
      <c r="K7040" s="808" t="str">
        <f t="shared" si="210"/>
        <v>08,26</v>
      </c>
      <c r="L7040" s="808" t="s">
        <v>28</v>
      </c>
      <c r="M7040" s="808">
        <v>2621.2800000000002</v>
      </c>
      <c r="N7040" s="778">
        <v>0.5</v>
      </c>
      <c r="O7040" s="897" t="s">
        <v>2229</v>
      </c>
      <c r="P7040" s="867" t="s">
        <v>2254</v>
      </c>
    </row>
    <row r="7041" spans="1:18" ht="19.5" hidden="1" thickBot="1" x14ac:dyDescent="0.3">
      <c r="A7041" s="503">
        <f>MAX(A6921:A7040)+1</f>
        <v>4361</v>
      </c>
      <c r="B7041" s="504" t="s">
        <v>2148</v>
      </c>
      <c r="C7041" s="505" t="s">
        <v>26</v>
      </c>
      <c r="D7041" s="506">
        <v>14.093999999999999</v>
      </c>
      <c r="E7041" s="507">
        <v>14.093999999999999</v>
      </c>
      <c r="F7041" s="508" t="s">
        <v>30</v>
      </c>
      <c r="G7041" s="509"/>
      <c r="H7041" s="508" t="s">
        <v>2164</v>
      </c>
      <c r="I7041" s="510" t="s">
        <v>2164</v>
      </c>
      <c r="J7041" s="511"/>
      <c r="K7041" s="508" t="str">
        <f t="shared" si="210"/>
        <v>08,26</v>
      </c>
      <c r="L7041" s="508" t="s">
        <v>265</v>
      </c>
      <c r="M7041" s="508">
        <v>14094.68</v>
      </c>
      <c r="N7041" s="512">
        <v>0.375</v>
      </c>
      <c r="O7041" s="897" t="s">
        <v>2178</v>
      </c>
      <c r="P7041" s="867" t="s">
        <v>2232</v>
      </c>
    </row>
    <row r="7042" spans="1:18" ht="19.5" hidden="1" thickBot="1" x14ac:dyDescent="0.3">
      <c r="A7042" s="1062">
        <f>MAX(A6922:A7041)+1</f>
        <v>4362</v>
      </c>
      <c r="B7042" s="479" t="s">
        <v>2148</v>
      </c>
      <c r="C7042" s="480" t="s">
        <v>41</v>
      </c>
      <c r="D7042" s="481">
        <v>1.345</v>
      </c>
      <c r="E7042" s="482"/>
      <c r="F7042" s="483" t="s">
        <v>16</v>
      </c>
      <c r="G7042" s="549"/>
      <c r="H7042" s="483" t="s">
        <v>2164</v>
      </c>
      <c r="I7042" s="484" t="s">
        <v>2184</v>
      </c>
      <c r="J7042" s="485"/>
      <c r="K7042" s="483" t="str">
        <f t="shared" si="210"/>
        <v>08,26</v>
      </c>
      <c r="L7042" s="483" t="s">
        <v>266</v>
      </c>
      <c r="M7042" s="483">
        <v>1388.7</v>
      </c>
      <c r="N7042" s="486">
        <v>0.54166666666666663</v>
      </c>
      <c r="O7042" s="897" t="s">
        <v>2179</v>
      </c>
      <c r="P7042" s="867" t="s">
        <v>2233</v>
      </c>
    </row>
    <row r="7043" spans="1:18" ht="38.25" hidden="1" thickBot="1" x14ac:dyDescent="0.3">
      <c r="A7043" s="1072"/>
      <c r="B7043" s="911" t="s">
        <v>2148</v>
      </c>
      <c r="C7043" s="912" t="s">
        <v>41</v>
      </c>
      <c r="D7043" s="913">
        <v>3</v>
      </c>
      <c r="E7043" s="914" t="s">
        <v>1496</v>
      </c>
      <c r="F7043" s="915" t="s">
        <v>16</v>
      </c>
      <c r="G7043" s="916" t="s">
        <v>1900</v>
      </c>
      <c r="H7043" s="915" t="s">
        <v>2164</v>
      </c>
      <c r="I7043" s="917" t="s">
        <v>1496</v>
      </c>
      <c r="J7043" s="918"/>
      <c r="K7043" s="915" t="str">
        <f t="shared" si="210"/>
        <v>тмена</v>
      </c>
      <c r="L7043" s="915" t="s">
        <v>266</v>
      </c>
      <c r="M7043" s="915">
        <v>3003</v>
      </c>
      <c r="N7043" s="919">
        <v>0.54166666666666663</v>
      </c>
      <c r="O7043" s="920" t="s">
        <v>2182</v>
      </c>
      <c r="P7043" s="921" t="s">
        <v>1024</v>
      </c>
    </row>
    <row r="7044" spans="1:18" ht="19.5" hidden="1" thickBot="1" x14ac:dyDescent="0.3">
      <c r="A7044" s="1072"/>
      <c r="B7044" s="523" t="s">
        <v>2148</v>
      </c>
      <c r="C7044" s="524" t="s">
        <v>480</v>
      </c>
      <c r="D7044" s="525">
        <v>13</v>
      </c>
      <c r="E7044" s="526"/>
      <c r="F7044" s="527" t="s">
        <v>16</v>
      </c>
      <c r="G7044" s="561"/>
      <c r="H7044" s="527" t="s">
        <v>2164</v>
      </c>
      <c r="I7044" s="528" t="s">
        <v>2184</v>
      </c>
      <c r="J7044" s="529"/>
      <c r="K7044" s="527" t="str">
        <f t="shared" si="210"/>
        <v>08,26</v>
      </c>
      <c r="L7044" s="527" t="s">
        <v>266</v>
      </c>
      <c r="M7044" s="527">
        <v>13139.839999999998</v>
      </c>
      <c r="N7044" s="530">
        <v>0.54166666666666663</v>
      </c>
      <c r="O7044" s="897" t="s">
        <v>2183</v>
      </c>
      <c r="P7044" s="867" t="s">
        <v>2234</v>
      </c>
    </row>
    <row r="7045" spans="1:18" ht="19.5" hidden="1" thickBot="1" x14ac:dyDescent="0.3">
      <c r="A7045" s="1072"/>
      <c r="B7045" s="523" t="s">
        <v>2148</v>
      </c>
      <c r="C7045" s="524" t="s">
        <v>32</v>
      </c>
      <c r="D7045" s="525">
        <v>2.63</v>
      </c>
      <c r="E7045" s="526"/>
      <c r="F7045" s="527" t="s">
        <v>16</v>
      </c>
      <c r="G7045" s="561" t="s">
        <v>1702</v>
      </c>
      <c r="H7045" s="527" t="s">
        <v>2164</v>
      </c>
      <c r="I7045" s="528" t="s">
        <v>2184</v>
      </c>
      <c r="J7045" s="529"/>
      <c r="K7045" s="527" t="str">
        <f t="shared" si="210"/>
        <v>08,26</v>
      </c>
      <c r="L7045" s="527" t="s">
        <v>266</v>
      </c>
      <c r="M7045" s="527">
        <v>2633.25</v>
      </c>
      <c r="N7045" s="530">
        <v>0.54166666666666663</v>
      </c>
      <c r="O7045" s="897" t="s">
        <v>2180</v>
      </c>
      <c r="P7045" s="867" t="s">
        <v>2235</v>
      </c>
    </row>
    <row r="7046" spans="1:18" ht="38.25" hidden="1" thickBot="1" x14ac:dyDescent="0.3">
      <c r="A7046" s="1063"/>
      <c r="B7046" s="953" t="s">
        <v>2148</v>
      </c>
      <c r="C7046" s="954" t="s">
        <v>32</v>
      </c>
      <c r="D7046" s="955">
        <v>2.496</v>
      </c>
      <c r="E7046" s="956" t="s">
        <v>1496</v>
      </c>
      <c r="F7046" s="957" t="s">
        <v>16</v>
      </c>
      <c r="G7046" s="958" t="s">
        <v>2177</v>
      </c>
      <c r="H7046" s="957" t="s">
        <v>2164</v>
      </c>
      <c r="I7046" s="959" t="s">
        <v>1496</v>
      </c>
      <c r="J7046" s="960"/>
      <c r="K7046" s="957" t="str">
        <f t="shared" si="210"/>
        <v>тмена</v>
      </c>
      <c r="L7046" s="957" t="s">
        <v>266</v>
      </c>
      <c r="M7046" s="957">
        <v>2496</v>
      </c>
      <c r="N7046" s="961">
        <v>0.54166666666666663</v>
      </c>
      <c r="O7046" s="920" t="s">
        <v>2181</v>
      </c>
      <c r="P7046" s="921" t="s">
        <v>1024</v>
      </c>
    </row>
    <row r="7047" spans="1:18" ht="19.5" hidden="1" thickBot="1" x14ac:dyDescent="0.3">
      <c r="A7047" s="1059">
        <f>MAX(A6927:A7046)+1</f>
        <v>4363</v>
      </c>
      <c r="B7047" s="759" t="s">
        <v>2148</v>
      </c>
      <c r="C7047" s="532" t="s">
        <v>26</v>
      </c>
      <c r="D7047" s="533">
        <v>15.435</v>
      </c>
      <c r="E7047" s="534">
        <v>10.013</v>
      </c>
      <c r="F7047" s="535" t="s">
        <v>16</v>
      </c>
      <c r="G7047" s="536"/>
      <c r="H7047" s="535" t="s">
        <v>2184</v>
      </c>
      <c r="I7047" s="537" t="s">
        <v>2184</v>
      </c>
      <c r="J7047" s="538"/>
      <c r="K7047" s="535" t="str">
        <f t="shared" si="210"/>
        <v>08,26</v>
      </c>
      <c r="L7047" s="535" t="s">
        <v>265</v>
      </c>
      <c r="M7047" s="535">
        <v>15614.080000000002</v>
      </c>
      <c r="N7047" s="539">
        <v>0.375</v>
      </c>
      <c r="O7047" s="897" t="s">
        <v>2185</v>
      </c>
      <c r="P7047" s="867" t="s">
        <v>2241</v>
      </c>
    </row>
    <row r="7048" spans="1:18" ht="19.5" hidden="1" thickBot="1" x14ac:dyDescent="0.3">
      <c r="A7048" s="1060"/>
      <c r="B7048" s="824" t="s">
        <v>2148</v>
      </c>
      <c r="C7048" s="820" t="s">
        <v>952</v>
      </c>
      <c r="D7048" s="821">
        <v>2.0099999999999998</v>
      </c>
      <c r="E7048" s="822">
        <v>1.4830000000000001</v>
      </c>
      <c r="F7048" s="819" t="s">
        <v>16</v>
      </c>
      <c r="G7048" s="823"/>
      <c r="H7048" s="819" t="s">
        <v>2184</v>
      </c>
      <c r="I7048" s="782" t="s">
        <v>2184</v>
      </c>
      <c r="J7048" s="825"/>
      <c r="K7048" s="819" t="str">
        <f t="shared" si="210"/>
        <v>08,26</v>
      </c>
      <c r="L7048" s="819" t="s">
        <v>265</v>
      </c>
      <c r="M7048" s="819">
        <v>2077.64</v>
      </c>
      <c r="N7048" s="811">
        <v>0.375</v>
      </c>
      <c r="O7048" s="897" t="s">
        <v>2186</v>
      </c>
      <c r="P7048" s="867" t="s">
        <v>2240</v>
      </c>
    </row>
    <row r="7049" spans="1:18" ht="19.5" hidden="1" thickBot="1" x14ac:dyDescent="0.3">
      <c r="A7049" s="1061"/>
      <c r="B7049" s="785" t="s">
        <v>2164</v>
      </c>
      <c r="C7049" s="786" t="s">
        <v>26</v>
      </c>
      <c r="D7049" s="787">
        <v>6.2</v>
      </c>
      <c r="E7049" s="787">
        <v>6.242</v>
      </c>
      <c r="F7049" s="788" t="s">
        <v>16</v>
      </c>
      <c r="G7049" s="789" t="s">
        <v>76</v>
      </c>
      <c r="H7049" s="788" t="s">
        <v>2184</v>
      </c>
      <c r="I7049" s="788" t="s">
        <v>2184</v>
      </c>
      <c r="J7049" s="790"/>
      <c r="K7049" s="788" t="str">
        <f t="shared" si="210"/>
        <v>08,26</v>
      </c>
      <c r="L7049" s="788" t="s">
        <v>265</v>
      </c>
      <c r="M7049" s="788">
        <v>6225</v>
      </c>
      <c r="N7049" s="784">
        <v>0.375</v>
      </c>
      <c r="P7049" s="867" t="s">
        <v>2242</v>
      </c>
    </row>
    <row r="7050" spans="1:18" ht="57" hidden="1" thickBot="1" x14ac:dyDescent="0.3">
      <c r="A7050" s="1062">
        <f>MAX(A6929:A7049)+1</f>
        <v>4364</v>
      </c>
      <c r="B7050" s="523" t="s">
        <v>2148</v>
      </c>
      <c r="C7050" s="524" t="s">
        <v>587</v>
      </c>
      <c r="D7050" s="525">
        <v>0.93300000000000005</v>
      </c>
      <c r="E7050" s="526">
        <v>0.75700000000000001</v>
      </c>
      <c r="F7050" s="527" t="s">
        <v>16</v>
      </c>
      <c r="G7050" s="561" t="s">
        <v>794</v>
      </c>
      <c r="H7050" s="527" t="s">
        <v>2184</v>
      </c>
      <c r="I7050" s="528" t="s">
        <v>2184</v>
      </c>
      <c r="J7050" s="529"/>
      <c r="K7050" s="527" t="str">
        <f t="shared" si="210"/>
        <v>08,26</v>
      </c>
      <c r="L7050" s="527" t="s">
        <v>28</v>
      </c>
      <c r="M7050" s="527">
        <v>933.12</v>
      </c>
      <c r="N7050" s="530">
        <v>0.41666666666666669</v>
      </c>
      <c r="O7050" s="897" t="s">
        <v>2188</v>
      </c>
      <c r="P7050" s="867" t="s">
        <v>2256</v>
      </c>
      <c r="R7050" s="943"/>
    </row>
    <row r="7051" spans="1:18" ht="19.5" hidden="1" thickBot="1" x14ac:dyDescent="0.3">
      <c r="A7051" s="1072"/>
      <c r="B7051" s="523" t="s">
        <v>2148</v>
      </c>
      <c r="C7051" s="524" t="s">
        <v>587</v>
      </c>
      <c r="D7051" s="525">
        <v>9.1039999999999992</v>
      </c>
      <c r="E7051" s="526">
        <v>7.4240000000000004</v>
      </c>
      <c r="F7051" s="527" t="s">
        <v>16</v>
      </c>
      <c r="G7051" s="561" t="s">
        <v>47</v>
      </c>
      <c r="H7051" s="527" t="s">
        <v>2184</v>
      </c>
      <c r="I7051" s="528" t="s">
        <v>2184</v>
      </c>
      <c r="J7051" s="529"/>
      <c r="K7051" s="527" t="str">
        <f t="shared" si="210"/>
        <v>08,26</v>
      </c>
      <c r="L7051" s="527" t="s">
        <v>28</v>
      </c>
      <c r="M7051" s="527">
        <v>9104.880000000001</v>
      </c>
      <c r="N7051" s="530">
        <v>0.41666666666666669</v>
      </c>
      <c r="O7051" s="897" t="s">
        <v>2190</v>
      </c>
      <c r="P7051" s="867" t="s">
        <v>2257</v>
      </c>
    </row>
    <row r="7052" spans="1:18" ht="19.5" hidden="1" thickBot="1" x14ac:dyDescent="0.3">
      <c r="A7052" s="1072"/>
      <c r="B7052" s="523" t="s">
        <v>2148</v>
      </c>
      <c r="C7052" s="524" t="s">
        <v>47</v>
      </c>
      <c r="D7052" s="525">
        <v>8.0050000000000008</v>
      </c>
      <c r="E7052" s="526">
        <f>6.516+1.123</f>
        <v>7.6390000000000002</v>
      </c>
      <c r="F7052" s="527" t="s">
        <v>16</v>
      </c>
      <c r="G7052" s="561"/>
      <c r="H7052" s="527" t="s">
        <v>2184</v>
      </c>
      <c r="I7052" s="528" t="s">
        <v>2184</v>
      </c>
      <c r="J7052" s="529"/>
      <c r="K7052" s="527" t="str">
        <f t="shared" si="210"/>
        <v>08,26</v>
      </c>
      <c r="L7052" s="527" t="s">
        <v>28</v>
      </c>
      <c r="M7052" s="527">
        <v>8075.0400000000009</v>
      </c>
      <c r="N7052" s="530">
        <v>0.41666666666666669</v>
      </c>
      <c r="O7052" s="897" t="s">
        <v>2187</v>
      </c>
      <c r="P7052" s="867" t="s">
        <v>2258</v>
      </c>
      <c r="Q7052" s="847" t="s">
        <v>2260</v>
      </c>
    </row>
    <row r="7053" spans="1:18" ht="19.5" hidden="1" thickBot="1" x14ac:dyDescent="0.3">
      <c r="A7053" s="1063"/>
      <c r="B7053" s="859" t="s">
        <v>2164</v>
      </c>
      <c r="C7053" s="854" t="s">
        <v>47</v>
      </c>
      <c r="D7053" s="855">
        <v>1.45</v>
      </c>
      <c r="E7053" s="855">
        <v>1.4610000000000001</v>
      </c>
      <c r="F7053" s="856" t="s">
        <v>16</v>
      </c>
      <c r="G7053" s="857"/>
      <c r="H7053" s="856" t="s">
        <v>2184</v>
      </c>
      <c r="I7053" s="856" t="s">
        <v>2184</v>
      </c>
      <c r="J7053" s="858"/>
      <c r="K7053" s="856" t="str">
        <f t="shared" si="210"/>
        <v>08,26</v>
      </c>
      <c r="L7053" s="856" t="s">
        <v>28</v>
      </c>
      <c r="M7053" s="856">
        <v>1455</v>
      </c>
      <c r="N7053" s="653">
        <v>0.41666666666666669</v>
      </c>
      <c r="O7053" s="897" t="s">
        <v>2230</v>
      </c>
      <c r="P7053" s="867" t="s">
        <v>2259</v>
      </c>
    </row>
    <row r="7054" spans="1:18" ht="19.5" hidden="1" thickBot="1" x14ac:dyDescent="0.3">
      <c r="A7054" s="1059">
        <f>MAX(A6932:A7053)+1</f>
        <v>4365</v>
      </c>
      <c r="B7054" s="759" t="s">
        <v>2148</v>
      </c>
      <c r="C7054" s="532" t="s">
        <v>23</v>
      </c>
      <c r="D7054" s="533">
        <v>17.747</v>
      </c>
      <c r="E7054" s="534">
        <v>16.556000000000001</v>
      </c>
      <c r="F7054" s="535" t="s">
        <v>16</v>
      </c>
      <c r="G7054" s="898"/>
      <c r="H7054" s="535" t="s">
        <v>2184</v>
      </c>
      <c r="I7054" s="537" t="s">
        <v>2184</v>
      </c>
      <c r="J7054" s="538"/>
      <c r="K7054" s="535" t="str">
        <f t="shared" si="210"/>
        <v>08,26</v>
      </c>
      <c r="L7054" s="567" t="s">
        <v>28</v>
      </c>
      <c r="M7054" s="567">
        <v>17828.04</v>
      </c>
      <c r="N7054" s="571">
        <v>0.45833333333333331</v>
      </c>
      <c r="O7054" s="897" t="s">
        <v>2189</v>
      </c>
      <c r="P7054" s="867" t="s">
        <v>2250</v>
      </c>
    </row>
    <row r="7055" spans="1:18" ht="19.5" hidden="1" thickBot="1" x14ac:dyDescent="0.3">
      <c r="A7055" s="1061"/>
      <c r="B7055" s="798" t="s">
        <v>2164</v>
      </c>
      <c r="C7055" s="799" t="s">
        <v>23</v>
      </c>
      <c r="D7055" s="800">
        <v>1.2</v>
      </c>
      <c r="E7055" s="800">
        <v>1.222</v>
      </c>
      <c r="F7055" s="801" t="s">
        <v>16</v>
      </c>
      <c r="G7055" s="942"/>
      <c r="H7055" s="801" t="s">
        <v>2184</v>
      </c>
      <c r="I7055" s="801" t="s">
        <v>2184</v>
      </c>
      <c r="J7055" s="803"/>
      <c r="K7055" s="801" t="str">
        <f t="shared" ref="K7055:K7118" si="213">RIGHT(I7055,5)</f>
        <v>08,26</v>
      </c>
      <c r="L7055" s="801" t="s">
        <v>28</v>
      </c>
      <c r="M7055" s="801">
        <v>1215</v>
      </c>
      <c r="N7055" s="804">
        <v>0.45833333333333331</v>
      </c>
      <c r="O7055" s="897" t="s">
        <v>2231</v>
      </c>
      <c r="P7055" s="867" t="s">
        <v>2251</v>
      </c>
    </row>
    <row r="7056" spans="1:18" ht="19.5" hidden="1" thickBot="1" x14ac:dyDescent="0.3">
      <c r="A7056" s="1062">
        <f>MAX(A6933:A7055)+1</f>
        <v>4366</v>
      </c>
      <c r="B7056" s="610" t="s">
        <v>2162</v>
      </c>
      <c r="C7056" s="480" t="s">
        <v>26</v>
      </c>
      <c r="D7056" s="481">
        <v>17.372</v>
      </c>
      <c r="E7056" s="482">
        <v>12.634</v>
      </c>
      <c r="F7056" s="483" t="s">
        <v>16</v>
      </c>
      <c r="G7056" s="899"/>
      <c r="H7056" s="483" t="s">
        <v>2199</v>
      </c>
      <c r="I7056" s="484" t="s">
        <v>2199</v>
      </c>
      <c r="J7056" s="485"/>
      <c r="K7056" s="483" t="str">
        <f t="shared" si="213"/>
        <v>08,26</v>
      </c>
      <c r="L7056" s="483" t="s">
        <v>265</v>
      </c>
      <c r="M7056" s="483">
        <v>17563.52</v>
      </c>
      <c r="N7056" s="486">
        <v>0.375</v>
      </c>
      <c r="O7056" s="897" t="s">
        <v>2200</v>
      </c>
      <c r="P7056" s="867" t="s">
        <v>2276</v>
      </c>
    </row>
    <row r="7057" spans="1:18" ht="19.5" hidden="1" thickBot="1" x14ac:dyDescent="0.3">
      <c r="A7057" s="1063"/>
      <c r="B7057" s="805" t="s">
        <v>2184</v>
      </c>
      <c r="C7057" s="806" t="s">
        <v>26</v>
      </c>
      <c r="D7057" s="807">
        <v>5.2</v>
      </c>
      <c r="E7057" s="807">
        <v>5.2290000000000001</v>
      </c>
      <c r="F7057" s="808" t="s">
        <v>16</v>
      </c>
      <c r="G7057" s="902" t="s">
        <v>76</v>
      </c>
      <c r="H7057" s="808" t="s">
        <v>2199</v>
      </c>
      <c r="I7057" s="808" t="s">
        <v>2199</v>
      </c>
      <c r="J7057" s="810"/>
      <c r="K7057" s="808" t="str">
        <f t="shared" si="213"/>
        <v>08,26</v>
      </c>
      <c r="L7057" s="808" t="s">
        <v>265</v>
      </c>
      <c r="M7057" s="808">
        <v>5205</v>
      </c>
      <c r="N7057" s="778">
        <v>0.375</v>
      </c>
      <c r="P7057" s="867" t="s">
        <v>2275</v>
      </c>
    </row>
    <row r="7058" spans="1:18" ht="19.5" hidden="1" thickBot="1" x14ac:dyDescent="0.3">
      <c r="A7058" s="1066">
        <f>MAX(A6934:A7056)+1</f>
        <v>4367</v>
      </c>
      <c r="B7058" s="531" t="s">
        <v>2162</v>
      </c>
      <c r="C7058" s="532" t="s">
        <v>26</v>
      </c>
      <c r="D7058" s="533">
        <v>11.414</v>
      </c>
      <c r="E7058" s="534">
        <v>7.9089999999999998</v>
      </c>
      <c r="F7058" s="535" t="s">
        <v>16</v>
      </c>
      <c r="G7058" s="536"/>
      <c r="H7058" s="535" t="s">
        <v>2199</v>
      </c>
      <c r="I7058" s="537" t="s">
        <v>2199</v>
      </c>
      <c r="J7058" s="538"/>
      <c r="K7058" s="535" t="str">
        <f t="shared" si="213"/>
        <v>08,26</v>
      </c>
      <c r="L7058" s="535" t="s">
        <v>265</v>
      </c>
      <c r="M7058" s="535">
        <v>11514.16</v>
      </c>
      <c r="N7058" s="539">
        <v>0.41666666666666669</v>
      </c>
      <c r="O7058" s="897" t="s">
        <v>2201</v>
      </c>
      <c r="P7058" s="867" t="s">
        <v>2272</v>
      </c>
    </row>
    <row r="7059" spans="1:18" ht="19.5" hidden="1" thickBot="1" x14ac:dyDescent="0.3">
      <c r="A7059" s="1068"/>
      <c r="B7059" s="563" t="s">
        <v>2162</v>
      </c>
      <c r="C7059" s="564" t="s">
        <v>1358</v>
      </c>
      <c r="D7059" s="565">
        <v>2.5230000000000001</v>
      </c>
      <c r="E7059" s="566">
        <v>2.1040000000000001</v>
      </c>
      <c r="F7059" s="567" t="s">
        <v>16</v>
      </c>
      <c r="G7059" s="568" t="s">
        <v>844</v>
      </c>
      <c r="H7059" s="567" t="s">
        <v>2199</v>
      </c>
      <c r="I7059" s="569" t="s">
        <v>2199</v>
      </c>
      <c r="J7059" s="570"/>
      <c r="K7059" s="567" t="str">
        <f t="shared" si="213"/>
        <v>08,26</v>
      </c>
      <c r="L7059" s="567" t="s">
        <v>265</v>
      </c>
      <c r="M7059" s="567">
        <v>2624.5599999999995</v>
      </c>
      <c r="N7059" s="571">
        <v>0.41666666666666669</v>
      </c>
      <c r="O7059" s="897" t="s">
        <v>2202</v>
      </c>
      <c r="P7059" s="867" t="s">
        <v>2273</v>
      </c>
    </row>
    <row r="7060" spans="1:18" ht="19.5" hidden="1" thickBot="1" x14ac:dyDescent="0.3">
      <c r="A7060" s="1068"/>
      <c r="B7060" s="563" t="s">
        <v>2162</v>
      </c>
      <c r="C7060" s="564" t="s">
        <v>1358</v>
      </c>
      <c r="D7060" s="565">
        <v>3.5030000000000001</v>
      </c>
      <c r="E7060" s="566">
        <v>2.5009999999999999</v>
      </c>
      <c r="F7060" s="567" t="s">
        <v>16</v>
      </c>
      <c r="G7060" s="568" t="s">
        <v>845</v>
      </c>
      <c r="H7060" s="567" t="s">
        <v>2199</v>
      </c>
      <c r="I7060" s="569" t="s">
        <v>2199</v>
      </c>
      <c r="J7060" s="570"/>
      <c r="K7060" s="567" t="str">
        <f t="shared" si="213"/>
        <v>08,26</v>
      </c>
      <c r="L7060" s="567" t="s">
        <v>265</v>
      </c>
      <c r="M7060" s="567">
        <v>3601.7400000000002</v>
      </c>
      <c r="N7060" s="571">
        <v>0.41666666666666669</v>
      </c>
      <c r="O7060" s="897" t="s">
        <v>2203</v>
      </c>
      <c r="P7060" s="867" t="s">
        <v>2274</v>
      </c>
    </row>
    <row r="7061" spans="1:18" ht="38.25" hidden="1" thickBot="1" x14ac:dyDescent="0.3">
      <c r="A7061" s="1067"/>
      <c r="B7061" s="832" t="s">
        <v>2199</v>
      </c>
      <c r="C7061" s="827" t="s">
        <v>26</v>
      </c>
      <c r="D7061" s="828">
        <v>4.8</v>
      </c>
      <c r="E7061" s="828">
        <v>4.8140000000000001</v>
      </c>
      <c r="F7061" s="829" t="s">
        <v>16</v>
      </c>
      <c r="G7061" s="830" t="s">
        <v>76</v>
      </c>
      <c r="H7061" s="829" t="s">
        <v>2199</v>
      </c>
      <c r="I7061" s="829" t="s">
        <v>2199</v>
      </c>
      <c r="J7061" s="831" t="s">
        <v>979</v>
      </c>
      <c r="K7061" s="829" t="str">
        <f t="shared" si="213"/>
        <v>08,26</v>
      </c>
      <c r="L7061" s="829" t="s">
        <v>265</v>
      </c>
      <c r="M7061" s="829">
        <v>4811.3999999999996</v>
      </c>
      <c r="N7061" s="644">
        <v>0.41666666666666669</v>
      </c>
      <c r="O7061" s="897" t="s">
        <v>2249</v>
      </c>
      <c r="P7061" s="867" t="s">
        <v>2277</v>
      </c>
    </row>
    <row r="7062" spans="1:18" ht="19.5" hidden="1" thickBot="1" x14ac:dyDescent="0.3">
      <c r="A7062" s="513">
        <f>MAX(A6937:A7061)+1</f>
        <v>4368</v>
      </c>
      <c r="B7062" s="573" t="s">
        <v>2162</v>
      </c>
      <c r="C7062" s="574" t="s">
        <v>26</v>
      </c>
      <c r="D7062" s="575">
        <v>14.427</v>
      </c>
      <c r="E7062" s="576">
        <v>14.427</v>
      </c>
      <c r="F7062" s="577" t="s">
        <v>30</v>
      </c>
      <c r="G7062" s="578"/>
      <c r="H7062" s="577" t="s">
        <v>2199</v>
      </c>
      <c r="I7062" s="579" t="s">
        <v>2199</v>
      </c>
      <c r="J7062" s="580"/>
      <c r="K7062" s="577" t="str">
        <f t="shared" si="213"/>
        <v>08,26</v>
      </c>
      <c r="L7062" s="577" t="s">
        <v>265</v>
      </c>
      <c r="M7062" s="577">
        <v>14427.119999999999</v>
      </c>
      <c r="N7062" s="581">
        <v>0.375</v>
      </c>
      <c r="O7062" s="897" t="s">
        <v>2207</v>
      </c>
      <c r="P7062" s="867" t="s">
        <v>2271</v>
      </c>
    </row>
    <row r="7063" spans="1:18" ht="19.5" hidden="1" thickBot="1" x14ac:dyDescent="0.3">
      <c r="A7063" s="1059">
        <f>MAX(A6938:A7062)+1</f>
        <v>4369</v>
      </c>
      <c r="B7063" s="759" t="s">
        <v>2162</v>
      </c>
      <c r="C7063" s="532" t="s">
        <v>15</v>
      </c>
      <c r="D7063" s="533">
        <v>10.724</v>
      </c>
      <c r="E7063" s="534">
        <v>9.5920000000000005</v>
      </c>
      <c r="F7063" s="535" t="s">
        <v>16</v>
      </c>
      <c r="G7063" s="1069" t="s">
        <v>1724</v>
      </c>
      <c r="H7063" s="535" t="s">
        <v>2199</v>
      </c>
      <c r="I7063" s="537" t="s">
        <v>2261</v>
      </c>
      <c r="J7063" s="538"/>
      <c r="K7063" s="535" t="str">
        <f t="shared" si="213"/>
        <v>08,26</v>
      </c>
      <c r="L7063" s="535" t="s">
        <v>28</v>
      </c>
      <c r="M7063" s="535">
        <v>10934.48</v>
      </c>
      <c r="N7063" s="539">
        <v>0.45833333333333331</v>
      </c>
      <c r="O7063" s="897" t="s">
        <v>2216</v>
      </c>
      <c r="P7063" s="867" t="s">
        <v>2319</v>
      </c>
      <c r="R7063" s="943"/>
    </row>
    <row r="7064" spans="1:18" ht="19.5" hidden="1" thickBot="1" x14ac:dyDescent="0.3">
      <c r="A7064" s="1060"/>
      <c r="B7064" s="824" t="s">
        <v>2162</v>
      </c>
      <c r="C7064" s="820" t="s">
        <v>24</v>
      </c>
      <c r="D7064" s="821">
        <v>5.923</v>
      </c>
      <c r="E7064" s="822">
        <v>4.6029999999999998</v>
      </c>
      <c r="F7064" s="819" t="s">
        <v>16</v>
      </c>
      <c r="G7064" s="1070"/>
      <c r="H7064" s="819" t="s">
        <v>2199</v>
      </c>
      <c r="I7064" s="782" t="s">
        <v>2261</v>
      </c>
      <c r="J7064" s="825"/>
      <c r="K7064" s="819" t="str">
        <f t="shared" si="213"/>
        <v>08,26</v>
      </c>
      <c r="L7064" s="819" t="s">
        <v>28</v>
      </c>
      <c r="M7064" s="819">
        <v>6103.3</v>
      </c>
      <c r="N7064" s="811">
        <v>0.45833333333333331</v>
      </c>
      <c r="O7064" s="897" t="s">
        <v>2215</v>
      </c>
      <c r="P7064" s="867" t="s">
        <v>2320</v>
      </c>
      <c r="R7064" s="943"/>
    </row>
    <row r="7065" spans="1:18" ht="19.5" hidden="1" thickBot="1" x14ac:dyDescent="0.3">
      <c r="A7065" s="1060"/>
      <c r="B7065" s="813" t="s">
        <v>2199</v>
      </c>
      <c r="C7065" s="814" t="s">
        <v>15</v>
      </c>
      <c r="D7065" s="815">
        <v>1.55</v>
      </c>
      <c r="E7065" s="815">
        <v>1.589</v>
      </c>
      <c r="F7065" s="816" t="s">
        <v>16</v>
      </c>
      <c r="G7065" s="1070"/>
      <c r="H7065" s="816" t="s">
        <v>2199</v>
      </c>
      <c r="I7065" s="816" t="s">
        <v>2261</v>
      </c>
      <c r="J7065" s="818"/>
      <c r="K7065" s="816" t="str">
        <f t="shared" si="213"/>
        <v>08,26</v>
      </c>
      <c r="L7065" s="816" t="s">
        <v>28</v>
      </c>
      <c r="M7065" s="816">
        <v>1575</v>
      </c>
      <c r="N7065" s="811">
        <v>0.45833333333333331</v>
      </c>
      <c r="O7065" s="897" t="s">
        <v>2265</v>
      </c>
      <c r="P7065" s="867" t="s">
        <v>2321</v>
      </c>
      <c r="R7065" s="943"/>
    </row>
    <row r="7066" spans="1:18" ht="19.5" hidden="1" thickBot="1" x14ac:dyDescent="0.3">
      <c r="A7066" s="1061"/>
      <c r="B7066" s="826" t="s">
        <v>2199</v>
      </c>
      <c r="C7066" s="827" t="s">
        <v>24</v>
      </c>
      <c r="D7066" s="828">
        <v>0.85</v>
      </c>
      <c r="E7066" s="828">
        <v>0.87</v>
      </c>
      <c r="F7066" s="829" t="s">
        <v>16</v>
      </c>
      <c r="G7066" s="1071"/>
      <c r="H7066" s="788" t="s">
        <v>2199</v>
      </c>
      <c r="I7066" s="788" t="s">
        <v>2261</v>
      </c>
      <c r="J7066" s="790"/>
      <c r="K7066" s="788" t="str">
        <f t="shared" si="213"/>
        <v>08,26</v>
      </c>
      <c r="L7066" s="788" t="s">
        <v>28</v>
      </c>
      <c r="M7066" s="788">
        <v>870</v>
      </c>
      <c r="N7066" s="784">
        <v>0.45833333333333331</v>
      </c>
      <c r="O7066" s="897" t="s">
        <v>2264</v>
      </c>
      <c r="P7066" s="867" t="s">
        <v>2322</v>
      </c>
    </row>
    <row r="7067" spans="1:18" ht="19.5" hidden="1" thickBot="1" x14ac:dyDescent="0.3">
      <c r="A7067" s="1062">
        <f>MAX(A6940:A7066)+1</f>
        <v>4370</v>
      </c>
      <c r="B7067" s="610" t="s">
        <v>2162</v>
      </c>
      <c r="C7067" s="480" t="s">
        <v>47</v>
      </c>
      <c r="D7067" s="481">
        <v>17.093</v>
      </c>
      <c r="E7067" s="482">
        <v>13.826000000000001</v>
      </c>
      <c r="F7067" s="483" t="s">
        <v>16</v>
      </c>
      <c r="G7067" s="1094" t="s">
        <v>1634</v>
      </c>
      <c r="H7067" s="483" t="s">
        <v>2199</v>
      </c>
      <c r="I7067" s="484" t="s">
        <v>2208</v>
      </c>
      <c r="J7067" s="485"/>
      <c r="K7067" s="483" t="str">
        <f t="shared" si="213"/>
        <v>08,26</v>
      </c>
      <c r="L7067" s="483" t="s">
        <v>28</v>
      </c>
      <c r="M7067" s="483">
        <v>17356.240000000002</v>
      </c>
      <c r="N7067" s="486">
        <v>0.5</v>
      </c>
      <c r="O7067" s="897" t="s">
        <v>2217</v>
      </c>
      <c r="P7067" s="867" t="s">
        <v>2286</v>
      </c>
      <c r="R7067" s="943"/>
    </row>
    <row r="7068" spans="1:18" ht="19.5" hidden="1" thickBot="1" x14ac:dyDescent="0.3">
      <c r="A7068" s="1063"/>
      <c r="B7068" s="805" t="s">
        <v>2199</v>
      </c>
      <c r="C7068" s="806" t="s">
        <v>47</v>
      </c>
      <c r="D7068" s="807">
        <v>3.4950000000000001</v>
      </c>
      <c r="E7068" s="807">
        <v>3.5409999999999999</v>
      </c>
      <c r="F7068" s="808" t="s">
        <v>16</v>
      </c>
      <c r="G7068" s="1101"/>
      <c r="H7068" s="808" t="s">
        <v>2199</v>
      </c>
      <c r="I7068" s="808" t="s">
        <v>2208</v>
      </c>
      <c r="J7068" s="810"/>
      <c r="K7068" s="808" t="str">
        <f t="shared" si="213"/>
        <v>08,26</v>
      </c>
      <c r="L7068" s="808" t="s">
        <v>28</v>
      </c>
      <c r="M7068" s="808">
        <v>3517.74</v>
      </c>
      <c r="N7068" s="778">
        <v>0.5</v>
      </c>
      <c r="O7068" s="897" t="s">
        <v>2266</v>
      </c>
      <c r="P7068" s="867" t="s">
        <v>2287</v>
      </c>
      <c r="R7068" s="943"/>
    </row>
    <row r="7069" spans="1:18" ht="19.5" hidden="1" thickBot="1" x14ac:dyDescent="0.3">
      <c r="A7069" s="1066">
        <f>MAX(A6941:A7067)+1</f>
        <v>4371</v>
      </c>
      <c r="B7069" s="531" t="s">
        <v>2162</v>
      </c>
      <c r="C7069" s="969" t="s">
        <v>913</v>
      </c>
      <c r="D7069" s="533">
        <v>1.667</v>
      </c>
      <c r="E7069" s="534">
        <v>1.282</v>
      </c>
      <c r="F7069" s="535" t="s">
        <v>16</v>
      </c>
      <c r="G7069" s="536"/>
      <c r="H7069" s="535" t="s">
        <v>2199</v>
      </c>
      <c r="I7069" s="537" t="s">
        <v>2347</v>
      </c>
      <c r="J7069" s="538" t="s">
        <v>2267</v>
      </c>
      <c r="K7069" s="535" t="str">
        <f t="shared" si="213"/>
        <v>09,26</v>
      </c>
      <c r="L7069" s="535" t="s">
        <v>266</v>
      </c>
      <c r="M7069" s="968">
        <v>1678.8</v>
      </c>
      <c r="N7069" s="539">
        <v>0.54166666666666663</v>
      </c>
      <c r="O7069" s="897" t="s">
        <v>2221</v>
      </c>
      <c r="P7069" s="867" t="s">
        <v>2441</v>
      </c>
      <c r="R7069" s="943"/>
    </row>
    <row r="7070" spans="1:18" ht="19.5" hidden="1" thickBot="1" x14ac:dyDescent="0.3">
      <c r="A7070" s="1068"/>
      <c r="B7070" s="563" t="s">
        <v>2162</v>
      </c>
      <c r="C7070" s="962" t="s">
        <v>1382</v>
      </c>
      <c r="D7070" s="565">
        <v>6.2930000000000001</v>
      </c>
      <c r="E7070" s="566">
        <v>5.9249999999999998</v>
      </c>
      <c r="F7070" s="567" t="s">
        <v>16</v>
      </c>
      <c r="G7070" s="568" t="s">
        <v>844</v>
      </c>
      <c r="H7070" s="567" t="s">
        <v>2199</v>
      </c>
      <c r="I7070" s="569" t="s">
        <v>2208</v>
      </c>
      <c r="J7070" s="570"/>
      <c r="K7070" s="567" t="str">
        <f t="shared" si="213"/>
        <v>08,26</v>
      </c>
      <c r="L7070" s="567" t="s">
        <v>266</v>
      </c>
      <c r="M7070" s="963">
        <v>6306</v>
      </c>
      <c r="N7070" s="571">
        <v>0.54166666666666663</v>
      </c>
      <c r="O7070" s="897" t="s">
        <v>2220</v>
      </c>
      <c r="P7070" s="867" t="s">
        <v>2290</v>
      </c>
    </row>
    <row r="7071" spans="1:18" ht="19.5" hidden="1" thickBot="1" x14ac:dyDescent="0.3">
      <c r="A7071" s="1068"/>
      <c r="B7071" s="563" t="s">
        <v>2162</v>
      </c>
      <c r="C7071" s="970" t="s">
        <v>1382</v>
      </c>
      <c r="D7071" s="565">
        <v>1.5760000000000001</v>
      </c>
      <c r="E7071" s="566">
        <v>1.4259999999999999</v>
      </c>
      <c r="F7071" s="567" t="s">
        <v>16</v>
      </c>
      <c r="G7071" s="568" t="s">
        <v>845</v>
      </c>
      <c r="H7071" s="567" t="s">
        <v>2199</v>
      </c>
      <c r="I7071" s="569" t="s">
        <v>2208</v>
      </c>
      <c r="J7071" s="570"/>
      <c r="K7071" s="567" t="str">
        <f t="shared" si="213"/>
        <v>08,26</v>
      </c>
      <c r="L7071" s="567" t="s">
        <v>28</v>
      </c>
      <c r="M7071" s="971">
        <v>1612.3799999999999</v>
      </c>
      <c r="N7071" s="571">
        <v>0.54166666666666663</v>
      </c>
      <c r="O7071" s="897" t="s">
        <v>2219</v>
      </c>
      <c r="P7071" s="867" t="s">
        <v>2316</v>
      </c>
    </row>
    <row r="7072" spans="1:18" ht="19.5" hidden="1" thickBot="1" x14ac:dyDescent="0.3">
      <c r="A7072" s="1067"/>
      <c r="B7072" s="636" t="s">
        <v>2162</v>
      </c>
      <c r="C7072" s="964" t="s">
        <v>23</v>
      </c>
      <c r="D7072" s="638">
        <v>7.9850000000000003</v>
      </c>
      <c r="E7072" s="639">
        <v>6.9619999999999997</v>
      </c>
      <c r="F7072" s="640" t="s">
        <v>16</v>
      </c>
      <c r="G7072" s="641"/>
      <c r="H7072" s="640" t="s">
        <v>2199</v>
      </c>
      <c r="I7072" s="642" t="s">
        <v>2208</v>
      </c>
      <c r="J7072" s="643"/>
      <c r="K7072" s="640" t="str">
        <f t="shared" si="213"/>
        <v>08,26</v>
      </c>
      <c r="L7072" s="640" t="s">
        <v>28</v>
      </c>
      <c r="M7072" s="965">
        <v>8033.42</v>
      </c>
      <c r="N7072" s="644">
        <v>0.54166666666666663</v>
      </c>
      <c r="O7072" s="897" t="s">
        <v>2218</v>
      </c>
      <c r="P7072" s="867" t="s">
        <v>2288</v>
      </c>
    </row>
    <row r="7073" spans="1:18" ht="38.25" hidden="1" thickBot="1" x14ac:dyDescent="0.3">
      <c r="A7073" s="513">
        <f>MAX(A6945:A7072)+1</f>
        <v>4372</v>
      </c>
      <c r="B7073" s="514" t="s">
        <v>2162</v>
      </c>
      <c r="C7073" s="966" t="s">
        <v>1382</v>
      </c>
      <c r="D7073" s="516">
        <v>5</v>
      </c>
      <c r="E7073" s="517">
        <v>4.9989999999999997</v>
      </c>
      <c r="F7073" s="518" t="s">
        <v>16</v>
      </c>
      <c r="G7073" s="519" t="s">
        <v>1900</v>
      </c>
      <c r="H7073" s="518" t="s">
        <v>2199</v>
      </c>
      <c r="I7073" s="520" t="s">
        <v>2208</v>
      </c>
      <c r="J7073" s="521"/>
      <c r="K7073" s="518" t="str">
        <f t="shared" si="213"/>
        <v>08,26</v>
      </c>
      <c r="L7073" s="518" t="s">
        <v>266</v>
      </c>
      <c r="M7073" s="967">
        <v>5004</v>
      </c>
      <c r="N7073" s="522">
        <v>0.58333333333333337</v>
      </c>
      <c r="O7073" s="897" t="s">
        <v>2224</v>
      </c>
      <c r="P7073" s="867" t="s">
        <v>2289</v>
      </c>
    </row>
    <row r="7074" spans="1:18" ht="19.5" hidden="1" thickBot="1" x14ac:dyDescent="0.3">
      <c r="A7074" s="1066">
        <f>MAX(A6946:A7073)+1</f>
        <v>4373</v>
      </c>
      <c r="B7074" s="531" t="s">
        <v>2162</v>
      </c>
      <c r="C7074" s="532" t="s">
        <v>15</v>
      </c>
      <c r="D7074" s="533">
        <v>8.9960000000000004</v>
      </c>
      <c r="E7074" s="534">
        <v>8.9960000000000004</v>
      </c>
      <c r="F7074" s="535" t="s">
        <v>30</v>
      </c>
      <c r="G7074" s="536"/>
      <c r="H7074" s="535" t="s">
        <v>2199</v>
      </c>
      <c r="I7074" s="537" t="s">
        <v>2261</v>
      </c>
      <c r="J7074" s="538"/>
      <c r="K7074" s="535" t="str">
        <f t="shared" si="213"/>
        <v>08,26</v>
      </c>
      <c r="L7074" s="535" t="s">
        <v>28</v>
      </c>
      <c r="M7074" s="535">
        <v>8996.880000000001</v>
      </c>
      <c r="N7074" s="539">
        <v>0.41666666666666669</v>
      </c>
      <c r="O7074" s="897" t="s">
        <v>2211</v>
      </c>
      <c r="P7074" s="867" t="s">
        <v>2298</v>
      </c>
      <c r="R7074" s="2"/>
    </row>
    <row r="7075" spans="1:18" ht="19.5" hidden="1" thickBot="1" x14ac:dyDescent="0.3">
      <c r="A7075" s="1067"/>
      <c r="B7075" s="636" t="s">
        <v>2162</v>
      </c>
      <c r="C7075" s="637" t="s">
        <v>24</v>
      </c>
      <c r="D7075" s="638">
        <v>5.0060000000000002</v>
      </c>
      <c r="E7075" s="639">
        <v>5.0060000000000002</v>
      </c>
      <c r="F7075" s="640" t="s">
        <v>30</v>
      </c>
      <c r="G7075" s="641"/>
      <c r="H7075" s="640" t="s">
        <v>2199</v>
      </c>
      <c r="I7075" s="642" t="s">
        <v>2261</v>
      </c>
      <c r="J7075" s="643"/>
      <c r="K7075" s="640" t="str">
        <f t="shared" si="213"/>
        <v>08,26</v>
      </c>
      <c r="L7075" s="640" t="s">
        <v>28</v>
      </c>
      <c r="M7075" s="640">
        <v>5006.3999999999996</v>
      </c>
      <c r="N7075" s="644">
        <v>0.41666666666666669</v>
      </c>
      <c r="O7075" s="897" t="s">
        <v>2210</v>
      </c>
      <c r="P7075" s="867" t="s">
        <v>2297</v>
      </c>
      <c r="R7075" s="2"/>
    </row>
    <row r="7076" spans="1:18" ht="19.5" hidden="1" thickBot="1" x14ac:dyDescent="0.3">
      <c r="A7076" s="1062">
        <f>MAX(A6948:A7075)+1</f>
        <v>4374</v>
      </c>
      <c r="B7076" s="610" t="s">
        <v>2162</v>
      </c>
      <c r="C7076" s="480" t="s">
        <v>26</v>
      </c>
      <c r="D7076" s="481">
        <v>17.384</v>
      </c>
      <c r="E7076" s="482">
        <f>13.075+0.142</f>
        <v>13.216999999999999</v>
      </c>
      <c r="F7076" s="483" t="s">
        <v>16</v>
      </c>
      <c r="G7076" s="899"/>
      <c r="H7076" s="483" t="s">
        <v>2208</v>
      </c>
      <c r="I7076" s="484" t="s">
        <v>2208</v>
      </c>
      <c r="J7076" s="485"/>
      <c r="K7076" s="483" t="str">
        <f t="shared" si="213"/>
        <v>08,26</v>
      </c>
      <c r="L7076" s="483" t="s">
        <v>265</v>
      </c>
      <c r="M7076" s="483">
        <v>17533.699999999997</v>
      </c>
      <c r="N7076" s="486">
        <v>0.375</v>
      </c>
      <c r="O7076" s="897" t="s">
        <v>2209</v>
      </c>
      <c r="P7076" s="867" t="s">
        <v>2283</v>
      </c>
      <c r="Q7076" s="847" t="s">
        <v>2285</v>
      </c>
      <c r="R7076" s="2"/>
    </row>
    <row r="7077" spans="1:18" ht="19.5" hidden="1" thickBot="1" x14ac:dyDescent="0.3">
      <c r="A7077" s="1063"/>
      <c r="B7077" s="805" t="s">
        <v>2199</v>
      </c>
      <c r="C7077" s="806" t="s">
        <v>26</v>
      </c>
      <c r="D7077" s="807">
        <v>4.3499999999999996</v>
      </c>
      <c r="E7077" s="807">
        <v>4.3819999999999997</v>
      </c>
      <c r="F7077" s="808" t="s">
        <v>16</v>
      </c>
      <c r="G7077" s="902" t="s">
        <v>76</v>
      </c>
      <c r="H7077" s="808" t="s">
        <v>2208</v>
      </c>
      <c r="I7077" s="808" t="s">
        <v>2208</v>
      </c>
      <c r="J7077" s="810"/>
      <c r="K7077" s="808" t="str">
        <f t="shared" si="213"/>
        <v>08,26</v>
      </c>
      <c r="L7077" s="808" t="s">
        <v>265</v>
      </c>
      <c r="M7077" s="808">
        <v>4362.96</v>
      </c>
      <c r="N7077" s="778">
        <v>0.375</v>
      </c>
      <c r="O7077" s="897" t="s">
        <v>2278</v>
      </c>
      <c r="P7077" s="867" t="s">
        <v>2284</v>
      </c>
      <c r="R7077" s="2"/>
    </row>
    <row r="7078" spans="1:18" ht="19.5" hidden="1" thickBot="1" x14ac:dyDescent="0.3">
      <c r="A7078" s="1059">
        <f>MAX(A6949:A7076)+1</f>
        <v>4375</v>
      </c>
      <c r="B7078" s="759" t="s">
        <v>2162</v>
      </c>
      <c r="C7078" s="532" t="s">
        <v>47</v>
      </c>
      <c r="D7078" s="533">
        <v>17.847999999999999</v>
      </c>
      <c r="E7078" s="534">
        <v>16.675000000000001</v>
      </c>
      <c r="F7078" s="535" t="s">
        <v>16</v>
      </c>
      <c r="G7078" s="898"/>
      <c r="H7078" s="535" t="s">
        <v>2208</v>
      </c>
      <c r="I7078" s="537" t="s">
        <v>2208</v>
      </c>
      <c r="J7078" s="538"/>
      <c r="K7078" s="535" t="str">
        <f t="shared" si="213"/>
        <v>08,26</v>
      </c>
      <c r="L7078" s="567" t="s">
        <v>28</v>
      </c>
      <c r="M7078" s="567">
        <v>18040.5</v>
      </c>
      <c r="N7078" s="571">
        <v>0.41666666666666669</v>
      </c>
      <c r="O7078" s="897" t="s">
        <v>2222</v>
      </c>
      <c r="P7078" s="867" t="s">
        <v>2295</v>
      </c>
      <c r="R7078" s="2"/>
    </row>
    <row r="7079" spans="1:18" ht="19.5" hidden="1" thickBot="1" x14ac:dyDescent="0.3">
      <c r="A7079" s="1061"/>
      <c r="B7079" s="798" t="s">
        <v>2208</v>
      </c>
      <c r="C7079" s="799" t="s">
        <v>47</v>
      </c>
      <c r="D7079" s="800">
        <v>0.4</v>
      </c>
      <c r="E7079" s="800">
        <v>0.40200000000000002</v>
      </c>
      <c r="F7079" s="801" t="s">
        <v>16</v>
      </c>
      <c r="G7079" s="942" t="s">
        <v>76</v>
      </c>
      <c r="H7079" s="801" t="s">
        <v>2208</v>
      </c>
      <c r="I7079" s="801" t="s">
        <v>2208</v>
      </c>
      <c r="J7079" s="803"/>
      <c r="K7079" s="801" t="str">
        <f t="shared" si="213"/>
        <v>08,26</v>
      </c>
      <c r="L7079" s="801" t="s">
        <v>28</v>
      </c>
      <c r="M7079" s="801">
        <v>405</v>
      </c>
      <c r="N7079" s="804">
        <v>0.41666666666666669</v>
      </c>
      <c r="O7079" s="897" t="s">
        <v>2293</v>
      </c>
      <c r="P7079" s="867" t="s">
        <v>2296</v>
      </c>
      <c r="R7079" s="2"/>
    </row>
    <row r="7080" spans="1:18" ht="19.5" hidden="1" thickBot="1" x14ac:dyDescent="0.3">
      <c r="A7080" s="1062">
        <f>MAX(A6950:A7078)+1</f>
        <v>4376</v>
      </c>
      <c r="B7080" s="610" t="s">
        <v>2162</v>
      </c>
      <c r="C7080" s="480" t="s">
        <v>23</v>
      </c>
      <c r="D7080" s="481">
        <v>16.997</v>
      </c>
      <c r="E7080" s="482">
        <v>15.202999999999999</v>
      </c>
      <c r="F7080" s="483" t="s">
        <v>16</v>
      </c>
      <c r="G7080" s="1064" t="s">
        <v>1634</v>
      </c>
      <c r="H7080" s="483" t="s">
        <v>2208</v>
      </c>
      <c r="I7080" s="484" t="s">
        <v>2261</v>
      </c>
      <c r="J7080" s="485"/>
      <c r="K7080" s="483" t="str">
        <f t="shared" si="213"/>
        <v>08,26</v>
      </c>
      <c r="L7080" s="483" t="s">
        <v>28</v>
      </c>
      <c r="M7080" s="483">
        <v>17121.98</v>
      </c>
      <c r="N7080" s="486">
        <v>0.45833333333333331</v>
      </c>
      <c r="O7080" s="897" t="s">
        <v>2223</v>
      </c>
      <c r="P7080" s="867" t="s">
        <v>2317</v>
      </c>
      <c r="R7080" s="2"/>
    </row>
    <row r="7081" spans="1:18" ht="19.5" hidden="1" thickBot="1" x14ac:dyDescent="0.3">
      <c r="A7081" s="1063"/>
      <c r="B7081" s="805" t="s">
        <v>2208</v>
      </c>
      <c r="C7081" s="806" t="s">
        <v>23</v>
      </c>
      <c r="D7081" s="807">
        <v>0.4</v>
      </c>
      <c r="E7081" s="807">
        <v>0.40300000000000002</v>
      </c>
      <c r="F7081" s="808" t="s">
        <v>16</v>
      </c>
      <c r="G7081" s="1065"/>
      <c r="H7081" s="808" t="s">
        <v>2208</v>
      </c>
      <c r="I7081" s="808" t="s">
        <v>2261</v>
      </c>
      <c r="J7081" s="810"/>
      <c r="K7081" s="808" t="str">
        <f t="shared" si="213"/>
        <v>08,26</v>
      </c>
      <c r="L7081" s="808" t="s">
        <v>28</v>
      </c>
      <c r="M7081" s="808">
        <v>405</v>
      </c>
      <c r="N7081" s="778">
        <v>0.45833333333333331</v>
      </c>
      <c r="O7081" s="897" t="s">
        <v>2292</v>
      </c>
      <c r="P7081" s="867" t="s">
        <v>2318</v>
      </c>
      <c r="R7081" s="2"/>
    </row>
    <row r="7082" spans="1:18" ht="19.5" hidden="1" thickBot="1" x14ac:dyDescent="0.3">
      <c r="A7082" s="1066">
        <f>MAX(A6951:A7080)+1</f>
        <v>4377</v>
      </c>
      <c r="B7082" s="531" t="s">
        <v>2162</v>
      </c>
      <c r="C7082" s="532" t="s">
        <v>587</v>
      </c>
      <c r="D7082" s="533">
        <v>6.6550000000000002</v>
      </c>
      <c r="E7082" s="534">
        <v>6.6550000000000002</v>
      </c>
      <c r="F7082" s="535" t="s">
        <v>30</v>
      </c>
      <c r="G7082" s="536" t="s">
        <v>23</v>
      </c>
      <c r="H7082" s="535" t="s">
        <v>2208</v>
      </c>
      <c r="I7082" s="537" t="s">
        <v>2208</v>
      </c>
      <c r="J7082" s="538"/>
      <c r="K7082" s="535" t="str">
        <f t="shared" si="213"/>
        <v>08,26</v>
      </c>
      <c r="L7082" s="535" t="s">
        <v>28</v>
      </c>
      <c r="M7082" s="535">
        <v>6655.2000000000007</v>
      </c>
      <c r="N7082" s="539">
        <v>0.41666666666666669</v>
      </c>
      <c r="O7082" s="897" t="s">
        <v>2212</v>
      </c>
      <c r="P7082" s="867" t="s">
        <v>2323</v>
      </c>
      <c r="R7082" s="2"/>
    </row>
    <row r="7083" spans="1:18" ht="19.5" hidden="1" thickBot="1" x14ac:dyDescent="0.3">
      <c r="A7083" s="1067"/>
      <c r="B7083" s="636" t="s">
        <v>2162</v>
      </c>
      <c r="C7083" s="637" t="s">
        <v>23</v>
      </c>
      <c r="D7083" s="638">
        <v>5.391</v>
      </c>
      <c r="E7083" s="639">
        <f>5.375+0.015</f>
        <v>5.39</v>
      </c>
      <c r="F7083" s="640" t="s">
        <v>30</v>
      </c>
      <c r="G7083" s="641"/>
      <c r="H7083" s="640" t="s">
        <v>2208</v>
      </c>
      <c r="I7083" s="642" t="s">
        <v>2208</v>
      </c>
      <c r="J7083" s="643"/>
      <c r="K7083" s="640" t="str">
        <f t="shared" si="213"/>
        <v>08,26</v>
      </c>
      <c r="L7083" s="640" t="s">
        <v>28</v>
      </c>
      <c r="M7083" s="640">
        <v>5391.2</v>
      </c>
      <c r="N7083" s="644">
        <v>0.41666666666666669</v>
      </c>
      <c r="O7083" s="897" t="s">
        <v>2225</v>
      </c>
      <c r="P7083" s="867" t="s">
        <v>2324</v>
      </c>
      <c r="Q7083" s="847" t="s">
        <v>2325</v>
      </c>
      <c r="R7083" s="2"/>
    </row>
    <row r="7084" spans="1:18" ht="19.5" hidden="1" thickBot="1" x14ac:dyDescent="0.3">
      <c r="A7084" s="1062">
        <f>MAX(A6953:A7083)+1</f>
        <v>4378</v>
      </c>
      <c r="B7084" s="479" t="s">
        <v>2162</v>
      </c>
      <c r="C7084" s="480" t="s">
        <v>587</v>
      </c>
      <c r="D7084" s="481">
        <v>7.875</v>
      </c>
      <c r="E7084" s="482">
        <v>7.8730000000000002</v>
      </c>
      <c r="F7084" s="483" t="s">
        <v>30</v>
      </c>
      <c r="G7084" s="549" t="s">
        <v>47</v>
      </c>
      <c r="H7084" s="483" t="s">
        <v>2208</v>
      </c>
      <c r="I7084" s="484" t="s">
        <v>2208</v>
      </c>
      <c r="J7084" s="485"/>
      <c r="K7084" s="483" t="str">
        <f t="shared" si="213"/>
        <v>08,26</v>
      </c>
      <c r="L7084" s="483" t="s">
        <v>28</v>
      </c>
      <c r="M7084" s="483">
        <v>7875</v>
      </c>
      <c r="N7084" s="486">
        <v>0.45833333333333331</v>
      </c>
      <c r="O7084" s="897" t="s">
        <v>2213</v>
      </c>
      <c r="P7084" s="867" t="s">
        <v>2326</v>
      </c>
      <c r="R7084" s="2"/>
    </row>
    <row r="7085" spans="1:18" ht="19.5" hidden="1" thickBot="1" x14ac:dyDescent="0.3">
      <c r="A7085" s="1063"/>
      <c r="B7085" s="645" t="s">
        <v>2162</v>
      </c>
      <c r="C7085" s="646" t="s">
        <v>47</v>
      </c>
      <c r="D7085" s="647">
        <v>5.5419999999999998</v>
      </c>
      <c r="E7085" s="648">
        <v>5.5410000000000004</v>
      </c>
      <c r="F7085" s="649" t="s">
        <v>30</v>
      </c>
      <c r="G7085" s="650"/>
      <c r="H7085" s="649" t="s">
        <v>2208</v>
      </c>
      <c r="I7085" s="651" t="s">
        <v>2208</v>
      </c>
      <c r="J7085" s="652"/>
      <c r="K7085" s="649" t="str">
        <f t="shared" si="213"/>
        <v>08,26</v>
      </c>
      <c r="L7085" s="649" t="s">
        <v>28</v>
      </c>
      <c r="M7085" s="649">
        <v>5542.4</v>
      </c>
      <c r="N7085" s="653">
        <v>0.45833333333333331</v>
      </c>
      <c r="O7085" s="897" t="s">
        <v>2214</v>
      </c>
      <c r="P7085" s="867" t="s">
        <v>2327</v>
      </c>
      <c r="R7085" s="2"/>
    </row>
    <row r="7086" spans="1:18" ht="19.5" hidden="1" thickBot="1" x14ac:dyDescent="0.3">
      <c r="A7086" s="1066">
        <f>MAX(A6955:A7085)+1</f>
        <v>4379</v>
      </c>
      <c r="B7086" s="531" t="s">
        <v>2199</v>
      </c>
      <c r="C7086" s="532" t="s">
        <v>55</v>
      </c>
      <c r="D7086" s="533">
        <v>14.079000000000001</v>
      </c>
      <c r="E7086" s="534">
        <v>6.6109999999999998</v>
      </c>
      <c r="F7086" s="535" t="s">
        <v>16</v>
      </c>
      <c r="G7086" s="536" t="s">
        <v>844</v>
      </c>
      <c r="H7086" s="535" t="s">
        <v>2261</v>
      </c>
      <c r="I7086" s="537" t="s">
        <v>2279</v>
      </c>
      <c r="J7086" s="538"/>
      <c r="K7086" s="535" t="str">
        <f t="shared" si="213"/>
        <v>08,26</v>
      </c>
      <c r="L7086" s="535" t="s">
        <v>266</v>
      </c>
      <c r="M7086" s="535">
        <v>14211.409999999998</v>
      </c>
      <c r="N7086" s="539">
        <v>0.5</v>
      </c>
      <c r="O7086" s="897" t="s">
        <v>2262</v>
      </c>
      <c r="P7086" s="867" t="s">
        <v>2339</v>
      </c>
    </row>
    <row r="7087" spans="1:18" ht="19.5" hidden="1" thickBot="1" x14ac:dyDescent="0.3">
      <c r="A7087" s="1067"/>
      <c r="B7087" s="636" t="s">
        <v>2199</v>
      </c>
      <c r="C7087" s="637" t="s">
        <v>55</v>
      </c>
      <c r="D7087" s="638">
        <v>3.3940000000000001</v>
      </c>
      <c r="E7087" s="639">
        <v>2.5489999999999999</v>
      </c>
      <c r="F7087" s="640" t="s">
        <v>16</v>
      </c>
      <c r="G7087" s="641" t="s">
        <v>845</v>
      </c>
      <c r="H7087" s="640" t="s">
        <v>2261</v>
      </c>
      <c r="I7087" s="642" t="s">
        <v>2279</v>
      </c>
      <c r="J7087" s="643"/>
      <c r="K7087" s="640" t="str">
        <f t="shared" si="213"/>
        <v>08,26</v>
      </c>
      <c r="L7087" s="640" t="s">
        <v>266</v>
      </c>
      <c r="M7087" s="640">
        <v>3487.7999999999997</v>
      </c>
      <c r="N7087" s="644">
        <v>0.5</v>
      </c>
      <c r="O7087" s="897" t="s">
        <v>2315</v>
      </c>
      <c r="P7087" s="867" t="s">
        <v>2340</v>
      </c>
    </row>
    <row r="7088" spans="1:18" ht="38.25" hidden="1" thickBot="1" x14ac:dyDescent="0.3">
      <c r="A7088" s="572">
        <f t="shared" ref="A7088:A7093" si="214">MAX(A6957:A7087)+1</f>
        <v>4380</v>
      </c>
      <c r="B7088" s="923" t="s">
        <v>2199</v>
      </c>
      <c r="C7088" s="924" t="s">
        <v>32</v>
      </c>
      <c r="D7088" s="925">
        <v>17.5</v>
      </c>
      <c r="E7088" s="926" t="s">
        <v>1496</v>
      </c>
      <c r="F7088" s="927" t="s">
        <v>16</v>
      </c>
      <c r="G7088" s="757" t="s">
        <v>1900</v>
      </c>
      <c r="H7088" s="927" t="s">
        <v>2261</v>
      </c>
      <c r="I7088" s="928" t="s">
        <v>1496</v>
      </c>
      <c r="J7088" s="929"/>
      <c r="K7088" s="927" t="str">
        <f t="shared" si="213"/>
        <v>тмена</v>
      </c>
      <c r="L7088" s="927" t="s">
        <v>266</v>
      </c>
      <c r="M7088" s="927">
        <v>17503.2</v>
      </c>
      <c r="N7088" s="930">
        <v>0.54166666666666663</v>
      </c>
      <c r="O7088" s="920" t="s">
        <v>2263</v>
      </c>
      <c r="P7088" s="921" t="s">
        <v>1024</v>
      </c>
    </row>
    <row r="7089" spans="1:18" ht="19.5" hidden="1" thickBot="1" x14ac:dyDescent="0.3">
      <c r="A7089" s="503">
        <f t="shared" si="214"/>
        <v>4381</v>
      </c>
      <c r="B7089" s="504" t="s">
        <v>2208</v>
      </c>
      <c r="C7089" s="505" t="s">
        <v>32</v>
      </c>
      <c r="D7089" s="506">
        <v>18.202999999999999</v>
      </c>
      <c r="E7089" s="507">
        <v>14.859</v>
      </c>
      <c r="F7089" s="508" t="s">
        <v>16</v>
      </c>
      <c r="G7089" s="509"/>
      <c r="H7089" s="508" t="s">
        <v>2279</v>
      </c>
      <c r="I7089" s="510" t="s">
        <v>2279</v>
      </c>
      <c r="J7089" s="511"/>
      <c r="K7089" s="508" t="str">
        <f t="shared" si="213"/>
        <v>08,26</v>
      </c>
      <c r="L7089" s="508" t="s">
        <v>266</v>
      </c>
      <c r="M7089" s="508">
        <v>18353.179999999997</v>
      </c>
      <c r="N7089" s="512">
        <v>0.41666666666666669</v>
      </c>
      <c r="O7089" s="897" t="s">
        <v>2280</v>
      </c>
      <c r="P7089" s="867" t="s">
        <v>2328</v>
      </c>
    </row>
    <row r="7090" spans="1:18" ht="19.5" hidden="1" thickBot="1" x14ac:dyDescent="0.3">
      <c r="A7090" s="513">
        <f t="shared" si="214"/>
        <v>4382</v>
      </c>
      <c r="B7090" s="514" t="s">
        <v>2208</v>
      </c>
      <c r="C7090" s="515" t="s">
        <v>32</v>
      </c>
      <c r="D7090" s="516">
        <v>18.041</v>
      </c>
      <c r="E7090" s="517">
        <v>14.028</v>
      </c>
      <c r="F7090" s="518" t="s">
        <v>16</v>
      </c>
      <c r="G7090" s="519"/>
      <c r="H7090" s="518" t="s">
        <v>2279</v>
      </c>
      <c r="I7090" s="520" t="s">
        <v>2279</v>
      </c>
      <c r="J7090" s="521"/>
      <c r="K7090" s="518" t="str">
        <f t="shared" si="213"/>
        <v>08,26</v>
      </c>
      <c r="L7090" s="518" t="s">
        <v>266</v>
      </c>
      <c r="M7090" s="518">
        <v>18163.59</v>
      </c>
      <c r="N7090" s="522">
        <v>0.45833333333333331</v>
      </c>
      <c r="O7090" s="897" t="s">
        <v>2281</v>
      </c>
      <c r="P7090" s="867" t="s">
        <v>2341</v>
      </c>
    </row>
    <row r="7091" spans="1:18" ht="19.5" hidden="1" thickBot="1" x14ac:dyDescent="0.3">
      <c r="A7091" s="503">
        <f t="shared" si="214"/>
        <v>4383</v>
      </c>
      <c r="B7091" s="504" t="s">
        <v>2208</v>
      </c>
      <c r="C7091" s="505" t="s">
        <v>32</v>
      </c>
      <c r="D7091" s="506">
        <v>17.8</v>
      </c>
      <c r="E7091" s="507">
        <v>0.78100000000000003</v>
      </c>
      <c r="F7091" s="508" t="s">
        <v>16</v>
      </c>
      <c r="G7091" s="509"/>
      <c r="H7091" s="508" t="s">
        <v>2279</v>
      </c>
      <c r="I7091" s="510" t="s">
        <v>2279</v>
      </c>
      <c r="J7091" s="511"/>
      <c r="K7091" s="508" t="str">
        <f t="shared" si="213"/>
        <v>08,26</v>
      </c>
      <c r="L7091" s="508" t="s">
        <v>266</v>
      </c>
      <c r="M7091" s="508">
        <v>17810.400000000001</v>
      </c>
      <c r="N7091" s="512">
        <v>0.5</v>
      </c>
      <c r="O7091" s="897" t="s">
        <v>2282</v>
      </c>
      <c r="P7091" s="867" t="s">
        <v>2342</v>
      </c>
    </row>
    <row r="7092" spans="1:18" ht="19.5" hidden="1" thickBot="1" x14ac:dyDescent="0.3">
      <c r="A7092" s="572">
        <f t="shared" si="214"/>
        <v>4384</v>
      </c>
      <c r="B7092" s="573" t="s">
        <v>2208</v>
      </c>
      <c r="C7092" s="574" t="s">
        <v>848</v>
      </c>
      <c r="D7092" s="575">
        <v>18.079000000000001</v>
      </c>
      <c r="E7092" s="576">
        <v>16.103999999999999</v>
      </c>
      <c r="F7092" s="577" t="s">
        <v>16</v>
      </c>
      <c r="G7092" s="578"/>
      <c r="H7092" s="577" t="s">
        <v>2279</v>
      </c>
      <c r="I7092" s="579" t="s">
        <v>2294</v>
      </c>
      <c r="J7092" s="580"/>
      <c r="K7092" s="577" t="str">
        <f t="shared" si="213"/>
        <v>08,26</v>
      </c>
      <c r="L7092" s="518" t="s">
        <v>266</v>
      </c>
      <c r="M7092" s="518">
        <v>18212.04</v>
      </c>
      <c r="N7092" s="522">
        <v>0.54166666666666663</v>
      </c>
      <c r="O7092" s="897" t="s">
        <v>2291</v>
      </c>
      <c r="P7092" s="867" t="s">
        <v>2345</v>
      </c>
    </row>
    <row r="7093" spans="1:18" ht="19.5" hidden="1" thickBot="1" x14ac:dyDescent="0.3">
      <c r="A7093" s="1059">
        <f t="shared" si="214"/>
        <v>4385</v>
      </c>
      <c r="B7093" s="759" t="s">
        <v>2261</v>
      </c>
      <c r="C7093" s="532" t="s">
        <v>26</v>
      </c>
      <c r="D7093" s="533">
        <v>17.367999999999999</v>
      </c>
      <c r="E7093" s="534">
        <v>8.7769999999999992</v>
      </c>
      <c r="F7093" s="535" t="s">
        <v>16</v>
      </c>
      <c r="G7093" s="898"/>
      <c r="H7093" s="535" t="s">
        <v>2294</v>
      </c>
      <c r="I7093" s="537" t="s">
        <v>2301</v>
      </c>
      <c r="J7093" s="538"/>
      <c r="K7093" s="535" t="str">
        <f t="shared" si="213"/>
        <v>08,26</v>
      </c>
      <c r="L7093" s="567" t="s">
        <v>265</v>
      </c>
      <c r="M7093" s="567">
        <v>17539.759999999998</v>
      </c>
      <c r="N7093" s="571">
        <v>0.375</v>
      </c>
      <c r="O7093" s="897" t="s">
        <v>2304</v>
      </c>
      <c r="P7093" s="867" t="s">
        <v>2395</v>
      </c>
    </row>
    <row r="7094" spans="1:18" ht="19.5" hidden="1" thickBot="1" x14ac:dyDescent="0.3">
      <c r="A7094" s="1061"/>
      <c r="B7094" s="798" t="s">
        <v>2294</v>
      </c>
      <c r="C7094" s="799" t="s">
        <v>26</v>
      </c>
      <c r="D7094" s="800">
        <v>8.4649999999999999</v>
      </c>
      <c r="E7094" s="800">
        <v>8.4890000000000008</v>
      </c>
      <c r="F7094" s="801" t="s">
        <v>16</v>
      </c>
      <c r="G7094" s="942" t="s">
        <v>76</v>
      </c>
      <c r="H7094" s="801" t="s">
        <v>2294</v>
      </c>
      <c r="I7094" s="801" t="s">
        <v>2301</v>
      </c>
      <c r="J7094" s="803"/>
      <c r="K7094" s="801" t="str">
        <f t="shared" si="213"/>
        <v>08,26</v>
      </c>
      <c r="L7094" s="801" t="s">
        <v>265</v>
      </c>
      <c r="M7094" s="801">
        <v>8487.7800000000007</v>
      </c>
      <c r="N7094" s="804">
        <v>0.375</v>
      </c>
      <c r="O7094" s="897" t="s">
        <v>2354</v>
      </c>
      <c r="P7094" s="867" t="s">
        <v>2396</v>
      </c>
    </row>
    <row r="7095" spans="1:18" ht="19.5" hidden="1" thickBot="1" x14ac:dyDescent="0.3">
      <c r="A7095" s="1062">
        <f>MAX(A6963:A7093)+1</f>
        <v>4386</v>
      </c>
      <c r="B7095" s="610" t="s">
        <v>2261</v>
      </c>
      <c r="C7095" s="480" t="s">
        <v>26</v>
      </c>
      <c r="D7095" s="481">
        <v>17.5</v>
      </c>
      <c r="E7095" s="482">
        <v>10.521000000000001</v>
      </c>
      <c r="F7095" s="483" t="s">
        <v>16</v>
      </c>
      <c r="G7095" s="899"/>
      <c r="H7095" s="483" t="s">
        <v>2294</v>
      </c>
      <c r="I7095" s="484" t="s">
        <v>2301</v>
      </c>
      <c r="J7095" s="485"/>
      <c r="K7095" s="483" t="str">
        <f t="shared" si="213"/>
        <v>08,26</v>
      </c>
      <c r="L7095" s="483" t="s">
        <v>265</v>
      </c>
      <c r="M7095" s="483">
        <v>17506.2</v>
      </c>
      <c r="N7095" s="486">
        <v>0.41666666666666669</v>
      </c>
      <c r="O7095" s="897" t="s">
        <v>2305</v>
      </c>
      <c r="P7095" s="867" t="s">
        <v>2379</v>
      </c>
    </row>
    <row r="7096" spans="1:18" ht="19.5" hidden="1" thickBot="1" x14ac:dyDescent="0.3">
      <c r="A7096" s="1063"/>
      <c r="B7096" s="805" t="s">
        <v>2294</v>
      </c>
      <c r="C7096" s="806" t="s">
        <v>26</v>
      </c>
      <c r="D7096" s="807">
        <v>6.5</v>
      </c>
      <c r="E7096" s="807">
        <v>6.5430000000000001</v>
      </c>
      <c r="F7096" s="808" t="s">
        <v>16</v>
      </c>
      <c r="G7096" s="902" t="s">
        <v>76</v>
      </c>
      <c r="H7096" s="808" t="s">
        <v>2294</v>
      </c>
      <c r="I7096" s="808" t="s">
        <v>2301</v>
      </c>
      <c r="J7096" s="810"/>
      <c r="K7096" s="808" t="str">
        <f t="shared" si="213"/>
        <v>08,26</v>
      </c>
      <c r="L7096" s="808" t="s">
        <v>265</v>
      </c>
      <c r="M7096" s="808">
        <v>6525</v>
      </c>
      <c r="N7096" s="778">
        <v>0.41666666666666669</v>
      </c>
      <c r="O7096" s="897" t="s">
        <v>2355</v>
      </c>
      <c r="P7096" s="867" t="s">
        <v>2380</v>
      </c>
    </row>
    <row r="7097" spans="1:18" ht="18.75" hidden="1" customHeight="1" x14ac:dyDescent="0.25">
      <c r="A7097" s="1066">
        <f>MAX(A6964:A7095)+1</f>
        <v>4387</v>
      </c>
      <c r="B7097" s="531" t="s">
        <v>2261</v>
      </c>
      <c r="C7097" s="532" t="s">
        <v>41</v>
      </c>
      <c r="D7097" s="533">
        <v>1.675</v>
      </c>
      <c r="E7097" s="534">
        <v>1.611</v>
      </c>
      <c r="F7097" s="535" t="s">
        <v>16</v>
      </c>
      <c r="G7097" s="536"/>
      <c r="H7097" s="535" t="s">
        <v>2294</v>
      </c>
      <c r="I7097" s="537" t="s">
        <v>2301</v>
      </c>
      <c r="J7097" s="538"/>
      <c r="K7097" s="535" t="str">
        <f t="shared" si="213"/>
        <v>08,26</v>
      </c>
      <c r="L7097" s="535" t="s">
        <v>266</v>
      </c>
      <c r="M7097" s="535">
        <v>1707.42</v>
      </c>
      <c r="N7097" s="539">
        <v>0.45833333333333331</v>
      </c>
      <c r="O7097" s="897" t="s">
        <v>2314</v>
      </c>
      <c r="P7097" s="867" t="s">
        <v>2383</v>
      </c>
      <c r="R7097" s="943"/>
    </row>
    <row r="7098" spans="1:18" ht="19.5" hidden="1" thickBot="1" x14ac:dyDescent="0.3">
      <c r="A7098" s="1068"/>
      <c r="B7098" s="911" t="s">
        <v>2261</v>
      </c>
      <c r="C7098" s="912" t="s">
        <v>41</v>
      </c>
      <c r="D7098" s="913">
        <v>2.5</v>
      </c>
      <c r="E7098" s="914" t="s">
        <v>1496</v>
      </c>
      <c r="F7098" s="915" t="s">
        <v>16</v>
      </c>
      <c r="G7098" s="916" t="s">
        <v>2299</v>
      </c>
      <c r="H7098" s="915" t="s">
        <v>2294</v>
      </c>
      <c r="I7098" s="917" t="s">
        <v>1496</v>
      </c>
      <c r="J7098" s="918"/>
      <c r="K7098" s="915" t="str">
        <f t="shared" si="213"/>
        <v>тмена</v>
      </c>
      <c r="L7098" s="915" t="s">
        <v>266</v>
      </c>
      <c r="M7098" s="915">
        <v>2503.7999999999997</v>
      </c>
      <c r="N7098" s="919">
        <v>0.45833333333333331</v>
      </c>
      <c r="O7098" s="920" t="s">
        <v>2311</v>
      </c>
      <c r="P7098" s="921" t="s">
        <v>1024</v>
      </c>
    </row>
    <row r="7099" spans="1:18" ht="19.5" hidden="1" thickBot="1" x14ac:dyDescent="0.3">
      <c r="A7099" s="1068"/>
      <c r="B7099" s="563" t="s">
        <v>2261</v>
      </c>
      <c r="C7099" s="564" t="s">
        <v>981</v>
      </c>
      <c r="D7099" s="565">
        <v>4.726</v>
      </c>
      <c r="E7099" s="566">
        <v>4.2080000000000002</v>
      </c>
      <c r="F7099" s="567" t="s">
        <v>16</v>
      </c>
      <c r="G7099" s="568"/>
      <c r="H7099" s="567" t="s">
        <v>2294</v>
      </c>
      <c r="I7099" s="569" t="s">
        <v>2301</v>
      </c>
      <c r="J7099" s="570"/>
      <c r="K7099" s="567" t="str">
        <f t="shared" si="213"/>
        <v>08,26</v>
      </c>
      <c r="L7099" s="567" t="s">
        <v>266</v>
      </c>
      <c r="M7099" s="567">
        <v>4727.74</v>
      </c>
      <c r="N7099" s="571">
        <v>0.45833333333333331</v>
      </c>
      <c r="O7099" s="897" t="s">
        <v>2313</v>
      </c>
      <c r="P7099" s="867" t="s">
        <v>2384</v>
      </c>
      <c r="R7099" s="943"/>
    </row>
    <row r="7100" spans="1:18" ht="19.5" hidden="1" thickBot="1" x14ac:dyDescent="0.3">
      <c r="A7100" s="1068"/>
      <c r="B7100" s="911" t="s">
        <v>2261</v>
      </c>
      <c r="C7100" s="912" t="s">
        <v>981</v>
      </c>
      <c r="D7100" s="913">
        <v>1.4970000000000001</v>
      </c>
      <c r="E7100" s="914" t="s">
        <v>1496</v>
      </c>
      <c r="F7100" s="915" t="s">
        <v>16</v>
      </c>
      <c r="G7100" s="916" t="s">
        <v>2299</v>
      </c>
      <c r="H7100" s="915" t="s">
        <v>2294</v>
      </c>
      <c r="I7100" s="917" t="s">
        <v>1496</v>
      </c>
      <c r="J7100" s="918"/>
      <c r="K7100" s="915" t="str">
        <f t="shared" si="213"/>
        <v>тмена</v>
      </c>
      <c r="L7100" s="915" t="s">
        <v>266</v>
      </c>
      <c r="M7100" s="915">
        <v>1497.6</v>
      </c>
      <c r="N7100" s="919">
        <v>0.45833333333333331</v>
      </c>
      <c r="O7100" s="920" t="s">
        <v>2309</v>
      </c>
      <c r="P7100" s="921" t="s">
        <v>1024</v>
      </c>
    </row>
    <row r="7101" spans="1:18" ht="19.5" hidden="1" thickBot="1" x14ac:dyDescent="0.3">
      <c r="A7101" s="1068"/>
      <c r="B7101" s="563" t="s">
        <v>2261</v>
      </c>
      <c r="C7101" s="564" t="s">
        <v>32</v>
      </c>
      <c r="D7101" s="565">
        <v>6.7249999999999996</v>
      </c>
      <c r="E7101" s="566">
        <v>6.4809999999999999</v>
      </c>
      <c r="F7101" s="567" t="s">
        <v>16</v>
      </c>
      <c r="G7101" s="568" t="s">
        <v>1702</v>
      </c>
      <c r="H7101" s="567" t="s">
        <v>2294</v>
      </c>
      <c r="I7101" s="569" t="s">
        <v>2301</v>
      </c>
      <c r="J7101" s="570"/>
      <c r="K7101" s="567" t="str">
        <f t="shared" si="213"/>
        <v>08,26</v>
      </c>
      <c r="L7101" s="567" t="s">
        <v>266</v>
      </c>
      <c r="M7101" s="567">
        <v>6734.3000000000011</v>
      </c>
      <c r="N7101" s="571">
        <v>0.45833333333333331</v>
      </c>
      <c r="O7101" s="897" t="s">
        <v>2312</v>
      </c>
      <c r="P7101" s="867" t="s">
        <v>2385</v>
      </c>
      <c r="R7101" s="943"/>
    </row>
    <row r="7102" spans="1:18" ht="19.5" hidden="1" thickBot="1" x14ac:dyDescent="0.3">
      <c r="A7102" s="1067"/>
      <c r="B7102" s="911" t="s">
        <v>2261</v>
      </c>
      <c r="C7102" s="912" t="s">
        <v>32</v>
      </c>
      <c r="D7102" s="913">
        <v>2.496</v>
      </c>
      <c r="E7102" s="914" t="s">
        <v>1496</v>
      </c>
      <c r="F7102" s="915" t="s">
        <v>16</v>
      </c>
      <c r="G7102" s="916" t="s">
        <v>2300</v>
      </c>
      <c r="H7102" s="915" t="s">
        <v>2294</v>
      </c>
      <c r="I7102" s="917" t="s">
        <v>1496</v>
      </c>
      <c r="J7102" s="918"/>
      <c r="K7102" s="915" t="str">
        <f t="shared" si="213"/>
        <v>тмена</v>
      </c>
      <c r="L7102" s="915" t="s">
        <v>266</v>
      </c>
      <c r="M7102" s="915">
        <v>2496</v>
      </c>
      <c r="N7102" s="919">
        <v>0.45833333333333331</v>
      </c>
      <c r="O7102" s="920" t="s">
        <v>2310</v>
      </c>
      <c r="P7102" s="921" t="s">
        <v>1024</v>
      </c>
    </row>
    <row r="7103" spans="1:18" ht="19.5" hidden="1" thickBot="1" x14ac:dyDescent="0.3">
      <c r="A7103" s="513">
        <f>MAX(A6970:A7102)+1</f>
        <v>4388</v>
      </c>
      <c r="B7103" s="514" t="s">
        <v>2261</v>
      </c>
      <c r="C7103" s="515" t="s">
        <v>26</v>
      </c>
      <c r="D7103" s="516">
        <v>17.018000000000001</v>
      </c>
      <c r="E7103" s="517">
        <v>17.018999999999998</v>
      </c>
      <c r="F7103" s="518" t="s">
        <v>30</v>
      </c>
      <c r="G7103" s="519"/>
      <c r="H7103" s="518" t="s">
        <v>2294</v>
      </c>
      <c r="I7103" s="520" t="s">
        <v>2294</v>
      </c>
      <c r="J7103" s="521"/>
      <c r="K7103" s="518" t="str">
        <f t="shared" si="213"/>
        <v>08,26</v>
      </c>
      <c r="L7103" s="518" t="s">
        <v>265</v>
      </c>
      <c r="M7103" s="518">
        <v>17018.919999999998</v>
      </c>
      <c r="N7103" s="522">
        <v>0.375</v>
      </c>
      <c r="O7103" s="897" t="s">
        <v>2303</v>
      </c>
      <c r="P7103" s="867" t="s">
        <v>2343</v>
      </c>
    </row>
    <row r="7104" spans="1:18" ht="19.5" hidden="1" thickBot="1" x14ac:dyDescent="0.3">
      <c r="A7104" s="1059">
        <f>MAX(A6971:A7103)+1</f>
        <v>4389</v>
      </c>
      <c r="B7104" s="759" t="s">
        <v>2261</v>
      </c>
      <c r="C7104" s="532" t="s">
        <v>26</v>
      </c>
      <c r="D7104" s="533">
        <v>17.768999999999998</v>
      </c>
      <c r="E7104" s="534">
        <v>11.882999999999999</v>
      </c>
      <c r="F7104" s="535" t="s">
        <v>16</v>
      </c>
      <c r="G7104" s="898"/>
      <c r="H7104" s="535" t="s">
        <v>2301</v>
      </c>
      <c r="I7104" s="537" t="s">
        <v>2301</v>
      </c>
      <c r="J7104" s="538"/>
      <c r="K7104" s="535" t="str">
        <f t="shared" si="213"/>
        <v>08,26</v>
      </c>
      <c r="L7104" s="567" t="s">
        <v>265</v>
      </c>
      <c r="M7104" s="567">
        <v>17937.810000000001</v>
      </c>
      <c r="N7104" s="571">
        <v>0.375</v>
      </c>
      <c r="O7104" s="897" t="s">
        <v>2302</v>
      </c>
      <c r="P7104" s="867" t="s">
        <v>2381</v>
      </c>
    </row>
    <row r="7105" spans="1:18" ht="19.5" hidden="1" thickBot="1" x14ac:dyDescent="0.3">
      <c r="A7105" s="1061"/>
      <c r="B7105" s="798" t="s">
        <v>2294</v>
      </c>
      <c r="C7105" s="799" t="s">
        <v>26</v>
      </c>
      <c r="D7105" s="800">
        <v>4.3</v>
      </c>
      <c r="E7105" s="800">
        <v>4.3390000000000004</v>
      </c>
      <c r="F7105" s="801" t="s">
        <v>16</v>
      </c>
      <c r="G7105" s="942" t="s">
        <v>76</v>
      </c>
      <c r="H7105" s="801" t="s">
        <v>2301</v>
      </c>
      <c r="I7105" s="801" t="s">
        <v>2301</v>
      </c>
      <c r="J7105" s="803"/>
      <c r="K7105" s="801" t="str">
        <f t="shared" si="213"/>
        <v>08,26</v>
      </c>
      <c r="L7105" s="801" t="s">
        <v>265</v>
      </c>
      <c r="M7105" s="801">
        <v>4320</v>
      </c>
      <c r="N7105" s="804">
        <v>0.375</v>
      </c>
      <c r="O7105" s="897" t="s">
        <v>2377</v>
      </c>
      <c r="P7105" s="867" t="s">
        <v>2382</v>
      </c>
    </row>
    <row r="7106" spans="1:18" ht="19.5" hidden="1" thickBot="1" x14ac:dyDescent="0.3">
      <c r="A7106" s="1073">
        <f>MAX(A6972:A7104)+1</f>
        <v>4390</v>
      </c>
      <c r="B7106" s="610" t="s">
        <v>2261</v>
      </c>
      <c r="C7106" s="480" t="s">
        <v>24</v>
      </c>
      <c r="D7106" s="481">
        <v>11.032</v>
      </c>
      <c r="E7106" s="482">
        <v>10.147</v>
      </c>
      <c r="F7106" s="483" t="s">
        <v>16</v>
      </c>
      <c r="G7106" s="549"/>
      <c r="H7106" s="483" t="s">
        <v>2301</v>
      </c>
      <c r="I7106" s="484" t="s">
        <v>2301</v>
      </c>
      <c r="J7106" s="485"/>
      <c r="K7106" s="483" t="str">
        <f t="shared" si="213"/>
        <v>08,26</v>
      </c>
      <c r="L7106" s="483" t="s">
        <v>28</v>
      </c>
      <c r="M7106" s="483">
        <v>11245.769999999999</v>
      </c>
      <c r="N7106" s="486">
        <v>0.41666666666666669</v>
      </c>
      <c r="O7106" s="897" t="s">
        <v>2306</v>
      </c>
      <c r="P7106" s="867" t="s">
        <v>2398</v>
      </c>
    </row>
    <row r="7107" spans="1:18" ht="19.5" hidden="1" thickBot="1" x14ac:dyDescent="0.3">
      <c r="A7107" s="1077"/>
      <c r="B7107" s="769" t="s">
        <v>2261</v>
      </c>
      <c r="C7107" s="764" t="s">
        <v>15</v>
      </c>
      <c r="D7107" s="765">
        <v>6.5730000000000004</v>
      </c>
      <c r="E7107" s="766">
        <v>5.6959999999999997</v>
      </c>
      <c r="F7107" s="763" t="s">
        <v>16</v>
      </c>
      <c r="G7107" s="767"/>
      <c r="H7107" s="763" t="s">
        <v>2301</v>
      </c>
      <c r="I7107" s="768" t="s">
        <v>2301</v>
      </c>
      <c r="J7107" s="779"/>
      <c r="K7107" s="763" t="str">
        <f t="shared" si="213"/>
        <v>08,26</v>
      </c>
      <c r="L7107" s="763" t="s">
        <v>28</v>
      </c>
      <c r="M7107" s="763">
        <v>6731.05</v>
      </c>
      <c r="N7107" s="770">
        <v>0.41666666666666669</v>
      </c>
      <c r="O7107" s="897" t="s">
        <v>2307</v>
      </c>
      <c r="P7107" s="867" t="s">
        <v>2397</v>
      </c>
    </row>
    <row r="7108" spans="1:18" ht="19.5" hidden="1" thickBot="1" x14ac:dyDescent="0.3">
      <c r="A7108" s="1077"/>
      <c r="B7108" s="864" t="s">
        <v>2301</v>
      </c>
      <c r="C7108" s="861" t="s">
        <v>24</v>
      </c>
      <c r="D7108" s="862">
        <v>0.9</v>
      </c>
      <c r="E7108" s="862">
        <v>0.9</v>
      </c>
      <c r="F7108" s="860" t="s">
        <v>16</v>
      </c>
      <c r="G7108" s="863" t="s">
        <v>76</v>
      </c>
      <c r="H7108" s="860" t="s">
        <v>2301</v>
      </c>
      <c r="I7108" s="860" t="s">
        <v>2301</v>
      </c>
      <c r="J7108" s="865"/>
      <c r="K7108" s="860" t="str">
        <f t="shared" si="213"/>
        <v>08,26</v>
      </c>
      <c r="L7108" s="860" t="s">
        <v>28</v>
      </c>
      <c r="M7108" s="860">
        <v>900</v>
      </c>
      <c r="N7108" s="770">
        <v>0.41666666666666669</v>
      </c>
      <c r="O7108" s="897" t="s">
        <v>2375</v>
      </c>
      <c r="P7108" s="867" t="s">
        <v>2399</v>
      </c>
    </row>
    <row r="7109" spans="1:18" ht="19.5" hidden="1" thickBot="1" x14ac:dyDescent="0.3">
      <c r="A7109" s="1074"/>
      <c r="B7109" s="805" t="s">
        <v>2301</v>
      </c>
      <c r="C7109" s="806" t="s">
        <v>15</v>
      </c>
      <c r="D7109" s="807">
        <v>0.9</v>
      </c>
      <c r="E7109" s="807">
        <v>0.90700000000000003</v>
      </c>
      <c r="F7109" s="808" t="s">
        <v>16</v>
      </c>
      <c r="G7109" s="809" t="s">
        <v>76</v>
      </c>
      <c r="H7109" s="808" t="s">
        <v>2301</v>
      </c>
      <c r="I7109" s="808" t="s">
        <v>2301</v>
      </c>
      <c r="J7109" s="810"/>
      <c r="K7109" s="808" t="str">
        <f t="shared" si="213"/>
        <v>08,26</v>
      </c>
      <c r="L7109" s="808" t="s">
        <v>28</v>
      </c>
      <c r="M7109" s="808">
        <v>900</v>
      </c>
      <c r="N7109" s="778">
        <v>0.41666666666666669</v>
      </c>
      <c r="O7109" s="897" t="s">
        <v>2374</v>
      </c>
      <c r="P7109" s="867" t="s">
        <v>2400</v>
      </c>
    </row>
    <row r="7110" spans="1:18" ht="19.5" hidden="1" thickBot="1" x14ac:dyDescent="0.3">
      <c r="A7110" s="1059">
        <f>MAX(A6974:A7109)+1</f>
        <v>4391</v>
      </c>
      <c r="B7110" s="759" t="s">
        <v>2261</v>
      </c>
      <c r="C7110" s="532" t="s">
        <v>23</v>
      </c>
      <c r="D7110" s="533">
        <v>17.905000000000001</v>
      </c>
      <c r="E7110" s="534">
        <v>17.311</v>
      </c>
      <c r="F7110" s="535" t="s">
        <v>16</v>
      </c>
      <c r="G7110" s="898"/>
      <c r="H7110" s="535" t="s">
        <v>2301</v>
      </c>
      <c r="I7110" s="537" t="s">
        <v>2301</v>
      </c>
      <c r="J7110" s="538"/>
      <c r="K7110" s="535" t="str">
        <f t="shared" si="213"/>
        <v>08,26</v>
      </c>
      <c r="L7110" s="567" t="s">
        <v>28</v>
      </c>
      <c r="M7110" s="567">
        <v>18046.53</v>
      </c>
      <c r="N7110" s="571">
        <v>0.45833333333333331</v>
      </c>
      <c r="O7110" s="897" t="s">
        <v>2308</v>
      </c>
      <c r="P7110" s="867" t="s">
        <v>2401</v>
      </c>
    </row>
    <row r="7111" spans="1:18" ht="19.5" hidden="1" thickBot="1" x14ac:dyDescent="0.3">
      <c r="A7111" s="1061"/>
      <c r="B7111" s="798" t="s">
        <v>2301</v>
      </c>
      <c r="C7111" s="799" t="s">
        <v>23</v>
      </c>
      <c r="D7111" s="800">
        <v>0.75</v>
      </c>
      <c r="E7111" s="800">
        <v>0.75800000000000001</v>
      </c>
      <c r="F7111" s="801" t="s">
        <v>16</v>
      </c>
      <c r="G7111" s="942" t="s">
        <v>76</v>
      </c>
      <c r="H7111" s="801" t="s">
        <v>2301</v>
      </c>
      <c r="I7111" s="801" t="s">
        <v>2301</v>
      </c>
      <c r="J7111" s="803"/>
      <c r="K7111" s="801" t="str">
        <f t="shared" si="213"/>
        <v>08,26</v>
      </c>
      <c r="L7111" s="801" t="s">
        <v>28</v>
      </c>
      <c r="M7111" s="801">
        <v>756</v>
      </c>
      <c r="N7111" s="804">
        <v>0.45833333333333331</v>
      </c>
      <c r="O7111" s="897" t="s">
        <v>2376</v>
      </c>
      <c r="P7111" s="867" t="s">
        <v>2402</v>
      </c>
    </row>
    <row r="7112" spans="1:18" ht="19.5" hidden="1" thickBot="1" x14ac:dyDescent="0.3">
      <c r="A7112" s="1062">
        <f>MAX(A6975:A7110)+1</f>
        <v>4392</v>
      </c>
      <c r="B7112" s="479" t="s">
        <v>2279</v>
      </c>
      <c r="C7112" s="480" t="s">
        <v>26</v>
      </c>
      <c r="D7112" s="481">
        <v>17.033999999999999</v>
      </c>
      <c r="E7112" s="482">
        <v>13.89</v>
      </c>
      <c r="F7112" s="483" t="s">
        <v>16</v>
      </c>
      <c r="G7112" s="549"/>
      <c r="H7112" s="483" t="s">
        <v>2329</v>
      </c>
      <c r="I7112" s="484" t="s">
        <v>2329</v>
      </c>
      <c r="J7112" s="485"/>
      <c r="K7112" s="483" t="str">
        <f t="shared" si="213"/>
        <v>08,26</v>
      </c>
      <c r="L7112" s="483" t="s">
        <v>265</v>
      </c>
      <c r="M7112" s="483">
        <v>17216.78</v>
      </c>
      <c r="N7112" s="486">
        <v>0.375</v>
      </c>
      <c r="O7112" s="897" t="s">
        <v>2330</v>
      </c>
      <c r="P7112" s="867" t="s">
        <v>2391</v>
      </c>
    </row>
    <row r="7113" spans="1:18" ht="19.5" hidden="1" thickBot="1" x14ac:dyDescent="0.3">
      <c r="A7113" s="1072"/>
      <c r="B7113" s="769" t="s">
        <v>2279</v>
      </c>
      <c r="C7113" s="764" t="s">
        <v>952</v>
      </c>
      <c r="D7113" s="765">
        <v>1.8169999999999999</v>
      </c>
      <c r="E7113" s="766">
        <v>1.7030000000000001</v>
      </c>
      <c r="F7113" s="763" t="s">
        <v>16</v>
      </c>
      <c r="G7113" s="767"/>
      <c r="H7113" s="763" t="s">
        <v>2329</v>
      </c>
      <c r="I7113" s="768" t="s">
        <v>2329</v>
      </c>
      <c r="J7113" s="779"/>
      <c r="K7113" s="763" t="str">
        <f t="shared" si="213"/>
        <v>08,26</v>
      </c>
      <c r="L7113" s="763" t="s">
        <v>265</v>
      </c>
      <c r="M7113" s="763">
        <v>1880.24</v>
      </c>
      <c r="N7113" s="770">
        <v>0.375</v>
      </c>
      <c r="O7113" s="897" t="s">
        <v>2331</v>
      </c>
      <c r="P7113" s="867" t="s">
        <v>2392</v>
      </c>
    </row>
    <row r="7114" spans="1:18" ht="19.5" hidden="1" thickBot="1" x14ac:dyDescent="0.3">
      <c r="A7114" s="1063"/>
      <c r="B7114" s="859" t="s">
        <v>2301</v>
      </c>
      <c r="C7114" s="854" t="s">
        <v>26</v>
      </c>
      <c r="D7114" s="855">
        <v>4.3</v>
      </c>
      <c r="E7114" s="855">
        <f>1.446+0.453</f>
        <v>1.899</v>
      </c>
      <c r="F7114" s="856" t="s">
        <v>16</v>
      </c>
      <c r="G7114" s="857" t="s">
        <v>76</v>
      </c>
      <c r="H7114" s="856" t="s">
        <v>2329</v>
      </c>
      <c r="I7114" s="856" t="s">
        <v>2329</v>
      </c>
      <c r="J7114" s="858"/>
      <c r="K7114" s="856" t="str">
        <f t="shared" si="213"/>
        <v>08,26</v>
      </c>
      <c r="L7114" s="856" t="s">
        <v>265</v>
      </c>
      <c r="M7114" s="856">
        <v>4305</v>
      </c>
      <c r="N7114" s="653">
        <v>0.375</v>
      </c>
      <c r="O7114" s="897" t="s">
        <v>2378</v>
      </c>
      <c r="P7114" s="867" t="s">
        <v>2393</v>
      </c>
      <c r="Q7114" s="847" t="s">
        <v>2394</v>
      </c>
    </row>
    <row r="7115" spans="1:18" ht="19.5" hidden="1" thickBot="1" x14ac:dyDescent="0.3">
      <c r="A7115" s="1066">
        <f>MAX(A6977:A7114)+1</f>
        <v>4393</v>
      </c>
      <c r="B7115" s="531" t="s">
        <v>2279</v>
      </c>
      <c r="C7115" s="532" t="s">
        <v>23</v>
      </c>
      <c r="D7115" s="533">
        <v>3.2</v>
      </c>
      <c r="E7115" s="534">
        <v>2.8090000000000002</v>
      </c>
      <c r="F7115" s="535" t="s">
        <v>16</v>
      </c>
      <c r="G7115" s="1080" t="s">
        <v>2386</v>
      </c>
      <c r="H7115" s="535" t="s">
        <v>2329</v>
      </c>
      <c r="I7115" s="537" t="s">
        <v>2347</v>
      </c>
      <c r="J7115" s="538"/>
      <c r="K7115" s="535" t="str">
        <f t="shared" si="213"/>
        <v>09,26</v>
      </c>
      <c r="L7115" s="535" t="s">
        <v>28</v>
      </c>
      <c r="M7115" s="535">
        <v>3253.0800000000004</v>
      </c>
      <c r="N7115" s="539">
        <v>0.41666666666666669</v>
      </c>
      <c r="O7115" s="897" t="s">
        <v>2332</v>
      </c>
      <c r="P7115" s="867" t="s">
        <v>2438</v>
      </c>
      <c r="R7115" s="943"/>
    </row>
    <row r="7116" spans="1:18" ht="19.5" hidden="1" thickBot="1" x14ac:dyDescent="0.3">
      <c r="A7116" s="1068"/>
      <c r="B7116" s="563" t="s">
        <v>2279</v>
      </c>
      <c r="C7116" s="564" t="s">
        <v>839</v>
      </c>
      <c r="D7116" s="565">
        <v>1.52</v>
      </c>
      <c r="E7116" s="566">
        <v>1.538</v>
      </c>
      <c r="F7116" s="567" t="s">
        <v>16</v>
      </c>
      <c r="G7116" s="1102"/>
      <c r="H7116" s="567" t="s">
        <v>2329</v>
      </c>
      <c r="I7116" s="569" t="s">
        <v>2347</v>
      </c>
      <c r="J7116" s="570"/>
      <c r="K7116" s="567" t="str">
        <f t="shared" si="213"/>
        <v>09,26</v>
      </c>
      <c r="L7116" s="567" t="s">
        <v>28</v>
      </c>
      <c r="M7116" s="567">
        <v>1537.5</v>
      </c>
      <c r="N7116" s="571">
        <v>0.41666666666666669</v>
      </c>
      <c r="O7116" s="897" t="s">
        <v>2333</v>
      </c>
      <c r="P7116" s="867" t="s">
        <v>2439</v>
      </c>
      <c r="R7116" s="943"/>
    </row>
    <row r="7117" spans="1:18" ht="19.5" hidden="1" thickBot="1" x14ac:dyDescent="0.3">
      <c r="A7117" s="1068"/>
      <c r="B7117" s="563" t="s">
        <v>2279</v>
      </c>
      <c r="C7117" s="564" t="s">
        <v>840</v>
      </c>
      <c r="D7117" s="565">
        <v>10.016999999999999</v>
      </c>
      <c r="E7117" s="566">
        <v>9.5990000000000002</v>
      </c>
      <c r="F7117" s="567" t="s">
        <v>16</v>
      </c>
      <c r="G7117" s="1102"/>
      <c r="H7117" s="567" t="s">
        <v>2329</v>
      </c>
      <c r="I7117" s="569" t="s">
        <v>2347</v>
      </c>
      <c r="J7117" s="570"/>
      <c r="K7117" s="567" t="str">
        <f t="shared" si="213"/>
        <v>09,26</v>
      </c>
      <c r="L7117" s="567" t="s">
        <v>266</v>
      </c>
      <c r="M7117" s="567">
        <v>10081.98</v>
      </c>
      <c r="N7117" s="571">
        <v>0.41666666666666669</v>
      </c>
      <c r="O7117" s="897" t="s">
        <v>2334</v>
      </c>
      <c r="P7117" s="867" t="s">
        <v>2440</v>
      </c>
      <c r="R7117" s="943"/>
    </row>
    <row r="7118" spans="1:18" ht="19.5" hidden="1" thickBot="1" x14ac:dyDescent="0.3">
      <c r="A7118" s="1067"/>
      <c r="B7118" s="832" t="s">
        <v>2329</v>
      </c>
      <c r="C7118" s="827" t="s">
        <v>23</v>
      </c>
      <c r="D7118" s="828">
        <v>0.95399999999999996</v>
      </c>
      <c r="E7118" s="828">
        <v>0.96099999999999997</v>
      </c>
      <c r="F7118" s="829" t="s">
        <v>16</v>
      </c>
      <c r="G7118" s="1081"/>
      <c r="H7118" s="829" t="s">
        <v>2329</v>
      </c>
      <c r="I7118" s="829" t="s">
        <v>2422</v>
      </c>
      <c r="J7118" s="831"/>
      <c r="K7118" s="829" t="str">
        <f t="shared" si="213"/>
        <v>09,26</v>
      </c>
      <c r="L7118" s="829" t="s">
        <v>28</v>
      </c>
      <c r="M7118" s="829">
        <v>954</v>
      </c>
      <c r="N7118" s="644">
        <v>0.41666666666666669</v>
      </c>
      <c r="O7118" s="897" t="s">
        <v>2387</v>
      </c>
      <c r="P7118" s="867" t="s">
        <v>2499</v>
      </c>
      <c r="R7118" s="2"/>
    </row>
    <row r="7119" spans="1:18" ht="19.5" hidden="1" thickBot="1" x14ac:dyDescent="0.3">
      <c r="A7119" s="513">
        <f>MAX(A6980:A7118)+1</f>
        <v>4394</v>
      </c>
      <c r="B7119" s="514" t="s">
        <v>2279</v>
      </c>
      <c r="C7119" s="515" t="s">
        <v>840</v>
      </c>
      <c r="D7119" s="516">
        <v>5</v>
      </c>
      <c r="E7119" s="517">
        <v>5.0010000000000003</v>
      </c>
      <c r="F7119" s="518" t="s">
        <v>16</v>
      </c>
      <c r="G7119" s="519" t="s">
        <v>2299</v>
      </c>
      <c r="H7119" s="518" t="s">
        <v>2329</v>
      </c>
      <c r="I7119" s="520" t="s">
        <v>2423</v>
      </c>
      <c r="J7119" s="521"/>
      <c r="K7119" s="518" t="str">
        <f t="shared" ref="K7119:K7182" si="215">RIGHT(I7119,5)</f>
        <v>09,26</v>
      </c>
      <c r="L7119" s="518" t="s">
        <v>266</v>
      </c>
      <c r="M7119" s="518">
        <v>5004</v>
      </c>
      <c r="N7119" s="522">
        <v>0.41666666666666669</v>
      </c>
      <c r="O7119" s="897" t="s">
        <v>2335</v>
      </c>
      <c r="P7119" s="867" t="s">
        <v>2513</v>
      </c>
      <c r="Q7119" s="2"/>
      <c r="R7119" s="2"/>
    </row>
    <row r="7120" spans="1:18" ht="57" hidden="1" thickBot="1" x14ac:dyDescent="0.3">
      <c r="A7120" s="1066">
        <f>MAX(A6981:A7119)+1</f>
        <v>4395</v>
      </c>
      <c r="B7120" s="531" t="s">
        <v>2279</v>
      </c>
      <c r="C7120" s="532" t="s">
        <v>587</v>
      </c>
      <c r="D7120" s="533">
        <v>0.93600000000000005</v>
      </c>
      <c r="E7120" s="534">
        <v>0.88300000000000001</v>
      </c>
      <c r="F7120" s="535" t="s">
        <v>16</v>
      </c>
      <c r="G7120" s="536" t="s">
        <v>794</v>
      </c>
      <c r="H7120" s="535" t="s">
        <v>2329</v>
      </c>
      <c r="I7120" s="537" t="s">
        <v>2329</v>
      </c>
      <c r="J7120" s="538"/>
      <c r="K7120" s="535" t="str">
        <f t="shared" si="215"/>
        <v>08,26</v>
      </c>
      <c r="L7120" s="535" t="s">
        <v>28</v>
      </c>
      <c r="M7120" s="535">
        <v>936.96</v>
      </c>
      <c r="N7120" s="539">
        <v>0.45833333333333331</v>
      </c>
      <c r="O7120" s="897" t="s">
        <v>2337</v>
      </c>
      <c r="P7120" s="867" t="s">
        <v>2403</v>
      </c>
    </row>
    <row r="7121" spans="1:18" ht="19.5" hidden="1" thickBot="1" x14ac:dyDescent="0.3">
      <c r="A7121" s="1068"/>
      <c r="B7121" s="563" t="s">
        <v>2279</v>
      </c>
      <c r="C7121" s="564" t="s">
        <v>587</v>
      </c>
      <c r="D7121" s="565">
        <v>6.3150000000000004</v>
      </c>
      <c r="E7121" s="566">
        <v>5.2859999999999996</v>
      </c>
      <c r="F7121" s="567" t="s">
        <v>16</v>
      </c>
      <c r="G7121" s="568" t="s">
        <v>47</v>
      </c>
      <c r="H7121" s="567" t="s">
        <v>2329</v>
      </c>
      <c r="I7121" s="569" t="s">
        <v>2329</v>
      </c>
      <c r="J7121" s="570"/>
      <c r="K7121" s="567" t="str">
        <f t="shared" si="215"/>
        <v>08,26</v>
      </c>
      <c r="L7121" s="567" t="s">
        <v>28</v>
      </c>
      <c r="M7121" s="567">
        <v>6315.9200000000019</v>
      </c>
      <c r="N7121" s="571">
        <v>0.45833333333333331</v>
      </c>
      <c r="O7121" s="897" t="s">
        <v>2338</v>
      </c>
      <c r="P7121" s="867" t="s">
        <v>2404</v>
      </c>
    </row>
    <row r="7122" spans="1:18" ht="19.5" hidden="1" thickBot="1" x14ac:dyDescent="0.3">
      <c r="A7122" s="1068"/>
      <c r="B7122" s="563" t="s">
        <v>2279</v>
      </c>
      <c r="C7122" s="564" t="s">
        <v>47</v>
      </c>
      <c r="D7122" s="565">
        <v>10.348000000000001</v>
      </c>
      <c r="E7122" s="566">
        <v>8.4320000000000004</v>
      </c>
      <c r="F7122" s="567" t="s">
        <v>16</v>
      </c>
      <c r="G7122" s="568"/>
      <c r="H7122" s="567" t="s">
        <v>2329</v>
      </c>
      <c r="I7122" s="569" t="s">
        <v>2329</v>
      </c>
      <c r="J7122" s="570"/>
      <c r="K7122" s="567" t="str">
        <f t="shared" si="215"/>
        <v>08,26</v>
      </c>
      <c r="L7122" s="567" t="s">
        <v>28</v>
      </c>
      <c r="M7122" s="567">
        <v>10510.679999999997</v>
      </c>
      <c r="N7122" s="571">
        <v>0.45833333333333331</v>
      </c>
      <c r="O7122" s="897" t="s">
        <v>2336</v>
      </c>
      <c r="P7122" s="867" t="s">
        <v>2413</v>
      </c>
    </row>
    <row r="7123" spans="1:18" ht="19.5" hidden="1" thickBot="1" x14ac:dyDescent="0.3">
      <c r="A7123" s="1068"/>
      <c r="B7123" s="836" t="s">
        <v>2329</v>
      </c>
      <c r="C7123" s="837" t="s">
        <v>47</v>
      </c>
      <c r="D7123" s="838">
        <v>2.8</v>
      </c>
      <c r="E7123" s="838">
        <v>2.8119999999999998</v>
      </c>
      <c r="F7123" s="839" t="s">
        <v>16</v>
      </c>
      <c r="G7123" s="850" t="s">
        <v>76</v>
      </c>
      <c r="H7123" s="839" t="s">
        <v>2329</v>
      </c>
      <c r="I7123" s="839" t="s">
        <v>2329</v>
      </c>
      <c r="J7123" s="840"/>
      <c r="K7123" s="839" t="str">
        <f t="shared" si="215"/>
        <v>08,26</v>
      </c>
      <c r="L7123" s="839" t="s">
        <v>28</v>
      </c>
      <c r="M7123" s="839">
        <v>2811</v>
      </c>
      <c r="N7123" s="598">
        <v>0.45833333333333331</v>
      </c>
      <c r="O7123" s="897" t="s">
        <v>2388</v>
      </c>
      <c r="P7123" s="867" t="s">
        <v>2414</v>
      </c>
    </row>
    <row r="7124" spans="1:18" ht="19.5" hidden="1" thickBot="1" x14ac:dyDescent="0.3">
      <c r="A7124" s="513">
        <f>MAX(A6984:A7123)+1</f>
        <v>4396</v>
      </c>
      <c r="B7124" s="514" t="s">
        <v>2294</v>
      </c>
      <c r="C7124" s="515" t="s">
        <v>26</v>
      </c>
      <c r="D7124" s="516">
        <v>17.015000000000001</v>
      </c>
      <c r="E7124" s="517">
        <v>17.015000000000001</v>
      </c>
      <c r="F7124" s="518" t="s">
        <v>30</v>
      </c>
      <c r="G7124" s="519"/>
      <c r="H7124" s="518" t="s">
        <v>2329</v>
      </c>
      <c r="I7124" s="520" t="s">
        <v>2329</v>
      </c>
      <c r="J7124" s="521"/>
      <c r="K7124" s="518" t="str">
        <f t="shared" si="215"/>
        <v>08,26</v>
      </c>
      <c r="L7124" s="518" t="s">
        <v>265</v>
      </c>
      <c r="M7124" s="518">
        <v>17015.000000000004</v>
      </c>
      <c r="N7124" s="522">
        <v>0.375</v>
      </c>
      <c r="O7124" s="897" t="s">
        <v>2348</v>
      </c>
      <c r="P7124" s="867" t="s">
        <v>2390</v>
      </c>
    </row>
    <row r="7125" spans="1:18" ht="19.5" hidden="1" thickBot="1" x14ac:dyDescent="0.3">
      <c r="A7125" s="503">
        <f>MAX(A6985:A7124)+1</f>
        <v>4397</v>
      </c>
      <c r="B7125" s="504" t="s">
        <v>2294</v>
      </c>
      <c r="C7125" s="505" t="s">
        <v>26</v>
      </c>
      <c r="D7125" s="506">
        <v>17.413</v>
      </c>
      <c r="E7125" s="507">
        <v>13.532999999999999</v>
      </c>
      <c r="F7125" s="508" t="s">
        <v>16</v>
      </c>
      <c r="G7125" s="509"/>
      <c r="H7125" s="508" t="s">
        <v>2344</v>
      </c>
      <c r="I7125" s="510" t="s">
        <v>2344</v>
      </c>
      <c r="J7125" s="511"/>
      <c r="K7125" s="508" t="str">
        <f t="shared" si="215"/>
        <v>08,26</v>
      </c>
      <c r="L7125" s="508" t="s">
        <v>265</v>
      </c>
      <c r="M7125" s="508">
        <v>17578.12</v>
      </c>
      <c r="N7125" s="512">
        <v>0.375</v>
      </c>
      <c r="O7125" s="897" t="s">
        <v>2356</v>
      </c>
      <c r="P7125" s="867" t="s">
        <v>2409</v>
      </c>
    </row>
    <row r="7126" spans="1:18" ht="19.5" hidden="1" thickBot="1" x14ac:dyDescent="0.3">
      <c r="A7126" s="572">
        <f>MAX(A6986:A7125)+1</f>
        <v>4398</v>
      </c>
      <c r="B7126" s="573" t="s">
        <v>2294</v>
      </c>
      <c r="C7126" s="574" t="s">
        <v>26</v>
      </c>
      <c r="D7126" s="575">
        <v>17.45</v>
      </c>
      <c r="E7126" s="576">
        <v>12.836</v>
      </c>
      <c r="F7126" s="577" t="s">
        <v>16</v>
      </c>
      <c r="G7126" s="578"/>
      <c r="H7126" s="577" t="s">
        <v>2344</v>
      </c>
      <c r="I7126" s="579" t="s">
        <v>2344</v>
      </c>
      <c r="J7126" s="580"/>
      <c r="K7126" s="577" t="str">
        <f t="shared" si="215"/>
        <v>08,26</v>
      </c>
      <c r="L7126" s="577" t="s">
        <v>265</v>
      </c>
      <c r="M7126" s="577">
        <v>17583.800000000003</v>
      </c>
      <c r="N7126" s="581">
        <v>0.41666666666666669</v>
      </c>
      <c r="O7126" s="897" t="s">
        <v>2361</v>
      </c>
      <c r="P7126" s="867" t="s">
        <v>2411</v>
      </c>
    </row>
    <row r="7127" spans="1:18" ht="19.5" hidden="1" thickBot="1" x14ac:dyDescent="0.3">
      <c r="A7127" s="1066">
        <f>MAX(A6987:A7126)+1</f>
        <v>4399</v>
      </c>
      <c r="B7127" s="531" t="s">
        <v>2294</v>
      </c>
      <c r="C7127" s="532" t="s">
        <v>23</v>
      </c>
      <c r="D7127" s="533">
        <v>17.201000000000001</v>
      </c>
      <c r="E7127" s="534">
        <v>15.553000000000001</v>
      </c>
      <c r="F7127" s="535" t="s">
        <v>16</v>
      </c>
      <c r="G7127" s="1080" t="s">
        <v>1634</v>
      </c>
      <c r="H7127" s="535" t="s">
        <v>2344</v>
      </c>
      <c r="I7127" s="537" t="s">
        <v>2347</v>
      </c>
      <c r="J7127" s="538"/>
      <c r="K7127" s="535" t="str">
        <f t="shared" si="215"/>
        <v>09,26</v>
      </c>
      <c r="L7127" s="535" t="s">
        <v>28</v>
      </c>
      <c r="M7127" s="535">
        <v>17377.23</v>
      </c>
      <c r="N7127" s="539">
        <v>0.45833333333333331</v>
      </c>
      <c r="O7127" s="897" t="s">
        <v>2350</v>
      </c>
      <c r="P7127" s="867" t="s">
        <v>2436</v>
      </c>
    </row>
    <row r="7128" spans="1:18" ht="19.5" hidden="1" thickBot="1" x14ac:dyDescent="0.3">
      <c r="A7128" s="1067"/>
      <c r="B7128" s="877" t="s">
        <v>2347</v>
      </c>
      <c r="C7128" s="786" t="s">
        <v>23</v>
      </c>
      <c r="D7128" s="787">
        <v>2.5</v>
      </c>
      <c r="E7128" s="787">
        <v>2.5190000000000001</v>
      </c>
      <c r="F7128" s="788" t="s">
        <v>16</v>
      </c>
      <c r="G7128" s="1081"/>
      <c r="H7128" s="788" t="s">
        <v>2344</v>
      </c>
      <c r="I7128" s="788" t="s">
        <v>2422</v>
      </c>
      <c r="J7128" s="790"/>
      <c r="K7128" s="788" t="str">
        <f t="shared" si="215"/>
        <v>09,26</v>
      </c>
      <c r="L7128" s="788" t="s">
        <v>28</v>
      </c>
      <c r="M7128" s="788">
        <v>2505</v>
      </c>
      <c r="N7128" s="784">
        <v>0.45833333333333331</v>
      </c>
      <c r="O7128" s="897" t="s">
        <v>2421</v>
      </c>
      <c r="P7128" s="867" t="s">
        <v>2500</v>
      </c>
    </row>
    <row r="7129" spans="1:18" ht="19.5" hidden="1" thickBot="1" x14ac:dyDescent="0.3">
      <c r="A7129" s="1062">
        <f>MAX(A6988:A7128)+1</f>
        <v>4400</v>
      </c>
      <c r="B7129" s="610" t="s">
        <v>2294</v>
      </c>
      <c r="C7129" s="480" t="s">
        <v>47</v>
      </c>
      <c r="D7129" s="481">
        <v>17.001999999999999</v>
      </c>
      <c r="E7129" s="482">
        <v>13.333</v>
      </c>
      <c r="F7129" s="483" t="s">
        <v>16</v>
      </c>
      <c r="G7129" s="1094" t="s">
        <v>1634</v>
      </c>
      <c r="H7129" s="483" t="s">
        <v>2344</v>
      </c>
      <c r="I7129" s="484" t="s">
        <v>2347</v>
      </c>
      <c r="J7129" s="485"/>
      <c r="K7129" s="483" t="str">
        <f t="shared" si="215"/>
        <v>09,26</v>
      </c>
      <c r="L7129" s="483" t="s">
        <v>28</v>
      </c>
      <c r="M7129" s="483">
        <v>17213.829999999998</v>
      </c>
      <c r="N7129" s="486">
        <v>0.5</v>
      </c>
      <c r="O7129" s="897" t="s">
        <v>2352</v>
      </c>
      <c r="P7129" s="867" t="s">
        <v>2445</v>
      </c>
    </row>
    <row r="7130" spans="1:18" ht="19.5" hidden="1" thickBot="1" x14ac:dyDescent="0.3">
      <c r="A7130" s="1063"/>
      <c r="B7130" s="841" t="s">
        <v>2405</v>
      </c>
      <c r="C7130" s="975" t="s">
        <v>47</v>
      </c>
      <c r="D7130" s="976">
        <v>3.8</v>
      </c>
      <c r="E7130" s="976">
        <v>3.8260000000000001</v>
      </c>
      <c r="F7130" s="977" t="s">
        <v>16</v>
      </c>
      <c r="G7130" s="1095"/>
      <c r="H7130" s="977" t="s">
        <v>2344</v>
      </c>
      <c r="I7130" s="977" t="s">
        <v>2405</v>
      </c>
      <c r="J7130" s="845"/>
      <c r="K7130" s="977" t="str">
        <f t="shared" si="215"/>
        <v>09,26</v>
      </c>
      <c r="L7130" s="977" t="s">
        <v>28</v>
      </c>
      <c r="M7130" s="977">
        <v>3810</v>
      </c>
      <c r="N7130" s="846">
        <v>0.5</v>
      </c>
      <c r="O7130" s="897" t="s">
        <v>2424</v>
      </c>
      <c r="P7130" s="867" t="s">
        <v>2446</v>
      </c>
    </row>
    <row r="7131" spans="1:18" ht="19.5" hidden="1" thickBot="1" x14ac:dyDescent="0.3">
      <c r="A7131" s="1066">
        <f>MAX(A6987:A7129)+1</f>
        <v>4401</v>
      </c>
      <c r="B7131" s="759" t="s">
        <v>2294</v>
      </c>
      <c r="C7131" s="532" t="s">
        <v>15</v>
      </c>
      <c r="D7131" s="533">
        <v>8.5050000000000008</v>
      </c>
      <c r="E7131" s="534">
        <v>6.7389999999999999</v>
      </c>
      <c r="F7131" s="535" t="s">
        <v>16</v>
      </c>
      <c r="G7131" s="536"/>
      <c r="H7131" s="535" t="s">
        <v>2344</v>
      </c>
      <c r="I7131" s="537" t="s">
        <v>2415</v>
      </c>
      <c r="J7131" s="538"/>
      <c r="K7131" s="535" t="str">
        <f t="shared" si="215"/>
        <v>09,26</v>
      </c>
      <c r="L7131" s="535" t="s">
        <v>28</v>
      </c>
      <c r="M7131" s="535">
        <v>8707.6400000000012</v>
      </c>
      <c r="N7131" s="539">
        <v>0.54166666666666663</v>
      </c>
      <c r="O7131" s="897" t="s">
        <v>2351</v>
      </c>
      <c r="P7131" s="867" t="s">
        <v>2463</v>
      </c>
      <c r="R7131" s="943"/>
    </row>
    <row r="7132" spans="1:18" ht="19.5" hidden="1" thickBot="1" x14ac:dyDescent="0.3">
      <c r="A7132" s="1068"/>
      <c r="B7132" s="824" t="s">
        <v>2294</v>
      </c>
      <c r="C7132" s="820" t="s">
        <v>24</v>
      </c>
      <c r="D7132" s="821">
        <v>9.032</v>
      </c>
      <c r="E7132" s="822">
        <v>7.4630000000000001</v>
      </c>
      <c r="F7132" s="819" t="s">
        <v>16</v>
      </c>
      <c r="G7132" s="823"/>
      <c r="H7132" s="819" t="s">
        <v>2344</v>
      </c>
      <c r="I7132" s="782" t="s">
        <v>2415</v>
      </c>
      <c r="J7132" s="825"/>
      <c r="K7132" s="819" t="str">
        <f t="shared" si="215"/>
        <v>09,26</v>
      </c>
      <c r="L7132" s="819" t="s">
        <v>28</v>
      </c>
      <c r="M7132" s="819">
        <v>9237.6900000000023</v>
      </c>
      <c r="N7132" s="811">
        <v>0.54166666666666663</v>
      </c>
      <c r="O7132" s="897" t="s">
        <v>2353</v>
      </c>
      <c r="P7132" s="867" t="s">
        <v>2464</v>
      </c>
      <c r="R7132" s="943"/>
    </row>
    <row r="7133" spans="1:18" ht="19.5" hidden="1" thickBot="1" x14ac:dyDescent="0.3">
      <c r="A7133" s="1068"/>
      <c r="B7133" s="813" t="s">
        <v>2405</v>
      </c>
      <c r="C7133" s="814" t="s">
        <v>15</v>
      </c>
      <c r="D7133" s="815">
        <v>2.2999999999999998</v>
      </c>
      <c r="E7133" s="815">
        <v>2.3130000000000002</v>
      </c>
      <c r="F7133" s="816" t="s">
        <v>16</v>
      </c>
      <c r="G7133" s="817" t="s">
        <v>76</v>
      </c>
      <c r="H7133" s="816" t="s">
        <v>2344</v>
      </c>
      <c r="I7133" s="816" t="s">
        <v>2415</v>
      </c>
      <c r="J7133" s="818"/>
      <c r="K7133" s="816" t="str">
        <f t="shared" si="215"/>
        <v>09,26</v>
      </c>
      <c r="L7133" s="816" t="s">
        <v>28</v>
      </c>
      <c r="M7133" s="816">
        <v>2310</v>
      </c>
      <c r="N7133" s="811">
        <v>0.54166666666666663</v>
      </c>
      <c r="O7133" s="897" t="s">
        <v>2430</v>
      </c>
      <c r="P7133" s="867" t="s">
        <v>2465</v>
      </c>
      <c r="R7133" s="943"/>
    </row>
    <row r="7134" spans="1:18" ht="19.5" hidden="1" thickBot="1" x14ac:dyDescent="0.3">
      <c r="A7134" s="1067"/>
      <c r="B7134" s="785" t="s">
        <v>2405</v>
      </c>
      <c r="C7134" s="786" t="s">
        <v>24</v>
      </c>
      <c r="D7134" s="787">
        <v>1</v>
      </c>
      <c r="E7134" s="787">
        <v>1.0329999999999999</v>
      </c>
      <c r="F7134" s="788" t="s">
        <v>16</v>
      </c>
      <c r="G7134" s="789" t="s">
        <v>76</v>
      </c>
      <c r="H7134" s="788" t="s">
        <v>2344</v>
      </c>
      <c r="I7134" s="788" t="s">
        <v>2415</v>
      </c>
      <c r="J7134" s="790"/>
      <c r="K7134" s="788" t="str">
        <f t="shared" si="215"/>
        <v>09,26</v>
      </c>
      <c r="L7134" s="788" t="s">
        <v>28</v>
      </c>
      <c r="M7134" s="788">
        <v>1020</v>
      </c>
      <c r="N7134" s="784">
        <v>0.54166666666666663</v>
      </c>
      <c r="O7134" s="897" t="s">
        <v>2433</v>
      </c>
      <c r="P7134" s="867" t="s">
        <v>2466</v>
      </c>
    </row>
    <row r="7135" spans="1:18" ht="19.5" hidden="1" thickBot="1" x14ac:dyDescent="0.3">
      <c r="A7135" s="1062">
        <f t="shared" ref="A7135" si="216">MAX(A6989:A7134)+1</f>
        <v>4402</v>
      </c>
      <c r="B7135" s="523" t="s">
        <v>2294</v>
      </c>
      <c r="C7135" s="524" t="s">
        <v>1358</v>
      </c>
      <c r="D7135" s="525">
        <v>2.5390000000000001</v>
      </c>
      <c r="E7135" s="526">
        <v>2.2120000000000002</v>
      </c>
      <c r="F7135" s="527" t="s">
        <v>16</v>
      </c>
      <c r="G7135" s="1088" t="s">
        <v>2346</v>
      </c>
      <c r="H7135" s="527" t="s">
        <v>2344</v>
      </c>
      <c r="I7135" s="528" t="s">
        <v>2344</v>
      </c>
      <c r="J7135" s="529"/>
      <c r="K7135" s="527" t="str">
        <f t="shared" si="215"/>
        <v>08,26</v>
      </c>
      <c r="L7135" s="527" t="s">
        <v>265</v>
      </c>
      <c r="M7135" s="527">
        <v>2653.8800000000006</v>
      </c>
      <c r="N7135" s="530">
        <v>0.58333333333333337</v>
      </c>
      <c r="O7135" s="897" t="s">
        <v>2362</v>
      </c>
      <c r="P7135" s="867" t="s">
        <v>2408</v>
      </c>
    </row>
    <row r="7136" spans="1:18" ht="19.5" hidden="1" thickBot="1" x14ac:dyDescent="0.3">
      <c r="A7136" s="1072"/>
      <c r="B7136" s="769" t="s">
        <v>2294</v>
      </c>
      <c r="C7136" s="764" t="s">
        <v>1358</v>
      </c>
      <c r="D7136" s="765">
        <v>8.4090000000000007</v>
      </c>
      <c r="E7136" s="766">
        <v>4.5640000000000001</v>
      </c>
      <c r="F7136" s="763" t="s">
        <v>16</v>
      </c>
      <c r="G7136" s="1088"/>
      <c r="H7136" s="763" t="s">
        <v>2344</v>
      </c>
      <c r="I7136" s="768" t="s">
        <v>2344</v>
      </c>
      <c r="J7136" s="779"/>
      <c r="K7136" s="763" t="str">
        <f t="shared" si="215"/>
        <v>08,26</v>
      </c>
      <c r="L7136" s="763" t="s">
        <v>265</v>
      </c>
      <c r="M7136" s="763">
        <v>8545.6</v>
      </c>
      <c r="N7136" s="770">
        <v>0.58333333333333337</v>
      </c>
      <c r="O7136" s="897" t="s">
        <v>2363</v>
      </c>
      <c r="P7136" s="867" t="s">
        <v>2412</v>
      </c>
    </row>
    <row r="7137" spans="1:18" ht="19.5" hidden="1" thickBot="1" x14ac:dyDescent="0.3">
      <c r="A7137" s="1063"/>
      <c r="B7137" s="859" t="s">
        <v>2329</v>
      </c>
      <c r="C7137" s="854" t="s">
        <v>1358</v>
      </c>
      <c r="D7137" s="855">
        <v>1.6</v>
      </c>
      <c r="E7137" s="855">
        <v>1.6020000000000001</v>
      </c>
      <c r="F7137" s="856" t="s">
        <v>16</v>
      </c>
      <c r="G7137" s="1089"/>
      <c r="H7137" s="856" t="s">
        <v>2344</v>
      </c>
      <c r="I7137" s="856" t="s">
        <v>2344</v>
      </c>
      <c r="J7137" s="858"/>
      <c r="K7137" s="856" t="str">
        <f t="shared" si="215"/>
        <v>08,26</v>
      </c>
      <c r="L7137" s="856" t="s">
        <v>265</v>
      </c>
      <c r="M7137" s="856">
        <v>1605</v>
      </c>
      <c r="N7137" s="653">
        <v>0.58333333333333337</v>
      </c>
      <c r="O7137" s="897" t="s">
        <v>2389</v>
      </c>
      <c r="P7137" s="867" t="s">
        <v>2410</v>
      </c>
    </row>
    <row r="7138" spans="1:18" ht="19.5" hidden="1" thickBot="1" x14ac:dyDescent="0.3">
      <c r="A7138" s="1066">
        <f>MAX(A6988:A7137)+1</f>
        <v>4403</v>
      </c>
      <c r="B7138" s="531" t="s">
        <v>2294</v>
      </c>
      <c r="C7138" s="532" t="s">
        <v>587</v>
      </c>
      <c r="D7138" s="533">
        <v>8.1219999999999999</v>
      </c>
      <c r="E7138" s="534">
        <v>8.1219999999999999</v>
      </c>
      <c r="F7138" s="535" t="s">
        <v>30</v>
      </c>
      <c r="G7138" s="973" t="s">
        <v>23</v>
      </c>
      <c r="H7138" s="535" t="s">
        <v>2344</v>
      </c>
      <c r="I7138" s="537" t="s">
        <v>2405</v>
      </c>
      <c r="J7138" s="538"/>
      <c r="K7138" s="535" t="str">
        <f t="shared" si="215"/>
        <v>09,26</v>
      </c>
      <c r="L7138" s="535" t="s">
        <v>28</v>
      </c>
      <c r="M7138" s="535">
        <v>8122.92</v>
      </c>
      <c r="N7138" s="539">
        <v>0.41666666666666669</v>
      </c>
      <c r="O7138" s="897" t="s">
        <v>2358</v>
      </c>
      <c r="P7138" s="867" t="s">
        <v>2450</v>
      </c>
    </row>
    <row r="7139" spans="1:18" ht="19.5" hidden="1" thickBot="1" x14ac:dyDescent="0.3">
      <c r="A7139" s="1067"/>
      <c r="B7139" s="636" t="s">
        <v>2294</v>
      </c>
      <c r="C7139" s="637" t="s">
        <v>23</v>
      </c>
      <c r="D7139" s="638">
        <v>4.9219999999999997</v>
      </c>
      <c r="E7139" s="639">
        <v>4.9219999999999997</v>
      </c>
      <c r="F7139" s="640" t="s">
        <v>30</v>
      </c>
      <c r="G7139" s="974"/>
      <c r="H7139" s="640" t="s">
        <v>2344</v>
      </c>
      <c r="I7139" s="642" t="s">
        <v>2405</v>
      </c>
      <c r="J7139" s="643"/>
      <c r="K7139" s="640" t="str">
        <f t="shared" si="215"/>
        <v>09,26</v>
      </c>
      <c r="L7139" s="640" t="s">
        <v>28</v>
      </c>
      <c r="M7139" s="640">
        <v>4922.3999999999996</v>
      </c>
      <c r="N7139" s="644">
        <v>0.41666666666666669</v>
      </c>
      <c r="O7139" s="897" t="s">
        <v>2357</v>
      </c>
      <c r="P7139" s="867" t="s">
        <v>2449</v>
      </c>
    </row>
    <row r="7140" spans="1:18" ht="19.5" hidden="1" thickBot="1" x14ac:dyDescent="0.3">
      <c r="A7140" s="513">
        <f>MAX(A6990:A7139)+1</f>
        <v>4404</v>
      </c>
      <c r="B7140" s="514" t="s">
        <v>2294</v>
      </c>
      <c r="C7140" s="515" t="s">
        <v>47</v>
      </c>
      <c r="D7140" s="516">
        <v>13.061999999999999</v>
      </c>
      <c r="E7140" s="517">
        <v>13.061999999999999</v>
      </c>
      <c r="F7140" s="518" t="s">
        <v>30</v>
      </c>
      <c r="G7140" s="972"/>
      <c r="H7140" s="518" t="s">
        <v>2344</v>
      </c>
      <c r="I7140" s="520" t="s">
        <v>2405</v>
      </c>
      <c r="J7140" s="521"/>
      <c r="K7140" s="518" t="str">
        <f t="shared" si="215"/>
        <v>09,26</v>
      </c>
      <c r="L7140" s="518" t="s">
        <v>28</v>
      </c>
      <c r="M7140" s="518">
        <v>13062.08</v>
      </c>
      <c r="N7140" s="522">
        <v>0.45833333333333331</v>
      </c>
      <c r="O7140" s="897" t="s">
        <v>2359</v>
      </c>
      <c r="P7140" s="867" t="s">
        <v>2448</v>
      </c>
    </row>
    <row r="7141" spans="1:18" ht="19.5" hidden="1" thickBot="1" x14ac:dyDescent="0.3">
      <c r="A7141" s="503">
        <f>MAX(A6991:A7140)+1</f>
        <v>4405</v>
      </c>
      <c r="B7141" s="504" t="s">
        <v>2294</v>
      </c>
      <c r="C7141" s="505" t="s">
        <v>26</v>
      </c>
      <c r="D7141" s="506">
        <v>15.789</v>
      </c>
      <c r="E7141" s="507">
        <v>15.789</v>
      </c>
      <c r="F7141" s="508" t="s">
        <v>30</v>
      </c>
      <c r="G7141" s="509"/>
      <c r="H7141" s="508" t="s">
        <v>2347</v>
      </c>
      <c r="I7141" s="510" t="s">
        <v>2347</v>
      </c>
      <c r="J7141" s="511"/>
      <c r="K7141" s="508" t="str">
        <f t="shared" si="215"/>
        <v>09,26</v>
      </c>
      <c r="L7141" s="508" t="s">
        <v>265</v>
      </c>
      <c r="M7141" s="508">
        <v>15789.479999999998</v>
      </c>
      <c r="N7141" s="512">
        <v>0.375</v>
      </c>
      <c r="O7141" s="897" t="s">
        <v>2349</v>
      </c>
      <c r="P7141" s="867" t="s">
        <v>2420</v>
      </c>
    </row>
    <row r="7142" spans="1:18" ht="19.5" hidden="1" thickBot="1" x14ac:dyDescent="0.3">
      <c r="A7142" s="1062">
        <f>MAX(A6992:A7141)+1</f>
        <v>4406</v>
      </c>
      <c r="B7142" s="610" t="s">
        <v>2294</v>
      </c>
      <c r="C7142" s="480" t="s">
        <v>26</v>
      </c>
      <c r="D7142" s="481">
        <v>19.164000000000001</v>
      </c>
      <c r="E7142" s="482">
        <f>14.971+0.28</f>
        <v>15.250999999999999</v>
      </c>
      <c r="F7142" s="483" t="s">
        <v>16</v>
      </c>
      <c r="G7142" s="899"/>
      <c r="H7142" s="483" t="s">
        <v>2347</v>
      </c>
      <c r="I7142" s="484" t="s">
        <v>2422</v>
      </c>
      <c r="J7142" s="485"/>
      <c r="K7142" s="483" t="str">
        <f t="shared" si="215"/>
        <v>09,26</v>
      </c>
      <c r="L7142" s="483" t="s">
        <v>265</v>
      </c>
      <c r="M7142" s="483">
        <v>19337.64</v>
      </c>
      <c r="N7142" s="486">
        <v>0.375</v>
      </c>
      <c r="O7142" s="897" t="s">
        <v>2364</v>
      </c>
      <c r="P7142" s="867" t="s">
        <v>2490</v>
      </c>
      <c r="Q7142" s="847" t="s">
        <v>2492</v>
      </c>
    </row>
    <row r="7143" spans="1:18" ht="19.5" hidden="1" thickBot="1" x14ac:dyDescent="0.3">
      <c r="A7143" s="1063"/>
      <c r="B7143" s="805" t="s">
        <v>2344</v>
      </c>
      <c r="C7143" s="806" t="s">
        <v>26</v>
      </c>
      <c r="D7143" s="807">
        <v>2.1</v>
      </c>
      <c r="E7143" s="807">
        <v>2.149</v>
      </c>
      <c r="F7143" s="808" t="s">
        <v>16</v>
      </c>
      <c r="G7143" s="902" t="s">
        <v>76</v>
      </c>
      <c r="H7143" s="808" t="s">
        <v>2347</v>
      </c>
      <c r="I7143" s="808" t="s">
        <v>2422</v>
      </c>
      <c r="J7143" s="810"/>
      <c r="K7143" s="808" t="str">
        <f t="shared" si="215"/>
        <v>09,26</v>
      </c>
      <c r="L7143" s="808" t="s">
        <v>265</v>
      </c>
      <c r="M7143" s="808">
        <v>2115</v>
      </c>
      <c r="N7143" s="778">
        <v>0.375</v>
      </c>
      <c r="O7143" s="897" t="s">
        <v>2407</v>
      </c>
      <c r="P7143" s="867" t="s">
        <v>2491</v>
      </c>
    </row>
    <row r="7144" spans="1:18" ht="19.5" hidden="1" thickBot="1" x14ac:dyDescent="0.3">
      <c r="A7144" s="1066">
        <f>MAX(A6993:A7142)+1</f>
        <v>4407</v>
      </c>
      <c r="B7144" s="531" t="s">
        <v>2294</v>
      </c>
      <c r="C7144" s="532" t="s">
        <v>480</v>
      </c>
      <c r="D7144" s="533">
        <v>8.08</v>
      </c>
      <c r="E7144" s="534">
        <v>4.9690000000000003</v>
      </c>
      <c r="F7144" s="535" t="s">
        <v>16</v>
      </c>
      <c r="G7144" s="536"/>
      <c r="H7144" s="535" t="s">
        <v>2347</v>
      </c>
      <c r="I7144" s="537" t="s">
        <v>2422</v>
      </c>
      <c r="J7144" s="538"/>
      <c r="K7144" s="535" t="str">
        <f t="shared" si="215"/>
        <v>09,26</v>
      </c>
      <c r="L7144" s="535" t="s">
        <v>266</v>
      </c>
      <c r="M7144" s="535">
        <v>8170.920000000001</v>
      </c>
      <c r="N7144" s="539">
        <v>0.41666666666666669</v>
      </c>
      <c r="O7144" s="897" t="s">
        <v>2367</v>
      </c>
      <c r="P7144" s="867" t="s">
        <v>2503</v>
      </c>
    </row>
    <row r="7145" spans="1:18" ht="19.5" hidden="1" thickBot="1" x14ac:dyDescent="0.3">
      <c r="A7145" s="1068"/>
      <c r="B7145" s="563" t="s">
        <v>2294</v>
      </c>
      <c r="C7145" s="564" t="s">
        <v>913</v>
      </c>
      <c r="D7145" s="565">
        <v>1.552</v>
      </c>
      <c r="E7145" s="566">
        <v>1.33</v>
      </c>
      <c r="F7145" s="567" t="s">
        <v>16</v>
      </c>
      <c r="G7145" s="568"/>
      <c r="H7145" s="567" t="s">
        <v>2347</v>
      </c>
      <c r="I7145" s="569" t="s">
        <v>2347</v>
      </c>
      <c r="J7145" s="570"/>
      <c r="K7145" s="567" t="str">
        <f t="shared" si="215"/>
        <v>09,26</v>
      </c>
      <c r="L7145" s="567" t="s">
        <v>266</v>
      </c>
      <c r="M7145" s="567">
        <v>1564.1</v>
      </c>
      <c r="N7145" s="571">
        <v>0.41666666666666669</v>
      </c>
      <c r="O7145" s="897" t="s">
        <v>2365</v>
      </c>
      <c r="P7145" s="867" t="s">
        <v>2437</v>
      </c>
    </row>
    <row r="7146" spans="1:18" ht="19.5" hidden="1" thickBot="1" x14ac:dyDescent="0.3">
      <c r="A7146" s="1068"/>
      <c r="B7146" s="563" t="s">
        <v>2294</v>
      </c>
      <c r="C7146" s="564" t="s">
        <v>23</v>
      </c>
      <c r="D7146" s="565">
        <v>7.7270000000000003</v>
      </c>
      <c r="E7146" s="566">
        <v>7.4619999999999997</v>
      </c>
      <c r="F7146" s="567" t="s">
        <v>16</v>
      </c>
      <c r="G7146" s="568"/>
      <c r="H7146" s="567" t="s">
        <v>2347</v>
      </c>
      <c r="I7146" s="569" t="s">
        <v>2422</v>
      </c>
      <c r="J7146" s="570"/>
      <c r="K7146" s="567" t="str">
        <f t="shared" si="215"/>
        <v>09,26</v>
      </c>
      <c r="L7146" s="567" t="s">
        <v>28</v>
      </c>
      <c r="M7146" s="567">
        <v>7791.96</v>
      </c>
      <c r="N7146" s="571">
        <v>0.41666666666666669</v>
      </c>
      <c r="O7146" s="897" t="s">
        <v>2366</v>
      </c>
      <c r="P7146" s="867" t="s">
        <v>2502</v>
      </c>
    </row>
    <row r="7147" spans="1:18" ht="19.5" hidden="1" thickBot="1" x14ac:dyDescent="0.3">
      <c r="A7147" s="1067"/>
      <c r="B7147" s="832" t="s">
        <v>2405</v>
      </c>
      <c r="C7147" s="906" t="s">
        <v>23</v>
      </c>
      <c r="D7147" s="828">
        <v>1.6</v>
      </c>
      <c r="E7147" s="828">
        <v>1.605</v>
      </c>
      <c r="F7147" s="829" t="s">
        <v>16</v>
      </c>
      <c r="G7147" s="830" t="s">
        <v>76</v>
      </c>
      <c r="H7147" s="829" t="s">
        <v>2347</v>
      </c>
      <c r="I7147" s="829" t="s">
        <v>2422</v>
      </c>
      <c r="J7147" s="831"/>
      <c r="K7147" s="829" t="str">
        <f t="shared" si="215"/>
        <v>09,26</v>
      </c>
      <c r="L7147" s="829" t="s">
        <v>28</v>
      </c>
      <c r="M7147" s="829">
        <v>1605.1200000000001</v>
      </c>
      <c r="N7147" s="644">
        <v>0.41666666666666669</v>
      </c>
      <c r="O7147" s="897" t="s">
        <v>2431</v>
      </c>
      <c r="P7147" s="867" t="s">
        <v>2501</v>
      </c>
    </row>
    <row r="7148" spans="1:18" ht="19.5" hidden="1" thickBot="1" x14ac:dyDescent="0.3">
      <c r="A7148" s="1062">
        <f>MAX(A6996:A7147)+1</f>
        <v>4408</v>
      </c>
      <c r="B7148" s="479" t="s">
        <v>2294</v>
      </c>
      <c r="C7148" s="480" t="s">
        <v>15</v>
      </c>
      <c r="D7148" s="481">
        <v>3.5640000000000001</v>
      </c>
      <c r="E7148" s="482">
        <v>3.585</v>
      </c>
      <c r="F7148" s="483" t="s">
        <v>16</v>
      </c>
      <c r="G7148" s="1064" t="s">
        <v>1633</v>
      </c>
      <c r="H7148" s="483" t="s">
        <v>2347</v>
      </c>
      <c r="I7148" s="484" t="s">
        <v>2347</v>
      </c>
      <c r="J7148" s="485"/>
      <c r="K7148" s="483" t="str">
        <f t="shared" si="215"/>
        <v>09,26</v>
      </c>
      <c r="L7148" s="483" t="s">
        <v>28</v>
      </c>
      <c r="M7148" s="483">
        <v>3623.4400000000005</v>
      </c>
      <c r="N7148" s="486">
        <v>0.45833333333333331</v>
      </c>
      <c r="O7148" s="897" t="s">
        <v>2368</v>
      </c>
      <c r="P7148" s="867" t="s">
        <v>2442</v>
      </c>
    </row>
    <row r="7149" spans="1:18" ht="19.5" hidden="1" thickBot="1" x14ac:dyDescent="0.3">
      <c r="A7149" s="1072"/>
      <c r="B7149" s="523" t="s">
        <v>2294</v>
      </c>
      <c r="C7149" s="524" t="s">
        <v>24</v>
      </c>
      <c r="D7149" s="525">
        <v>4.7569999999999997</v>
      </c>
      <c r="E7149" s="526">
        <v>4.7469999999999999</v>
      </c>
      <c r="F7149" s="527" t="s">
        <v>16</v>
      </c>
      <c r="G7149" s="1096"/>
      <c r="H7149" s="527" t="s">
        <v>2347</v>
      </c>
      <c r="I7149" s="528" t="s">
        <v>2347</v>
      </c>
      <c r="J7149" s="529"/>
      <c r="K7149" s="527" t="str">
        <f t="shared" si="215"/>
        <v>09,26</v>
      </c>
      <c r="L7149" s="527" t="s">
        <v>28</v>
      </c>
      <c r="M7149" s="527">
        <v>4839.5399999999981</v>
      </c>
      <c r="N7149" s="530">
        <v>0.45833333333333331</v>
      </c>
      <c r="O7149" s="897" t="s">
        <v>2369</v>
      </c>
      <c r="P7149" s="867" t="s">
        <v>2443</v>
      </c>
    </row>
    <row r="7150" spans="1:18" ht="19.5" hidden="1" thickBot="1" x14ac:dyDescent="0.3">
      <c r="A7150" s="1063"/>
      <c r="B7150" s="495" t="s">
        <v>2294</v>
      </c>
      <c r="C7150" s="496" t="s">
        <v>764</v>
      </c>
      <c r="D7150" s="497">
        <v>8.1</v>
      </c>
      <c r="E7150" s="498">
        <v>8.1110000000000007</v>
      </c>
      <c r="F7150" s="499" t="s">
        <v>16</v>
      </c>
      <c r="G7150" s="1096"/>
      <c r="H7150" s="499" t="s">
        <v>2347</v>
      </c>
      <c r="I7150" s="500" t="s">
        <v>2347</v>
      </c>
      <c r="J7150" s="501"/>
      <c r="K7150" s="499" t="str">
        <f t="shared" si="215"/>
        <v>09,26</v>
      </c>
      <c r="L7150" s="499" t="s">
        <v>28</v>
      </c>
      <c r="M7150" s="499">
        <v>8110.2</v>
      </c>
      <c r="N7150" s="502">
        <v>0.45833333333333331</v>
      </c>
      <c r="O7150" s="897" t="s">
        <v>2370</v>
      </c>
      <c r="P7150" s="867" t="s">
        <v>2444</v>
      </c>
    </row>
    <row r="7151" spans="1:18" ht="19.5" hidden="1" thickBot="1" x14ac:dyDescent="0.3">
      <c r="A7151" s="1059">
        <f>MAX(A6999:A7150)+1</f>
        <v>4409</v>
      </c>
      <c r="B7151" s="759" t="s">
        <v>2294</v>
      </c>
      <c r="C7151" s="532" t="s">
        <v>1382</v>
      </c>
      <c r="D7151" s="533">
        <v>8.7739999999999991</v>
      </c>
      <c r="E7151" s="534">
        <v>8.157</v>
      </c>
      <c r="F7151" s="535" t="s">
        <v>16</v>
      </c>
      <c r="G7151" s="536"/>
      <c r="H7151" s="535" t="s">
        <v>2347</v>
      </c>
      <c r="I7151" s="537" t="s">
        <v>2415</v>
      </c>
      <c r="J7151" s="538"/>
      <c r="K7151" s="535" t="str">
        <f t="shared" si="215"/>
        <v>09,26</v>
      </c>
      <c r="L7151" s="535" t="s">
        <v>266</v>
      </c>
      <c r="M7151" s="535">
        <v>8835.18</v>
      </c>
      <c r="N7151" s="539">
        <v>0.5</v>
      </c>
      <c r="O7151" s="897" t="s">
        <v>2372</v>
      </c>
      <c r="P7151" s="867" t="s">
        <v>2467</v>
      </c>
      <c r="R7151" s="943"/>
    </row>
    <row r="7152" spans="1:18" ht="19.5" hidden="1" thickBot="1" x14ac:dyDescent="0.3">
      <c r="A7152" s="1060"/>
      <c r="B7152" s="824" t="s">
        <v>2294</v>
      </c>
      <c r="C7152" s="820" t="s">
        <v>23</v>
      </c>
      <c r="D7152" s="821">
        <v>8.6920000000000002</v>
      </c>
      <c r="E7152" s="822">
        <v>7.8789999999999996</v>
      </c>
      <c r="F7152" s="819" t="s">
        <v>16</v>
      </c>
      <c r="G7152" s="823"/>
      <c r="H7152" s="819" t="s">
        <v>2347</v>
      </c>
      <c r="I7152" s="782" t="s">
        <v>2415</v>
      </c>
      <c r="J7152" s="825"/>
      <c r="K7152" s="819" t="str">
        <f t="shared" si="215"/>
        <v>09,26</v>
      </c>
      <c r="L7152" s="819" t="s">
        <v>28</v>
      </c>
      <c r="M7152" s="819">
        <v>8805.5400000000009</v>
      </c>
      <c r="N7152" s="811">
        <v>0.5</v>
      </c>
      <c r="O7152" s="897" t="s">
        <v>2371</v>
      </c>
      <c r="P7152" s="867" t="s">
        <v>2468</v>
      </c>
      <c r="R7152" s="943"/>
    </row>
    <row r="7153" spans="1:18" ht="19.5" hidden="1" thickBot="1" x14ac:dyDescent="0.3">
      <c r="A7153" s="1061"/>
      <c r="B7153" s="785" t="s">
        <v>2405</v>
      </c>
      <c r="C7153" s="786" t="s">
        <v>23</v>
      </c>
      <c r="D7153" s="787">
        <v>1.6</v>
      </c>
      <c r="E7153" s="787">
        <v>1.619</v>
      </c>
      <c r="F7153" s="788" t="s">
        <v>16</v>
      </c>
      <c r="G7153" s="789" t="s">
        <v>76</v>
      </c>
      <c r="H7153" s="788" t="s">
        <v>2347</v>
      </c>
      <c r="I7153" s="788" t="s">
        <v>2415</v>
      </c>
      <c r="J7153" s="790"/>
      <c r="K7153" s="788" t="str">
        <f t="shared" si="215"/>
        <v>09,26</v>
      </c>
      <c r="L7153" s="788" t="s">
        <v>28</v>
      </c>
      <c r="M7153" s="788">
        <v>1605</v>
      </c>
      <c r="N7153" s="784">
        <v>0.5</v>
      </c>
      <c r="O7153" s="897" t="s">
        <v>2432</v>
      </c>
      <c r="P7153" s="867" t="s">
        <v>2469</v>
      </c>
      <c r="R7153" s="943"/>
    </row>
    <row r="7154" spans="1:18" ht="19.5" hidden="1" thickBot="1" x14ac:dyDescent="0.3">
      <c r="A7154" s="662">
        <f t="shared" ref="A7154:A7161" si="217">MAX(A7001:A7153)+1</f>
        <v>4410</v>
      </c>
      <c r="B7154" s="933" t="s">
        <v>2294</v>
      </c>
      <c r="C7154" s="934" t="s">
        <v>1382</v>
      </c>
      <c r="D7154" s="935">
        <v>8</v>
      </c>
      <c r="E7154" s="936" t="s">
        <v>1496</v>
      </c>
      <c r="F7154" s="937" t="s">
        <v>16</v>
      </c>
      <c r="G7154" s="938" t="s">
        <v>2299</v>
      </c>
      <c r="H7154" s="937" t="s">
        <v>2347</v>
      </c>
      <c r="I7154" s="939" t="s">
        <v>1496</v>
      </c>
      <c r="J7154" s="940"/>
      <c r="K7154" s="937" t="str">
        <f t="shared" si="215"/>
        <v>тмена</v>
      </c>
      <c r="L7154" s="937" t="s">
        <v>266</v>
      </c>
      <c r="M7154" s="937">
        <v>8001</v>
      </c>
      <c r="N7154" s="941">
        <v>0.54166666666666663</v>
      </c>
      <c r="O7154" s="920" t="s">
        <v>2373</v>
      </c>
      <c r="P7154" s="921" t="s">
        <v>1024</v>
      </c>
    </row>
    <row r="7155" spans="1:18" ht="19.5" hidden="1" thickBot="1" x14ac:dyDescent="0.3">
      <c r="A7155" s="503">
        <f t="shared" si="217"/>
        <v>4411</v>
      </c>
      <c r="B7155" s="504" t="s">
        <v>2294</v>
      </c>
      <c r="C7155" s="505" t="s">
        <v>23</v>
      </c>
      <c r="D7155" s="506">
        <v>11.664999999999999</v>
      </c>
      <c r="E7155" s="507">
        <v>11.664999999999999</v>
      </c>
      <c r="F7155" s="508" t="s">
        <v>30</v>
      </c>
      <c r="G7155" s="509"/>
      <c r="H7155" s="508" t="s">
        <v>2347</v>
      </c>
      <c r="I7155" s="510" t="s">
        <v>2405</v>
      </c>
      <c r="J7155" s="511"/>
      <c r="K7155" s="508" t="str">
        <f t="shared" si="215"/>
        <v>09,26</v>
      </c>
      <c r="L7155" s="508" t="s">
        <v>28</v>
      </c>
      <c r="M7155" s="508">
        <v>11665.92</v>
      </c>
      <c r="N7155" s="512">
        <v>0.41666666666666669</v>
      </c>
      <c r="O7155" s="897" t="s">
        <v>2360</v>
      </c>
      <c r="P7155" s="867" t="s">
        <v>2447</v>
      </c>
    </row>
    <row r="7156" spans="1:18" ht="19.5" hidden="1" thickBot="1" x14ac:dyDescent="0.3">
      <c r="A7156" s="572">
        <f t="shared" si="217"/>
        <v>4412</v>
      </c>
      <c r="B7156" s="573" t="s">
        <v>2344</v>
      </c>
      <c r="C7156" s="574" t="s">
        <v>1341</v>
      </c>
      <c r="D7156" s="575">
        <v>9.8030000000000008</v>
      </c>
      <c r="E7156" s="576">
        <v>9.3379999999999992</v>
      </c>
      <c r="F7156" s="577" t="s">
        <v>16</v>
      </c>
      <c r="G7156" s="578"/>
      <c r="H7156" s="577" t="s">
        <v>2405</v>
      </c>
      <c r="I7156" s="579" t="s">
        <v>2422</v>
      </c>
      <c r="J7156" s="580"/>
      <c r="K7156" s="577" t="str">
        <f t="shared" si="215"/>
        <v>09,26</v>
      </c>
      <c r="L7156" s="577" t="s">
        <v>266</v>
      </c>
      <c r="M7156" s="577">
        <v>9803.18</v>
      </c>
      <c r="N7156" s="581">
        <v>0.41666666666666669</v>
      </c>
      <c r="O7156" s="897" t="s">
        <v>2406</v>
      </c>
      <c r="P7156" s="867" t="s">
        <v>2498</v>
      </c>
    </row>
    <row r="7157" spans="1:18" ht="19.5" hidden="1" thickBot="1" x14ac:dyDescent="0.3">
      <c r="A7157" s="503">
        <f t="shared" si="217"/>
        <v>4413</v>
      </c>
      <c r="B7157" s="504" t="s">
        <v>2347</v>
      </c>
      <c r="C7157" s="505" t="s">
        <v>32</v>
      </c>
      <c r="D7157" s="506">
        <v>17.948</v>
      </c>
      <c r="E7157" s="507">
        <v>17.501000000000001</v>
      </c>
      <c r="F7157" s="508" t="s">
        <v>16</v>
      </c>
      <c r="G7157" s="509"/>
      <c r="H7157" s="508" t="s">
        <v>2415</v>
      </c>
      <c r="I7157" s="510" t="s">
        <v>2422</v>
      </c>
      <c r="J7157" s="511"/>
      <c r="K7157" s="508" t="str">
        <f t="shared" si="215"/>
        <v>09,26</v>
      </c>
      <c r="L7157" s="508" t="s">
        <v>266</v>
      </c>
      <c r="M7157" s="508">
        <v>18112.099999999995</v>
      </c>
      <c r="N7157" s="512">
        <v>0.41666666666666669</v>
      </c>
      <c r="O7157" s="897" t="s">
        <v>2416</v>
      </c>
      <c r="P7157" s="867" t="s">
        <v>2523</v>
      </c>
    </row>
    <row r="7158" spans="1:18" ht="19.5" hidden="1" thickBot="1" x14ac:dyDescent="0.3">
      <c r="A7158" s="513">
        <f t="shared" si="217"/>
        <v>4414</v>
      </c>
      <c r="B7158" s="514" t="s">
        <v>2347</v>
      </c>
      <c r="C7158" s="515" t="s">
        <v>32</v>
      </c>
      <c r="D7158" s="516">
        <v>17.960999999999999</v>
      </c>
      <c r="E7158" s="517">
        <v>12.882</v>
      </c>
      <c r="F7158" s="518" t="s">
        <v>16</v>
      </c>
      <c r="G7158" s="519"/>
      <c r="H7158" s="518" t="s">
        <v>2415</v>
      </c>
      <c r="I7158" s="520" t="s">
        <v>2422</v>
      </c>
      <c r="J7158" s="521"/>
      <c r="K7158" s="518" t="str">
        <f t="shared" si="215"/>
        <v>09,26</v>
      </c>
      <c r="L7158" s="518" t="s">
        <v>266</v>
      </c>
      <c r="M7158" s="518">
        <v>18033.18</v>
      </c>
      <c r="N7158" s="522">
        <v>0.45833333333333331</v>
      </c>
      <c r="O7158" s="897" t="s">
        <v>2417</v>
      </c>
      <c r="P7158" s="867" t="s">
        <v>2489</v>
      </c>
    </row>
    <row r="7159" spans="1:18" ht="19.5" hidden="1" thickBot="1" x14ac:dyDescent="0.3">
      <c r="A7159" s="662">
        <f t="shared" si="217"/>
        <v>4415</v>
      </c>
      <c r="B7159" s="663" t="s">
        <v>2347</v>
      </c>
      <c r="C7159" s="664" t="s">
        <v>32</v>
      </c>
      <c r="D7159" s="665">
        <v>17.600000000000001</v>
      </c>
      <c r="E7159" s="666" t="s">
        <v>1496</v>
      </c>
      <c r="F7159" s="667" t="s">
        <v>16</v>
      </c>
      <c r="G7159" s="668" t="s">
        <v>2299</v>
      </c>
      <c r="H7159" s="667" t="s">
        <v>2415</v>
      </c>
      <c r="I7159" s="669" t="s">
        <v>1496</v>
      </c>
      <c r="J7159" s="670"/>
      <c r="K7159" s="667" t="str">
        <f t="shared" si="215"/>
        <v>тмена</v>
      </c>
      <c r="L7159" s="667" t="s">
        <v>266</v>
      </c>
      <c r="M7159" s="667">
        <v>17604.599999999999</v>
      </c>
      <c r="N7159" s="671">
        <v>0.5</v>
      </c>
      <c r="O7159" s="920" t="s">
        <v>2418</v>
      </c>
      <c r="P7159" s="921" t="s">
        <v>1024</v>
      </c>
    </row>
    <row r="7160" spans="1:18" ht="19.5" hidden="1" thickBot="1" x14ac:dyDescent="0.3">
      <c r="A7160" s="572">
        <f t="shared" si="217"/>
        <v>4416</v>
      </c>
      <c r="B7160" s="573" t="s">
        <v>2347</v>
      </c>
      <c r="C7160" s="574" t="s">
        <v>848</v>
      </c>
      <c r="D7160" s="575">
        <v>18.010999999999999</v>
      </c>
      <c r="E7160" s="576">
        <v>16.792999999999999</v>
      </c>
      <c r="F7160" s="577" t="s">
        <v>16</v>
      </c>
      <c r="G7160" s="578"/>
      <c r="H7160" s="577" t="s">
        <v>2415</v>
      </c>
      <c r="I7160" s="579" t="s">
        <v>2470</v>
      </c>
      <c r="J7160" s="580"/>
      <c r="K7160" s="577" t="str">
        <f t="shared" si="215"/>
        <v>09,26</v>
      </c>
      <c r="L7160" s="577" t="s">
        <v>266</v>
      </c>
      <c r="M7160" s="577">
        <v>18121.16</v>
      </c>
      <c r="N7160" s="581">
        <v>0.54166666666666663</v>
      </c>
      <c r="O7160" s="897" t="s">
        <v>2419</v>
      </c>
      <c r="P7160" s="867" t="s">
        <v>2537</v>
      </c>
    </row>
    <row r="7161" spans="1:18" ht="19.5" hidden="1" thickBot="1" x14ac:dyDescent="0.3">
      <c r="A7161" s="1059">
        <f t="shared" si="217"/>
        <v>4417</v>
      </c>
      <c r="B7161" s="759" t="s">
        <v>2405</v>
      </c>
      <c r="C7161" s="532" t="s">
        <v>26</v>
      </c>
      <c r="D7161" s="533">
        <v>17.614999999999998</v>
      </c>
      <c r="E7161" s="534">
        <v>16.449000000000002</v>
      </c>
      <c r="F7161" s="535" t="s">
        <v>16</v>
      </c>
      <c r="G7161" s="536"/>
      <c r="H7161" s="535" t="s">
        <v>2422</v>
      </c>
      <c r="I7161" s="537" t="s">
        <v>2422</v>
      </c>
      <c r="J7161" s="538"/>
      <c r="K7161" s="535" t="str">
        <f t="shared" si="215"/>
        <v>09,26</v>
      </c>
      <c r="L7161" s="535" t="s">
        <v>265</v>
      </c>
      <c r="M7161" s="535">
        <v>17770.98</v>
      </c>
      <c r="N7161" s="539">
        <v>0.375</v>
      </c>
      <c r="O7161" s="897" t="s">
        <v>2425</v>
      </c>
      <c r="P7161" s="867" t="s">
        <v>2495</v>
      </c>
    </row>
    <row r="7162" spans="1:18" ht="19.5" hidden="1" thickBot="1" x14ac:dyDescent="0.3">
      <c r="A7162" s="1061"/>
      <c r="B7162" s="798" t="s">
        <v>2415</v>
      </c>
      <c r="C7162" s="799" t="s">
        <v>26</v>
      </c>
      <c r="D7162" s="800">
        <v>1.35</v>
      </c>
      <c r="E7162" s="800">
        <v>1.36</v>
      </c>
      <c r="F7162" s="801" t="s">
        <v>16</v>
      </c>
      <c r="G7162" s="802" t="s">
        <v>76</v>
      </c>
      <c r="H7162" s="801" t="s">
        <v>2422</v>
      </c>
      <c r="I7162" s="801" t="s">
        <v>2422</v>
      </c>
      <c r="J7162" s="803"/>
      <c r="K7162" s="801" t="str">
        <f t="shared" si="215"/>
        <v>09,26</v>
      </c>
      <c r="L7162" s="801" t="s">
        <v>265</v>
      </c>
      <c r="M7162" s="801">
        <v>1250</v>
      </c>
      <c r="N7162" s="804">
        <v>0.375</v>
      </c>
      <c r="O7162" s="897" t="s">
        <v>2461</v>
      </c>
      <c r="P7162" s="867" t="s">
        <v>2496</v>
      </c>
    </row>
    <row r="7163" spans="1:18" ht="19.5" hidden="1" thickBot="1" x14ac:dyDescent="0.3">
      <c r="A7163" s="1073">
        <f>MAX(A7009:A7161)+1</f>
        <v>4418</v>
      </c>
      <c r="B7163" s="610" t="s">
        <v>2405</v>
      </c>
      <c r="C7163" s="480" t="s">
        <v>26</v>
      </c>
      <c r="D7163" s="481">
        <v>17.378</v>
      </c>
      <c r="E7163" s="482">
        <v>13.978999999999999</v>
      </c>
      <c r="F7163" s="483" t="s">
        <v>16</v>
      </c>
      <c r="G7163" s="549"/>
      <c r="H7163" s="483" t="s">
        <v>2422</v>
      </c>
      <c r="I7163" s="484" t="s">
        <v>2422</v>
      </c>
      <c r="J7163" s="485"/>
      <c r="K7163" s="483" t="str">
        <f t="shared" si="215"/>
        <v>09,26</v>
      </c>
      <c r="L7163" s="483" t="s">
        <v>265</v>
      </c>
      <c r="M7163" s="483">
        <v>17390.300000000003</v>
      </c>
      <c r="N7163" s="486">
        <v>0.41666666666666669</v>
      </c>
      <c r="O7163" s="897" t="s">
        <v>2426</v>
      </c>
      <c r="P7163" s="867" t="s">
        <v>2493</v>
      </c>
    </row>
    <row r="7164" spans="1:18" ht="19.5" hidden="1" thickBot="1" x14ac:dyDescent="0.3">
      <c r="A7164" s="1074"/>
      <c r="B7164" s="805" t="s">
        <v>2415</v>
      </c>
      <c r="C7164" s="806" t="s">
        <v>26</v>
      </c>
      <c r="D7164" s="807">
        <v>3.1</v>
      </c>
      <c r="E7164" s="807">
        <v>3.1640000000000001</v>
      </c>
      <c r="F7164" s="808" t="s">
        <v>16</v>
      </c>
      <c r="G7164" s="809" t="s">
        <v>76</v>
      </c>
      <c r="H7164" s="808" t="s">
        <v>2422</v>
      </c>
      <c r="I7164" s="808" t="s">
        <v>2422</v>
      </c>
      <c r="J7164" s="810"/>
      <c r="K7164" s="808" t="str">
        <f t="shared" si="215"/>
        <v>09,26</v>
      </c>
      <c r="L7164" s="808" t="s">
        <v>265</v>
      </c>
      <c r="M7164" s="808">
        <v>3120</v>
      </c>
      <c r="N7164" s="778">
        <v>0.41666666666666669</v>
      </c>
      <c r="O7164" s="897" t="s">
        <v>2462</v>
      </c>
      <c r="P7164" s="867" t="s">
        <v>2494</v>
      </c>
    </row>
    <row r="7165" spans="1:18" ht="19.5" hidden="1" thickBot="1" x14ac:dyDescent="0.3">
      <c r="A7165" s="1066">
        <f>MAX(A7010:A7163)+1</f>
        <v>4419</v>
      </c>
      <c r="B7165" s="563" t="s">
        <v>2405</v>
      </c>
      <c r="C7165" s="564" t="s">
        <v>15</v>
      </c>
      <c r="D7165" s="565">
        <v>8.6199999999999992</v>
      </c>
      <c r="E7165" s="566">
        <v>8.6199999999999992</v>
      </c>
      <c r="F7165" s="567" t="s">
        <v>30</v>
      </c>
      <c r="G7165" s="568"/>
      <c r="H7165" s="567" t="s">
        <v>2422</v>
      </c>
      <c r="I7165" s="569" t="s">
        <v>2422</v>
      </c>
      <c r="J7165" s="570"/>
      <c r="K7165" s="567" t="str">
        <f t="shared" si="215"/>
        <v>09,26</v>
      </c>
      <c r="L7165" s="567" t="s">
        <v>28</v>
      </c>
      <c r="M7165" s="567">
        <v>8620.1999999999989</v>
      </c>
      <c r="N7165" s="571">
        <v>0.41666666666666669</v>
      </c>
      <c r="O7165" s="897" t="s">
        <v>2429</v>
      </c>
      <c r="P7165" s="867" t="s">
        <v>2505</v>
      </c>
    </row>
    <row r="7166" spans="1:18" ht="19.5" hidden="1" thickBot="1" x14ac:dyDescent="0.3">
      <c r="A7166" s="1067"/>
      <c r="B7166" s="636" t="s">
        <v>2405</v>
      </c>
      <c r="C7166" s="637" t="s">
        <v>24</v>
      </c>
      <c r="D7166" s="638">
        <v>5.6710000000000003</v>
      </c>
      <c r="E7166" s="639">
        <v>5.6710000000000003</v>
      </c>
      <c r="F7166" s="640" t="s">
        <v>30</v>
      </c>
      <c r="G7166" s="641"/>
      <c r="H7166" s="640" t="s">
        <v>2422</v>
      </c>
      <c r="I7166" s="642" t="s">
        <v>2422</v>
      </c>
      <c r="J7166" s="643"/>
      <c r="K7166" s="640" t="str">
        <f t="shared" si="215"/>
        <v>09,26</v>
      </c>
      <c r="L7166" s="640" t="s">
        <v>28</v>
      </c>
      <c r="M7166" s="640">
        <v>5671.5599999999995</v>
      </c>
      <c r="N7166" s="644">
        <v>0.41666666666666669</v>
      </c>
      <c r="O7166" s="897" t="s">
        <v>2428</v>
      </c>
      <c r="P7166" s="867" t="s">
        <v>2504</v>
      </c>
    </row>
    <row r="7167" spans="1:18" ht="19.5" hidden="1" thickBot="1" x14ac:dyDescent="0.3">
      <c r="A7167" s="1073">
        <f>MAX(A7012:A7166)+1</f>
        <v>4420</v>
      </c>
      <c r="B7167" s="610" t="s">
        <v>2405</v>
      </c>
      <c r="C7167" s="480" t="s">
        <v>26</v>
      </c>
      <c r="D7167" s="481">
        <v>19.986000000000001</v>
      </c>
      <c r="E7167" s="482">
        <v>16.925999999999998</v>
      </c>
      <c r="F7167" s="483" t="s">
        <v>16</v>
      </c>
      <c r="G7167" s="549"/>
      <c r="H7167" s="483" t="s">
        <v>2423</v>
      </c>
      <c r="I7167" s="484" t="s">
        <v>2423</v>
      </c>
      <c r="J7167" s="485"/>
      <c r="K7167" s="483" t="str">
        <f t="shared" si="215"/>
        <v>09,26</v>
      </c>
      <c r="L7167" s="483" t="s">
        <v>265</v>
      </c>
      <c r="M7167" s="483">
        <v>20167.020000000004</v>
      </c>
      <c r="N7167" s="486">
        <v>0.375</v>
      </c>
      <c r="O7167" s="897" t="s">
        <v>2427</v>
      </c>
      <c r="P7167" s="867" t="s">
        <v>2518</v>
      </c>
    </row>
    <row r="7168" spans="1:18" ht="19.5" hidden="1" thickBot="1" x14ac:dyDescent="0.3">
      <c r="A7168" s="1074"/>
      <c r="B7168" s="805" t="s">
        <v>2423</v>
      </c>
      <c r="C7168" s="806" t="s">
        <v>26</v>
      </c>
      <c r="D7168" s="807">
        <v>0.75</v>
      </c>
      <c r="E7168" s="807">
        <v>0.76700000000000002</v>
      </c>
      <c r="F7168" s="808" t="s">
        <v>16</v>
      </c>
      <c r="G7168" s="809" t="s">
        <v>76</v>
      </c>
      <c r="H7168" s="808" t="s">
        <v>2423</v>
      </c>
      <c r="I7168" s="808" t="s">
        <v>2423</v>
      </c>
      <c r="J7168" s="810"/>
      <c r="K7168" s="808" t="str">
        <f t="shared" si="215"/>
        <v>09,26</v>
      </c>
      <c r="L7168" s="808" t="s">
        <v>265</v>
      </c>
      <c r="M7168" s="808">
        <v>765</v>
      </c>
      <c r="N7168" s="778">
        <v>0.375</v>
      </c>
      <c r="O7168" s="897" t="s">
        <v>2507</v>
      </c>
      <c r="P7168" s="867" t="s">
        <v>2519</v>
      </c>
    </row>
    <row r="7169" spans="1:16" ht="19.5" hidden="1" thickBot="1" x14ac:dyDescent="0.3">
      <c r="A7169" s="1066">
        <f>MAX(A7013:A7167)+1</f>
        <v>4421</v>
      </c>
      <c r="B7169" s="531" t="s">
        <v>2405</v>
      </c>
      <c r="C7169" s="532" t="s">
        <v>587</v>
      </c>
      <c r="D7169" s="533">
        <v>8.9429999999999996</v>
      </c>
      <c r="E7169" s="534">
        <v>8.5259999999999998</v>
      </c>
      <c r="F7169" s="535" t="s">
        <v>16</v>
      </c>
      <c r="G7169" s="536" t="s">
        <v>47</v>
      </c>
      <c r="H7169" s="535" t="s">
        <v>2423</v>
      </c>
      <c r="I7169" s="537" t="s">
        <v>2423</v>
      </c>
      <c r="J7169" s="538"/>
      <c r="K7169" s="535" t="str">
        <f t="shared" si="215"/>
        <v>09,26</v>
      </c>
      <c r="L7169" s="535" t="s">
        <v>28</v>
      </c>
      <c r="M7169" s="535">
        <v>8943.9599999999991</v>
      </c>
      <c r="N7169" s="539">
        <v>0.41666666666666669</v>
      </c>
      <c r="O7169" s="897" t="s">
        <v>2435</v>
      </c>
      <c r="P7169" s="983" t="s">
        <v>2536</v>
      </c>
    </row>
    <row r="7170" spans="1:16" ht="19.5" hidden="1" thickBot="1" x14ac:dyDescent="0.3">
      <c r="A7170" s="1068"/>
      <c r="B7170" s="824" t="s">
        <v>2405</v>
      </c>
      <c r="C7170" s="820" t="s">
        <v>47</v>
      </c>
      <c r="D7170" s="821">
        <v>8.657</v>
      </c>
      <c r="E7170" s="822">
        <v>6.7690000000000001</v>
      </c>
      <c r="F7170" s="819" t="s">
        <v>16</v>
      </c>
      <c r="G7170" s="823"/>
      <c r="H7170" s="819" t="s">
        <v>2423</v>
      </c>
      <c r="I7170" s="782" t="s">
        <v>2423</v>
      </c>
      <c r="J7170" s="825"/>
      <c r="K7170" s="819" t="str">
        <f t="shared" si="215"/>
        <v>09,26</v>
      </c>
      <c r="L7170" s="819" t="s">
        <v>28</v>
      </c>
      <c r="M7170" s="819">
        <v>8766.5400000000009</v>
      </c>
      <c r="N7170" s="811">
        <v>0.41666666666666669</v>
      </c>
      <c r="O7170" s="897" t="s">
        <v>2434</v>
      </c>
      <c r="P7170" s="983" t="s">
        <v>2535</v>
      </c>
    </row>
    <row r="7171" spans="1:16" ht="19.5" hidden="1" thickBot="1" x14ac:dyDescent="0.3">
      <c r="A7171" s="1068"/>
      <c r="B7171" s="836" t="s">
        <v>2423</v>
      </c>
      <c r="C7171" s="837" t="s">
        <v>47</v>
      </c>
      <c r="D7171" s="838">
        <v>1.8</v>
      </c>
      <c r="E7171" s="838">
        <v>1.837</v>
      </c>
      <c r="F7171" s="839" t="s">
        <v>16</v>
      </c>
      <c r="G7171" s="850" t="s">
        <v>76</v>
      </c>
      <c r="H7171" s="839" t="s">
        <v>2423</v>
      </c>
      <c r="I7171" s="839" t="s">
        <v>2423</v>
      </c>
      <c r="J7171" s="840"/>
      <c r="K7171" s="839" t="str">
        <f t="shared" si="215"/>
        <v>09,26</v>
      </c>
      <c r="L7171" s="839" t="s">
        <v>28</v>
      </c>
      <c r="M7171" s="839">
        <v>1830</v>
      </c>
      <c r="N7171" s="598">
        <v>0.41666666666666669</v>
      </c>
      <c r="O7171" s="897" t="s">
        <v>2506</v>
      </c>
      <c r="P7171" s="867" t="s">
        <v>2530</v>
      </c>
    </row>
    <row r="7172" spans="1:16" ht="19.5" hidden="1" thickBot="1" x14ac:dyDescent="0.3">
      <c r="A7172" s="513">
        <f>MAX(A7015:A7171)+1</f>
        <v>4422</v>
      </c>
      <c r="B7172" s="514" t="s">
        <v>2415</v>
      </c>
      <c r="C7172" s="515" t="s">
        <v>26</v>
      </c>
      <c r="D7172" s="516">
        <v>16.048999999999999</v>
      </c>
      <c r="E7172" s="517">
        <v>16.048999999999999</v>
      </c>
      <c r="F7172" s="518" t="s">
        <v>30</v>
      </c>
      <c r="G7172" s="519"/>
      <c r="H7172" s="518" t="s">
        <v>2423</v>
      </c>
      <c r="I7172" s="520" t="s">
        <v>2423</v>
      </c>
      <c r="J7172" s="521"/>
      <c r="K7172" s="518" t="str">
        <f t="shared" si="215"/>
        <v>09,26</v>
      </c>
      <c r="L7172" s="518" t="s">
        <v>265</v>
      </c>
      <c r="M7172" s="518">
        <v>16049.4</v>
      </c>
      <c r="N7172" s="522">
        <v>0.375</v>
      </c>
      <c r="O7172" s="897" t="s">
        <v>2451</v>
      </c>
      <c r="P7172" s="867" t="s">
        <v>2512</v>
      </c>
    </row>
    <row r="7173" spans="1:16" ht="19.5" hidden="1" thickBot="1" x14ac:dyDescent="0.3">
      <c r="A7173" s="1066">
        <f>MAX(A7016:A7172)+1</f>
        <v>4423</v>
      </c>
      <c r="B7173" s="759" t="s">
        <v>2415</v>
      </c>
      <c r="C7173" s="532" t="s">
        <v>41</v>
      </c>
      <c r="D7173" s="533">
        <v>8.5500000000000007</v>
      </c>
      <c r="E7173" s="534">
        <v>5.548</v>
      </c>
      <c r="F7173" s="535" t="s">
        <v>16</v>
      </c>
      <c r="G7173" s="1092" t="s">
        <v>2497</v>
      </c>
      <c r="H7173" s="535" t="s">
        <v>2423</v>
      </c>
      <c r="I7173" s="537" t="s">
        <v>2423</v>
      </c>
      <c r="J7173" s="538"/>
      <c r="K7173" s="535" t="str">
        <f t="shared" si="215"/>
        <v>09,26</v>
      </c>
      <c r="L7173" s="535" t="s">
        <v>266</v>
      </c>
      <c r="M7173" s="535">
        <v>8637.08</v>
      </c>
      <c r="N7173" s="539">
        <v>0.45833333333333331</v>
      </c>
      <c r="O7173" s="897" t="s">
        <v>2453</v>
      </c>
      <c r="P7173" s="867" t="s">
        <v>2514</v>
      </c>
    </row>
    <row r="7174" spans="1:16" ht="38.25" hidden="1" thickBot="1" x14ac:dyDescent="0.3">
      <c r="A7174" s="1068"/>
      <c r="B7174" s="981" t="s">
        <v>2415</v>
      </c>
      <c r="C7174" s="912" t="s">
        <v>981</v>
      </c>
      <c r="D7174" s="913">
        <v>0.312</v>
      </c>
      <c r="E7174" s="914" t="s">
        <v>1496</v>
      </c>
      <c r="F7174" s="915" t="s">
        <v>16</v>
      </c>
      <c r="G7174" s="1093"/>
      <c r="H7174" s="915" t="s">
        <v>2423</v>
      </c>
      <c r="I7174" s="917" t="s">
        <v>1496</v>
      </c>
      <c r="J7174" s="982" t="s">
        <v>2543</v>
      </c>
      <c r="K7174" s="915" t="str">
        <f t="shared" si="215"/>
        <v>тмена</v>
      </c>
      <c r="L7174" s="915" t="s">
        <v>266</v>
      </c>
      <c r="M7174" s="915">
        <v>312</v>
      </c>
      <c r="N7174" s="919">
        <v>0.45833333333333331</v>
      </c>
      <c r="O7174" s="920" t="s">
        <v>2454</v>
      </c>
      <c r="P7174" s="921" t="s">
        <v>1024</v>
      </c>
    </row>
    <row r="7175" spans="1:16" ht="19.5" hidden="1" thickBot="1" x14ac:dyDescent="0.3">
      <c r="A7175" s="1068"/>
      <c r="B7175" s="760" t="s">
        <v>2415</v>
      </c>
      <c r="C7175" s="564" t="s">
        <v>981</v>
      </c>
      <c r="D7175" s="565">
        <v>4.2960000000000003</v>
      </c>
      <c r="E7175" s="566">
        <v>2.08</v>
      </c>
      <c r="F7175" s="567" t="s">
        <v>16</v>
      </c>
      <c r="G7175" s="1093"/>
      <c r="H7175" s="567" t="s">
        <v>2423</v>
      </c>
      <c r="I7175" s="569" t="s">
        <v>2423</v>
      </c>
      <c r="J7175" s="677" t="s">
        <v>845</v>
      </c>
      <c r="K7175" s="567" t="str">
        <f t="shared" si="215"/>
        <v>09,26</v>
      </c>
      <c r="L7175" s="567" t="s">
        <v>266</v>
      </c>
      <c r="M7175" s="567">
        <v>4296.32</v>
      </c>
      <c r="N7175" s="571">
        <v>0.45833333333333331</v>
      </c>
      <c r="O7175" s="897" t="s">
        <v>2455</v>
      </c>
      <c r="P7175" s="867" t="s">
        <v>2515</v>
      </c>
    </row>
    <row r="7176" spans="1:16" ht="19.5" hidden="1" thickBot="1" x14ac:dyDescent="0.3">
      <c r="A7176" s="1067"/>
      <c r="B7176" s="762" t="s">
        <v>2415</v>
      </c>
      <c r="C7176" s="591" t="s">
        <v>32</v>
      </c>
      <c r="D7176" s="592">
        <v>5.3289999999999997</v>
      </c>
      <c r="E7176" s="593">
        <v>2.6360000000000001</v>
      </c>
      <c r="F7176" s="594" t="s">
        <v>16</v>
      </c>
      <c r="G7176" s="1093"/>
      <c r="H7176" s="594" t="s">
        <v>2423</v>
      </c>
      <c r="I7176" s="596" t="s">
        <v>2423</v>
      </c>
      <c r="J7176" s="978" t="s">
        <v>1702</v>
      </c>
      <c r="K7176" s="594" t="str">
        <f t="shared" si="215"/>
        <v>09,26</v>
      </c>
      <c r="L7176" s="594" t="s">
        <v>266</v>
      </c>
      <c r="M7176" s="594">
        <v>5329.0000000000009</v>
      </c>
      <c r="N7176" s="598">
        <v>0.45833333333333331</v>
      </c>
      <c r="O7176" s="897" t="s">
        <v>2456</v>
      </c>
      <c r="P7176" s="867" t="s">
        <v>2516</v>
      </c>
    </row>
    <row r="7177" spans="1:16" ht="19.5" hidden="1" thickBot="1" x14ac:dyDescent="0.3">
      <c r="A7177" s="1073">
        <f>MAX(A7020:A7176)+1</f>
        <v>4424</v>
      </c>
      <c r="B7177" s="610" t="s">
        <v>2415</v>
      </c>
      <c r="C7177" s="480" t="s">
        <v>26</v>
      </c>
      <c r="D7177" s="481">
        <v>17.504999999999999</v>
      </c>
      <c r="E7177" s="482">
        <v>14.920999999999999</v>
      </c>
      <c r="F7177" s="483" t="s">
        <v>16</v>
      </c>
      <c r="G7177" s="549"/>
      <c r="H7177" s="483" t="s">
        <v>2452</v>
      </c>
      <c r="I7177" s="484" t="s">
        <v>2452</v>
      </c>
      <c r="J7177" s="485"/>
      <c r="K7177" s="483" t="str">
        <f t="shared" si="215"/>
        <v>09,26</v>
      </c>
      <c r="L7177" s="483" t="s">
        <v>265</v>
      </c>
      <c r="M7177" s="483">
        <v>17674.04</v>
      </c>
      <c r="N7177" s="486">
        <v>0.375</v>
      </c>
      <c r="O7177" s="897" t="s">
        <v>2457</v>
      </c>
      <c r="P7177" s="867" t="s">
        <v>2520</v>
      </c>
    </row>
    <row r="7178" spans="1:16" ht="19.5" hidden="1" thickBot="1" x14ac:dyDescent="0.3">
      <c r="A7178" s="1077"/>
      <c r="B7178" s="769" t="s">
        <v>2415</v>
      </c>
      <c r="C7178" s="764" t="s">
        <v>952</v>
      </c>
      <c r="D7178" s="765">
        <v>2.4489999999999998</v>
      </c>
      <c r="E7178" s="766">
        <v>2.1019999999999999</v>
      </c>
      <c r="F7178" s="763" t="s">
        <v>16</v>
      </c>
      <c r="G7178" s="767"/>
      <c r="H7178" s="763" t="s">
        <v>2452</v>
      </c>
      <c r="I7178" s="768" t="s">
        <v>2452</v>
      </c>
      <c r="J7178" s="779"/>
      <c r="K7178" s="763" t="str">
        <f t="shared" si="215"/>
        <v>09,26</v>
      </c>
      <c r="L7178" s="763" t="s">
        <v>265</v>
      </c>
      <c r="M7178" s="763">
        <v>2533.3200000000002</v>
      </c>
      <c r="N7178" s="770">
        <v>0.375</v>
      </c>
      <c r="O7178" s="897" t="s">
        <v>2458</v>
      </c>
      <c r="P7178" s="867" t="s">
        <v>2521</v>
      </c>
    </row>
    <row r="7179" spans="1:16" ht="19.5" hidden="1" thickBot="1" x14ac:dyDescent="0.3">
      <c r="A7179" s="1074"/>
      <c r="B7179" s="805" t="s">
        <v>2452</v>
      </c>
      <c r="C7179" s="806" t="s">
        <v>26</v>
      </c>
      <c r="D7179" s="807">
        <v>0.5</v>
      </c>
      <c r="E7179" s="807">
        <v>0.52400000000000002</v>
      </c>
      <c r="F7179" s="808" t="s">
        <v>16</v>
      </c>
      <c r="G7179" s="809" t="s">
        <v>76</v>
      </c>
      <c r="H7179" s="808" t="s">
        <v>2452</v>
      </c>
      <c r="I7179" s="808" t="s">
        <v>2452</v>
      </c>
      <c r="J7179" s="810"/>
      <c r="K7179" s="808" t="str">
        <f t="shared" si="215"/>
        <v>09,26</v>
      </c>
      <c r="L7179" s="808" t="s">
        <v>265</v>
      </c>
      <c r="M7179" s="808">
        <v>525</v>
      </c>
      <c r="N7179" s="778">
        <v>0.375</v>
      </c>
      <c r="O7179" s="897" t="s">
        <v>2508</v>
      </c>
      <c r="P7179" s="867" t="s">
        <v>2522</v>
      </c>
    </row>
    <row r="7180" spans="1:16" ht="19.5" hidden="1" thickBot="1" x14ac:dyDescent="0.3">
      <c r="A7180" s="1066">
        <f>MAX(A7022:A7179)+1</f>
        <v>4425</v>
      </c>
      <c r="B7180" s="531" t="s">
        <v>2415</v>
      </c>
      <c r="C7180" s="532" t="s">
        <v>839</v>
      </c>
      <c r="D7180" s="533">
        <v>0.76500000000000001</v>
      </c>
      <c r="E7180" s="534">
        <v>0.77500000000000002</v>
      </c>
      <c r="F7180" s="535" t="s">
        <v>16</v>
      </c>
      <c r="G7180" s="536"/>
      <c r="H7180" s="535" t="s">
        <v>2452</v>
      </c>
      <c r="I7180" s="537" t="s">
        <v>2452</v>
      </c>
      <c r="J7180" s="538"/>
      <c r="K7180" s="535" t="str">
        <f t="shared" si="215"/>
        <v>09,26</v>
      </c>
      <c r="L7180" s="535" t="s">
        <v>28</v>
      </c>
      <c r="M7180" s="535">
        <v>772.8</v>
      </c>
      <c r="N7180" s="539">
        <v>0.41666666666666669</v>
      </c>
      <c r="O7180" s="897" t="s">
        <v>2460</v>
      </c>
      <c r="P7180" s="867" t="s">
        <v>2528</v>
      </c>
    </row>
    <row r="7181" spans="1:16" ht="19.5" hidden="1" thickBot="1" x14ac:dyDescent="0.3">
      <c r="A7181" s="1068"/>
      <c r="B7181" s="824" t="s">
        <v>2415</v>
      </c>
      <c r="C7181" s="820" t="s">
        <v>23</v>
      </c>
      <c r="D7181" s="821">
        <v>16.699000000000002</v>
      </c>
      <c r="E7181" s="822">
        <v>15.773999999999999</v>
      </c>
      <c r="F7181" s="819" t="s">
        <v>16</v>
      </c>
      <c r="G7181" s="823"/>
      <c r="H7181" s="819" t="s">
        <v>2452</v>
      </c>
      <c r="I7181" s="782" t="s">
        <v>2452</v>
      </c>
      <c r="J7181" s="825"/>
      <c r="K7181" s="819" t="str">
        <f t="shared" si="215"/>
        <v>09,26</v>
      </c>
      <c r="L7181" s="819" t="s">
        <v>28</v>
      </c>
      <c r="M7181" s="819">
        <v>16789.900000000001</v>
      </c>
      <c r="N7181" s="811">
        <v>0.41666666666666669</v>
      </c>
      <c r="O7181" s="897" t="s">
        <v>2459</v>
      </c>
      <c r="P7181" s="867" t="s">
        <v>2527</v>
      </c>
    </row>
    <row r="7182" spans="1:16" ht="19.5" hidden="1" thickBot="1" x14ac:dyDescent="0.3">
      <c r="A7182" s="1068"/>
      <c r="B7182" s="836" t="s">
        <v>2452</v>
      </c>
      <c r="C7182" s="837" t="s">
        <v>23</v>
      </c>
      <c r="D7182" s="838">
        <v>1.2</v>
      </c>
      <c r="E7182" s="838">
        <v>1.218</v>
      </c>
      <c r="F7182" s="839" t="s">
        <v>16</v>
      </c>
      <c r="G7182" s="850"/>
      <c r="H7182" s="839" t="s">
        <v>2452</v>
      </c>
      <c r="I7182" s="839" t="s">
        <v>2452</v>
      </c>
      <c r="J7182" s="840"/>
      <c r="K7182" s="839" t="str">
        <f t="shared" si="215"/>
        <v>09,26</v>
      </c>
      <c r="L7182" s="839" t="s">
        <v>28</v>
      </c>
      <c r="M7182" s="839">
        <v>1214.1599999999999</v>
      </c>
      <c r="N7182" s="598">
        <v>0.41666666666666669</v>
      </c>
      <c r="O7182" s="897" t="s">
        <v>2509</v>
      </c>
      <c r="P7182" s="867" t="s">
        <v>2529</v>
      </c>
    </row>
    <row r="7183" spans="1:16" ht="19.5" hidden="1" thickBot="1" x14ac:dyDescent="0.3">
      <c r="A7183" s="513">
        <f>MAX(A7024:A7182)+1</f>
        <v>4426</v>
      </c>
      <c r="B7183" s="514" t="s">
        <v>2422</v>
      </c>
      <c r="C7183" s="515" t="s">
        <v>26</v>
      </c>
      <c r="D7183" s="516">
        <v>16.669</v>
      </c>
      <c r="E7183" s="517">
        <v>16.669</v>
      </c>
      <c r="F7183" s="518" t="s">
        <v>30</v>
      </c>
      <c r="G7183" s="519"/>
      <c r="H7183" s="518" t="s">
        <v>2470</v>
      </c>
      <c r="I7183" s="520" t="s">
        <v>2470</v>
      </c>
      <c r="J7183" s="521"/>
      <c r="K7183" s="518" t="str">
        <f t="shared" ref="K7183:K7246" si="218">RIGHT(I7183,5)</f>
        <v>09,26</v>
      </c>
      <c r="L7183" s="518" t="s">
        <v>265</v>
      </c>
      <c r="M7183" s="518">
        <v>16669.04</v>
      </c>
      <c r="N7183" s="522">
        <v>0.375</v>
      </c>
      <c r="O7183" s="897" t="s">
        <v>2472</v>
      </c>
      <c r="P7183" s="867" t="s">
        <v>2517</v>
      </c>
    </row>
    <row r="7184" spans="1:16" ht="57" hidden="1" thickBot="1" x14ac:dyDescent="0.3">
      <c r="A7184" s="503">
        <f>MAX(A7025:A7183)+1</f>
        <v>4427</v>
      </c>
      <c r="B7184" s="504" t="s">
        <v>2422</v>
      </c>
      <c r="C7184" s="505" t="s">
        <v>913</v>
      </c>
      <c r="D7184" s="506">
        <v>10.739000000000001</v>
      </c>
      <c r="E7184" s="507">
        <v>10.74</v>
      </c>
      <c r="F7184" s="508" t="s">
        <v>30</v>
      </c>
      <c r="G7184" s="509" t="s">
        <v>2471</v>
      </c>
      <c r="H7184" s="508" t="s">
        <v>2470</v>
      </c>
      <c r="I7184" s="510" t="s">
        <v>2524</v>
      </c>
      <c r="J7184" s="511"/>
      <c r="K7184" s="508" t="str">
        <f t="shared" si="218"/>
        <v>09,26</v>
      </c>
      <c r="L7184" s="508" t="s">
        <v>266</v>
      </c>
      <c r="M7184" s="508">
        <v>10739.76</v>
      </c>
      <c r="N7184" s="512">
        <v>0.5</v>
      </c>
      <c r="O7184" s="897" t="s">
        <v>2473</v>
      </c>
      <c r="P7184" s="867" t="s">
        <v>2608</v>
      </c>
    </row>
    <row r="7185" spans="1:16" ht="19.5" hidden="1" thickBot="1" x14ac:dyDescent="0.3">
      <c r="A7185" s="1073">
        <f>MAX(A7026:A7184)+1</f>
        <v>4428</v>
      </c>
      <c r="B7185" s="610" t="s">
        <v>2422</v>
      </c>
      <c r="C7185" s="480" t="s">
        <v>26</v>
      </c>
      <c r="D7185" s="481">
        <v>17.45</v>
      </c>
      <c r="E7185" s="482">
        <v>12.798</v>
      </c>
      <c r="F7185" s="483" t="s">
        <v>16</v>
      </c>
      <c r="G7185" s="549"/>
      <c r="H7185" s="483" t="s">
        <v>2470</v>
      </c>
      <c r="I7185" s="484" t="s">
        <v>2475</v>
      </c>
      <c r="J7185" s="485"/>
      <c r="K7185" s="483" t="str">
        <f t="shared" si="218"/>
        <v>09,26</v>
      </c>
      <c r="L7185" s="483" t="s">
        <v>265</v>
      </c>
      <c r="M7185" s="483">
        <v>17597.66</v>
      </c>
      <c r="N7185" s="486">
        <v>0.375</v>
      </c>
      <c r="O7185" s="897" t="s">
        <v>2477</v>
      </c>
      <c r="P7185" s="867" t="s">
        <v>2553</v>
      </c>
    </row>
    <row r="7186" spans="1:16" ht="19.5" hidden="1" thickBot="1" x14ac:dyDescent="0.3">
      <c r="A7186" s="1077"/>
      <c r="B7186" s="792" t="s">
        <v>2475</v>
      </c>
      <c r="C7186" s="793" t="s">
        <v>26</v>
      </c>
      <c r="D7186" s="794">
        <v>2.2999999999999998</v>
      </c>
      <c r="E7186" s="794">
        <v>2.347</v>
      </c>
      <c r="F7186" s="795" t="s">
        <v>16</v>
      </c>
      <c r="G7186" s="796" t="s">
        <v>76</v>
      </c>
      <c r="H7186" s="795" t="s">
        <v>2470</v>
      </c>
      <c r="I7186" s="795" t="s">
        <v>2475</v>
      </c>
      <c r="J7186" s="797"/>
      <c r="K7186" s="795" t="str">
        <f t="shared" si="218"/>
        <v>09,26</v>
      </c>
      <c r="L7186" s="795" t="s">
        <v>265</v>
      </c>
      <c r="M7186" s="795">
        <v>2325</v>
      </c>
      <c r="N7186" s="502">
        <v>0.375</v>
      </c>
      <c r="O7186" s="897" t="s">
        <v>2541</v>
      </c>
      <c r="P7186" s="867" t="s">
        <v>2562</v>
      </c>
    </row>
    <row r="7187" spans="1:16" ht="19.5" hidden="1" thickBot="1" x14ac:dyDescent="0.3">
      <c r="A7187" s="1074"/>
      <c r="B7187" s="805" t="s">
        <v>2452</v>
      </c>
      <c r="C7187" s="806" t="s">
        <v>26</v>
      </c>
      <c r="D7187" s="807">
        <v>2.5</v>
      </c>
      <c r="E7187" s="807">
        <v>2.5539999999999998</v>
      </c>
      <c r="F7187" s="808" t="s">
        <v>16</v>
      </c>
      <c r="G7187" s="809" t="s">
        <v>76</v>
      </c>
      <c r="H7187" s="808" t="s">
        <v>2470</v>
      </c>
      <c r="I7187" s="808" t="s">
        <v>2475</v>
      </c>
      <c r="J7187" s="810"/>
      <c r="K7187" s="808" t="str">
        <f t="shared" si="218"/>
        <v>09,26</v>
      </c>
      <c r="L7187" s="808" t="s">
        <v>265</v>
      </c>
      <c r="M7187" s="808">
        <v>2550</v>
      </c>
      <c r="N7187" s="778">
        <v>0.375</v>
      </c>
      <c r="O7187" s="897" t="s">
        <v>2510</v>
      </c>
      <c r="P7187" s="867" t="s">
        <v>2554</v>
      </c>
    </row>
    <row r="7188" spans="1:16" ht="19.5" hidden="1" thickBot="1" x14ac:dyDescent="0.3">
      <c r="A7188" s="1059">
        <f>MAX(A7027:A7185)+1</f>
        <v>4429</v>
      </c>
      <c r="B7188" s="759" t="s">
        <v>2422</v>
      </c>
      <c r="C7188" s="532" t="s">
        <v>26</v>
      </c>
      <c r="D7188" s="533">
        <v>17.744</v>
      </c>
      <c r="E7188" s="534">
        <v>15.416</v>
      </c>
      <c r="F7188" s="535" t="s">
        <v>16</v>
      </c>
      <c r="G7188" s="536"/>
      <c r="H7188" s="535" t="s">
        <v>2470</v>
      </c>
      <c r="I7188" s="537" t="s">
        <v>2475</v>
      </c>
      <c r="J7188" s="538"/>
      <c r="K7188" s="535" t="str">
        <f t="shared" si="218"/>
        <v>09,26</v>
      </c>
      <c r="L7188" s="535" t="s">
        <v>265</v>
      </c>
      <c r="M7188" s="535">
        <v>17908.080000000002</v>
      </c>
      <c r="N7188" s="539">
        <v>0.41666666666666669</v>
      </c>
      <c r="O7188" s="897" t="s">
        <v>2476</v>
      </c>
      <c r="P7188" s="867" t="s">
        <v>2558</v>
      </c>
    </row>
    <row r="7189" spans="1:16" ht="19.5" hidden="1" thickBot="1" x14ac:dyDescent="0.3">
      <c r="A7189" s="1060"/>
      <c r="B7189" s="852" t="s">
        <v>2475</v>
      </c>
      <c r="C7189" s="837" t="s">
        <v>26</v>
      </c>
      <c r="D7189" s="838">
        <v>1.6</v>
      </c>
      <c r="E7189" s="838">
        <v>0.436</v>
      </c>
      <c r="F7189" s="839" t="s">
        <v>16</v>
      </c>
      <c r="G7189" s="850" t="s">
        <v>76</v>
      </c>
      <c r="H7189" s="839" t="s">
        <v>2470</v>
      </c>
      <c r="I7189" s="839" t="s">
        <v>2475</v>
      </c>
      <c r="J7189" s="840"/>
      <c r="K7189" s="839" t="str">
        <f t="shared" si="218"/>
        <v>09,26</v>
      </c>
      <c r="L7189" s="839" t="s">
        <v>265</v>
      </c>
      <c r="M7189" s="839">
        <v>1620</v>
      </c>
      <c r="N7189" s="598">
        <v>0.41666666666666669</v>
      </c>
      <c r="O7189" s="897" t="s">
        <v>2542</v>
      </c>
      <c r="P7189" s="867" t="s">
        <v>2559</v>
      </c>
    </row>
    <row r="7190" spans="1:16" ht="19.5" hidden="1" thickBot="1" x14ac:dyDescent="0.3">
      <c r="A7190" s="1061"/>
      <c r="B7190" s="798" t="s">
        <v>2452</v>
      </c>
      <c r="C7190" s="799" t="s">
        <v>26</v>
      </c>
      <c r="D7190" s="800">
        <v>1.7</v>
      </c>
      <c r="E7190" s="800">
        <v>1.722</v>
      </c>
      <c r="F7190" s="801" t="s">
        <v>16</v>
      </c>
      <c r="G7190" s="802" t="s">
        <v>76</v>
      </c>
      <c r="H7190" s="801" t="s">
        <v>2470</v>
      </c>
      <c r="I7190" s="801" t="s">
        <v>2475</v>
      </c>
      <c r="J7190" s="803"/>
      <c r="K7190" s="801" t="str">
        <f t="shared" si="218"/>
        <v>09,26</v>
      </c>
      <c r="L7190" s="801" t="s">
        <v>265</v>
      </c>
      <c r="M7190" s="801">
        <v>1725</v>
      </c>
      <c r="N7190" s="804">
        <v>0.41666666666666669</v>
      </c>
      <c r="O7190" s="897" t="s">
        <v>2511</v>
      </c>
      <c r="P7190" s="867" t="s">
        <v>2560</v>
      </c>
    </row>
    <row r="7191" spans="1:16" ht="19.5" hidden="1" thickBot="1" x14ac:dyDescent="0.3">
      <c r="A7191" s="1073">
        <f>MAX(A7030:A7188)+1</f>
        <v>4430</v>
      </c>
      <c r="B7191" s="610" t="s">
        <v>2422</v>
      </c>
      <c r="C7191" s="480" t="s">
        <v>15</v>
      </c>
      <c r="D7191" s="481">
        <v>8.6010000000000009</v>
      </c>
      <c r="E7191" s="482">
        <v>7.8769999999999998</v>
      </c>
      <c r="F7191" s="483" t="s">
        <v>16</v>
      </c>
      <c r="G7191" s="1075" t="s">
        <v>2474</v>
      </c>
      <c r="H7191" s="483" t="s">
        <v>2470</v>
      </c>
      <c r="I7191" s="484" t="s">
        <v>2475</v>
      </c>
      <c r="J7191" s="485"/>
      <c r="K7191" s="483" t="str">
        <f t="shared" si="218"/>
        <v>09,26</v>
      </c>
      <c r="L7191" s="483" t="s">
        <v>28</v>
      </c>
      <c r="M7191" s="483">
        <v>8730.48</v>
      </c>
      <c r="N7191" s="486">
        <v>0.5</v>
      </c>
      <c r="O7191" s="897" t="s">
        <v>2479</v>
      </c>
      <c r="P7191" s="867" t="s">
        <v>2576</v>
      </c>
    </row>
    <row r="7192" spans="1:16" ht="19.5" hidden="1" thickBot="1" x14ac:dyDescent="0.3">
      <c r="A7192" s="1077"/>
      <c r="B7192" s="769" t="s">
        <v>2422</v>
      </c>
      <c r="C7192" s="764" t="s">
        <v>24</v>
      </c>
      <c r="D7192" s="765">
        <v>6.9950000000000001</v>
      </c>
      <c r="E7192" s="766">
        <v>6.3310000000000004</v>
      </c>
      <c r="F7192" s="763" t="s">
        <v>16</v>
      </c>
      <c r="G7192" s="1078"/>
      <c r="H7192" s="763" t="s">
        <v>2470</v>
      </c>
      <c r="I7192" s="768" t="s">
        <v>2475</v>
      </c>
      <c r="J7192" s="779"/>
      <c r="K7192" s="763" t="str">
        <f t="shared" si="218"/>
        <v>09,26</v>
      </c>
      <c r="L7192" s="763" t="s">
        <v>28</v>
      </c>
      <c r="M7192" s="763">
        <v>7135.9200000000019</v>
      </c>
      <c r="N7192" s="770">
        <v>0.5</v>
      </c>
      <c r="O7192" s="897" t="s">
        <v>2478</v>
      </c>
      <c r="P7192" s="867" t="s">
        <v>2575</v>
      </c>
    </row>
    <row r="7193" spans="1:16" ht="19.5" hidden="1" thickBot="1" x14ac:dyDescent="0.3">
      <c r="A7193" s="1077"/>
      <c r="B7193" s="864" t="s">
        <v>2470</v>
      </c>
      <c r="C7193" s="861" t="s">
        <v>15</v>
      </c>
      <c r="D7193" s="862">
        <v>0.86</v>
      </c>
      <c r="E7193" s="862">
        <v>0.86899999999999999</v>
      </c>
      <c r="F7193" s="860" t="s">
        <v>16</v>
      </c>
      <c r="G7193" s="1078"/>
      <c r="H7193" s="860" t="s">
        <v>2470</v>
      </c>
      <c r="I7193" s="860" t="s">
        <v>2475</v>
      </c>
      <c r="J7193" s="865"/>
      <c r="K7193" s="860" t="str">
        <f t="shared" si="218"/>
        <v>09,26</v>
      </c>
      <c r="L7193" s="860" t="s">
        <v>28</v>
      </c>
      <c r="M7193" s="860">
        <v>870</v>
      </c>
      <c r="N7193" s="979">
        <v>0.5</v>
      </c>
      <c r="O7193" s="897" t="s">
        <v>2532</v>
      </c>
      <c r="P7193" s="867" t="s">
        <v>2577</v>
      </c>
    </row>
    <row r="7194" spans="1:16" ht="19.5" hidden="1" thickBot="1" x14ac:dyDescent="0.3">
      <c r="A7194" s="1074"/>
      <c r="B7194" s="805" t="s">
        <v>2470</v>
      </c>
      <c r="C7194" s="806" t="s">
        <v>24</v>
      </c>
      <c r="D7194" s="807">
        <v>0.78</v>
      </c>
      <c r="E7194" s="807">
        <v>0.79200000000000004</v>
      </c>
      <c r="F7194" s="808" t="s">
        <v>16</v>
      </c>
      <c r="G7194" s="1076"/>
      <c r="H7194" s="808" t="s">
        <v>2470</v>
      </c>
      <c r="I7194" s="808" t="s">
        <v>2475</v>
      </c>
      <c r="J7194" s="810"/>
      <c r="K7194" s="808" t="str">
        <f t="shared" si="218"/>
        <v>09,26</v>
      </c>
      <c r="L7194" s="808" t="s">
        <v>28</v>
      </c>
      <c r="M7194" s="808">
        <v>795</v>
      </c>
      <c r="N7194" s="980">
        <v>0.5</v>
      </c>
      <c r="O7194" s="897" t="s">
        <v>2531</v>
      </c>
      <c r="P7194" s="867" t="s">
        <v>2578</v>
      </c>
    </row>
    <row r="7195" spans="1:16" ht="19.5" hidden="1" thickBot="1" x14ac:dyDescent="0.3">
      <c r="A7195" s="503">
        <f>MAX(A7032:A7194)+1</f>
        <v>4431</v>
      </c>
      <c r="B7195" s="636" t="s">
        <v>2422</v>
      </c>
      <c r="C7195" s="637" t="s">
        <v>587</v>
      </c>
      <c r="D7195" s="638">
        <v>8.6890000000000001</v>
      </c>
      <c r="E7195" s="639">
        <v>8.6890000000000001</v>
      </c>
      <c r="F7195" s="640" t="s">
        <v>30</v>
      </c>
      <c r="G7195" s="641" t="s">
        <v>23</v>
      </c>
      <c r="H7195" s="640" t="s">
        <v>2470</v>
      </c>
      <c r="I7195" s="642" t="s">
        <v>2475</v>
      </c>
      <c r="J7195" s="643"/>
      <c r="K7195" s="640" t="str">
        <f t="shared" si="218"/>
        <v>09,26</v>
      </c>
      <c r="L7195" s="640" t="s">
        <v>28</v>
      </c>
      <c r="M7195" s="640">
        <v>8689.0400000000009</v>
      </c>
      <c r="N7195" s="644">
        <v>0.45833333333333331</v>
      </c>
      <c r="O7195" s="897" t="s">
        <v>2486</v>
      </c>
      <c r="P7195" s="867" t="s">
        <v>2582</v>
      </c>
    </row>
    <row r="7196" spans="1:16" ht="19.5" hidden="1" thickBot="1" x14ac:dyDescent="0.3">
      <c r="A7196" s="1062">
        <f>MAX(A7033:A7195)+1</f>
        <v>4432</v>
      </c>
      <c r="B7196" s="479" t="s">
        <v>2422</v>
      </c>
      <c r="C7196" s="480" t="s">
        <v>320</v>
      </c>
      <c r="D7196" s="481">
        <v>2.0259999999999998</v>
      </c>
      <c r="E7196" s="482">
        <v>2.0259999999999998</v>
      </c>
      <c r="F7196" s="483" t="s">
        <v>30</v>
      </c>
      <c r="G7196" s="549"/>
      <c r="H7196" s="483" t="s">
        <v>2470</v>
      </c>
      <c r="I7196" s="484" t="s">
        <v>2470</v>
      </c>
      <c r="J7196" s="485"/>
      <c r="K7196" s="483" t="str">
        <f t="shared" si="218"/>
        <v>09,26</v>
      </c>
      <c r="L7196" s="483" t="s">
        <v>266</v>
      </c>
      <c r="M7196" s="483">
        <v>2026.08</v>
      </c>
      <c r="N7196" s="486">
        <v>0.41666666666666669</v>
      </c>
      <c r="O7196" s="897" t="s">
        <v>2485</v>
      </c>
      <c r="P7196" s="867" t="s">
        <v>2538</v>
      </c>
    </row>
    <row r="7197" spans="1:16" ht="19.5" hidden="1" thickBot="1" x14ac:dyDescent="0.3">
      <c r="A7197" s="1072"/>
      <c r="B7197" s="523" t="s">
        <v>2422</v>
      </c>
      <c r="C7197" s="524" t="s">
        <v>587</v>
      </c>
      <c r="D7197" s="525">
        <v>9.7870000000000008</v>
      </c>
      <c r="E7197" s="526">
        <v>9.7520000000000007</v>
      </c>
      <c r="F7197" s="527" t="s">
        <v>30</v>
      </c>
      <c r="G7197" s="561" t="s">
        <v>47</v>
      </c>
      <c r="H7197" s="527" t="s">
        <v>2470</v>
      </c>
      <c r="I7197" s="528" t="s">
        <v>2470</v>
      </c>
      <c r="J7197" s="529"/>
      <c r="K7197" s="527" t="str">
        <f t="shared" si="218"/>
        <v>09,26</v>
      </c>
      <c r="L7197" s="527" t="s">
        <v>28</v>
      </c>
      <c r="M7197" s="527">
        <v>9787.68</v>
      </c>
      <c r="N7197" s="530">
        <v>0.41666666666666669</v>
      </c>
      <c r="O7197" s="897" t="s">
        <v>2487</v>
      </c>
      <c r="P7197" s="867" t="s">
        <v>2539</v>
      </c>
    </row>
    <row r="7198" spans="1:16" ht="19.5" hidden="1" thickBot="1" x14ac:dyDescent="0.3">
      <c r="A7198" s="1063"/>
      <c r="B7198" s="645" t="s">
        <v>2422</v>
      </c>
      <c r="C7198" s="646" t="s">
        <v>47</v>
      </c>
      <c r="D7198" s="647">
        <v>1.2569999999999999</v>
      </c>
      <c r="E7198" s="648">
        <v>1.2569999999999999</v>
      </c>
      <c r="F7198" s="649" t="s">
        <v>30</v>
      </c>
      <c r="G7198" s="650"/>
      <c r="H7198" s="649" t="s">
        <v>2470</v>
      </c>
      <c r="I7198" s="651" t="s">
        <v>2470</v>
      </c>
      <c r="J7198" s="652"/>
      <c r="K7198" s="649" t="str">
        <f t="shared" si="218"/>
        <v>09,26</v>
      </c>
      <c r="L7198" s="649" t="s">
        <v>28</v>
      </c>
      <c r="M7198" s="649">
        <v>1257.5999999999999</v>
      </c>
      <c r="N7198" s="653">
        <v>0.41666666666666669</v>
      </c>
      <c r="O7198" s="897" t="s">
        <v>2484</v>
      </c>
      <c r="P7198" s="867" t="s">
        <v>2540</v>
      </c>
    </row>
    <row r="7199" spans="1:16" ht="19.5" hidden="1" thickBot="1" x14ac:dyDescent="0.3">
      <c r="A7199" s="1059">
        <f t="shared" ref="A7199" si="219">MAX(A7036:A7198)+1</f>
        <v>4433</v>
      </c>
      <c r="B7199" s="759" t="s">
        <v>2422</v>
      </c>
      <c r="C7199" s="532" t="s">
        <v>26</v>
      </c>
      <c r="D7199" s="533">
        <v>17.440000000000001</v>
      </c>
      <c r="E7199" s="534">
        <v>14.901999999999999</v>
      </c>
      <c r="F7199" s="535" t="s">
        <v>16</v>
      </c>
      <c r="G7199" s="536"/>
      <c r="H7199" s="535" t="s">
        <v>2475</v>
      </c>
      <c r="I7199" s="537" t="s">
        <v>2475</v>
      </c>
      <c r="J7199" s="538"/>
      <c r="K7199" s="535" t="str">
        <f t="shared" si="218"/>
        <v>09,26</v>
      </c>
      <c r="L7199" s="535" t="s">
        <v>265</v>
      </c>
      <c r="M7199" s="535">
        <v>17575.240000000002</v>
      </c>
      <c r="N7199" s="539">
        <v>0.375</v>
      </c>
      <c r="O7199" s="897" t="s">
        <v>2480</v>
      </c>
      <c r="P7199" s="867" t="s">
        <v>2556</v>
      </c>
    </row>
    <row r="7200" spans="1:16" ht="19.5" hidden="1" thickBot="1" x14ac:dyDescent="0.3">
      <c r="A7200" s="1061"/>
      <c r="B7200" s="798" t="s">
        <v>2470</v>
      </c>
      <c r="C7200" s="799" t="s">
        <v>26</v>
      </c>
      <c r="D7200" s="800">
        <v>2.7</v>
      </c>
      <c r="E7200" s="800">
        <v>2.722</v>
      </c>
      <c r="F7200" s="801" t="s">
        <v>16</v>
      </c>
      <c r="G7200" s="802" t="s">
        <v>76</v>
      </c>
      <c r="H7200" s="801" t="s">
        <v>2475</v>
      </c>
      <c r="I7200" s="801" t="s">
        <v>2475</v>
      </c>
      <c r="J7200" s="803"/>
      <c r="K7200" s="801" t="str">
        <f t="shared" si="218"/>
        <v>09,26</v>
      </c>
      <c r="L7200" s="801" t="s">
        <v>265</v>
      </c>
      <c r="M7200" s="801">
        <v>2700</v>
      </c>
      <c r="N7200" s="804">
        <v>0.375</v>
      </c>
      <c r="O7200" s="897" t="s">
        <v>2533</v>
      </c>
      <c r="P7200" s="867" t="s">
        <v>2557</v>
      </c>
    </row>
    <row r="7201" spans="1:18" ht="19.5" hidden="1" thickBot="1" x14ac:dyDescent="0.3">
      <c r="A7201" s="1073">
        <f>MAX(A7037:A7199)+1</f>
        <v>4434</v>
      </c>
      <c r="B7201" s="610" t="s">
        <v>2422</v>
      </c>
      <c r="C7201" s="480" t="s">
        <v>26</v>
      </c>
      <c r="D7201" s="481">
        <v>17.748999999999999</v>
      </c>
      <c r="E7201" s="482">
        <v>14.715</v>
      </c>
      <c r="F7201" s="483" t="s">
        <v>16</v>
      </c>
      <c r="G7201" s="549"/>
      <c r="H7201" s="483" t="s">
        <v>2475</v>
      </c>
      <c r="I7201" s="484" t="s">
        <v>2475</v>
      </c>
      <c r="J7201" s="485"/>
      <c r="K7201" s="483" t="str">
        <f t="shared" si="218"/>
        <v>09,26</v>
      </c>
      <c r="L7201" s="483" t="s">
        <v>265</v>
      </c>
      <c r="M7201" s="483">
        <v>17884.45</v>
      </c>
      <c r="N7201" s="486">
        <v>0.41666666666666669</v>
      </c>
      <c r="O7201" s="897" t="s">
        <v>2481</v>
      </c>
      <c r="P7201" s="867" t="s">
        <v>2561</v>
      </c>
    </row>
    <row r="7202" spans="1:18" ht="19.5" hidden="1" thickBot="1" x14ac:dyDescent="0.3">
      <c r="A7202" s="1077"/>
      <c r="B7202" s="792" t="s">
        <v>2475</v>
      </c>
      <c r="C7202" s="793" t="s">
        <v>26</v>
      </c>
      <c r="D7202" s="794">
        <v>0.5</v>
      </c>
      <c r="E7202" s="794">
        <v>0.52200000000000002</v>
      </c>
      <c r="F7202" s="795" t="s">
        <v>16</v>
      </c>
      <c r="G7202" s="796" t="s">
        <v>76</v>
      </c>
      <c r="H7202" s="795" t="s">
        <v>2475</v>
      </c>
      <c r="I7202" s="795" t="s">
        <v>2475</v>
      </c>
      <c r="J7202" s="797"/>
      <c r="K7202" s="795" t="str">
        <f t="shared" si="218"/>
        <v>09,26</v>
      </c>
      <c r="L7202" s="795" t="s">
        <v>265</v>
      </c>
      <c r="M7202" s="795">
        <v>510</v>
      </c>
      <c r="N7202" s="502">
        <v>0.41666666666666669</v>
      </c>
      <c r="O7202" s="897" t="s">
        <v>2544</v>
      </c>
      <c r="P7202" s="867" t="s">
        <v>2563</v>
      </c>
    </row>
    <row r="7203" spans="1:18" ht="19.5" hidden="1" thickBot="1" x14ac:dyDescent="0.3">
      <c r="A7203" s="1077"/>
      <c r="B7203" s="841" t="s">
        <v>2470</v>
      </c>
      <c r="C7203" s="842" t="s">
        <v>26</v>
      </c>
      <c r="D7203" s="843">
        <v>3.2</v>
      </c>
      <c r="E7203" s="843">
        <v>2.343</v>
      </c>
      <c r="F7203" s="844" t="s">
        <v>16</v>
      </c>
      <c r="G7203" s="851" t="s">
        <v>76</v>
      </c>
      <c r="H7203" s="844" t="s">
        <v>2475</v>
      </c>
      <c r="I7203" s="844" t="s">
        <v>2475</v>
      </c>
      <c r="J7203" s="845"/>
      <c r="K7203" s="844" t="str">
        <f t="shared" si="218"/>
        <v>09,26</v>
      </c>
      <c r="L7203" s="844" t="s">
        <v>265</v>
      </c>
      <c r="M7203" s="844">
        <v>3225</v>
      </c>
      <c r="N7203" s="846">
        <v>0.41666666666666669</v>
      </c>
      <c r="O7203" s="897" t="s">
        <v>2534</v>
      </c>
      <c r="P7203" s="867" t="s">
        <v>2555</v>
      </c>
    </row>
    <row r="7204" spans="1:18" ht="19.5" hidden="1" thickBot="1" x14ac:dyDescent="0.3">
      <c r="A7204" s="1090">
        <f>MAX(A7038:A7201)+1</f>
        <v>4435</v>
      </c>
      <c r="B7204" s="759" t="s">
        <v>2422</v>
      </c>
      <c r="C7204" s="532" t="s">
        <v>23</v>
      </c>
      <c r="D7204" s="533">
        <v>17.199000000000002</v>
      </c>
      <c r="E7204" s="534">
        <v>15.475</v>
      </c>
      <c r="F7204" s="535" t="s">
        <v>16</v>
      </c>
      <c r="G7204" s="1097" t="s">
        <v>1634</v>
      </c>
      <c r="H7204" s="535" t="s">
        <v>2475</v>
      </c>
      <c r="I7204" s="537" t="s">
        <v>2475</v>
      </c>
      <c r="J7204" s="538"/>
      <c r="K7204" s="535" t="str">
        <f t="shared" si="218"/>
        <v>09,26</v>
      </c>
      <c r="L7204" s="535" t="s">
        <v>28</v>
      </c>
      <c r="M7204" s="535">
        <v>17311.98</v>
      </c>
      <c r="N7204" s="539">
        <v>0.45833333333333331</v>
      </c>
      <c r="O7204" s="897" t="s">
        <v>2482</v>
      </c>
      <c r="P7204" s="867" t="s">
        <v>2573</v>
      </c>
    </row>
    <row r="7205" spans="1:18" ht="19.5" hidden="1" thickBot="1" x14ac:dyDescent="0.3">
      <c r="A7205" s="1091"/>
      <c r="B7205" s="798" t="s">
        <v>2475</v>
      </c>
      <c r="C7205" s="799" t="s">
        <v>23</v>
      </c>
      <c r="D7205" s="800">
        <v>1.7</v>
      </c>
      <c r="E7205" s="800">
        <v>1.718</v>
      </c>
      <c r="F7205" s="801" t="s">
        <v>16</v>
      </c>
      <c r="G7205" s="1098"/>
      <c r="H7205" s="801" t="s">
        <v>2475</v>
      </c>
      <c r="I7205" s="801" t="s">
        <v>2475</v>
      </c>
      <c r="J7205" s="803"/>
      <c r="K7205" s="801" t="str">
        <f t="shared" si="218"/>
        <v>09,26</v>
      </c>
      <c r="L7205" s="801" t="s">
        <v>28</v>
      </c>
      <c r="M7205" s="801">
        <v>1717.56</v>
      </c>
      <c r="N7205" s="804">
        <v>0.45833333333333331</v>
      </c>
      <c r="O7205" s="897" t="s">
        <v>2546</v>
      </c>
      <c r="P7205" s="867" t="s">
        <v>2574</v>
      </c>
    </row>
    <row r="7206" spans="1:18" ht="19.5" hidden="1" thickBot="1" x14ac:dyDescent="0.3">
      <c r="A7206" s="1062">
        <f>MAX(A7039:A7204)+1</f>
        <v>4436</v>
      </c>
      <c r="B7206" s="610" t="s">
        <v>2422</v>
      </c>
      <c r="C7206" s="480" t="s">
        <v>47</v>
      </c>
      <c r="D7206" s="481">
        <v>17.166</v>
      </c>
      <c r="E7206" s="482">
        <v>16.512</v>
      </c>
      <c r="F7206" s="483" t="s">
        <v>16</v>
      </c>
      <c r="G7206" s="1099" t="s">
        <v>1634</v>
      </c>
      <c r="H7206" s="483" t="s">
        <v>2475</v>
      </c>
      <c r="I7206" s="484" t="s">
        <v>2545</v>
      </c>
      <c r="J7206" s="485"/>
      <c r="K7206" s="483" t="str">
        <f t="shared" si="218"/>
        <v>09,26</v>
      </c>
      <c r="L7206" s="483" t="s">
        <v>28</v>
      </c>
      <c r="M7206" s="483">
        <v>17304.93</v>
      </c>
      <c r="N7206" s="486">
        <v>0.5</v>
      </c>
      <c r="O7206" s="897" t="s">
        <v>2483</v>
      </c>
      <c r="P7206" s="867" t="s">
        <v>2579</v>
      </c>
    </row>
    <row r="7207" spans="1:18" ht="19.5" hidden="1" thickBot="1" x14ac:dyDescent="0.3">
      <c r="A7207" s="1063"/>
      <c r="B7207" s="805" t="s">
        <v>2475</v>
      </c>
      <c r="C7207" s="806" t="s">
        <v>47</v>
      </c>
      <c r="D7207" s="807">
        <v>0.82</v>
      </c>
      <c r="E7207" s="807">
        <v>0.83099999999999996</v>
      </c>
      <c r="F7207" s="808" t="s">
        <v>16</v>
      </c>
      <c r="G7207" s="1100"/>
      <c r="H7207" s="808" t="s">
        <v>2475</v>
      </c>
      <c r="I7207" s="808" t="s">
        <v>2545</v>
      </c>
      <c r="J7207" s="810"/>
      <c r="K7207" s="808" t="str">
        <f t="shared" si="218"/>
        <v>09,26</v>
      </c>
      <c r="L7207" s="808" t="s">
        <v>28</v>
      </c>
      <c r="M7207" s="808">
        <v>825</v>
      </c>
      <c r="N7207" s="778">
        <v>0.5</v>
      </c>
      <c r="O7207" s="897" t="s">
        <v>2547</v>
      </c>
      <c r="P7207" s="867" t="s">
        <v>2580</v>
      </c>
    </row>
    <row r="7208" spans="1:18" ht="19.5" hidden="1" thickBot="1" x14ac:dyDescent="0.3">
      <c r="A7208" s="503">
        <f>MAX(A7040:A7206)+1</f>
        <v>4437</v>
      </c>
      <c r="B7208" s="636" t="s">
        <v>2422</v>
      </c>
      <c r="C7208" s="637" t="s">
        <v>23</v>
      </c>
      <c r="D7208" s="638">
        <v>12.076000000000001</v>
      </c>
      <c r="E7208" s="639">
        <v>12.076000000000001</v>
      </c>
      <c r="F7208" s="640" t="s">
        <v>30</v>
      </c>
      <c r="G7208" s="641"/>
      <c r="H7208" s="640" t="s">
        <v>2475</v>
      </c>
      <c r="I7208" s="642" t="s">
        <v>2545</v>
      </c>
      <c r="J7208" s="643"/>
      <c r="K7208" s="640" t="str">
        <f t="shared" si="218"/>
        <v>09,26</v>
      </c>
      <c r="L7208" s="640" t="s">
        <v>28</v>
      </c>
      <c r="M7208" s="640">
        <v>12076.199999999999</v>
      </c>
      <c r="N7208" s="644">
        <v>0.41666666666666669</v>
      </c>
      <c r="O7208" s="897" t="s">
        <v>2488</v>
      </c>
      <c r="P7208" s="867" t="s">
        <v>2581</v>
      </c>
    </row>
    <row r="7209" spans="1:18" ht="19.5" hidden="1" thickBot="1" x14ac:dyDescent="0.3">
      <c r="A7209" s="1062">
        <f>MAX(A7041:A7208)+1</f>
        <v>4438</v>
      </c>
      <c r="B7209" s="479" t="s">
        <v>2470</v>
      </c>
      <c r="C7209" s="480" t="s">
        <v>55</v>
      </c>
      <c r="D7209" s="481">
        <v>2.87</v>
      </c>
      <c r="E7209" s="482">
        <v>2.137</v>
      </c>
      <c r="F7209" s="483" t="s">
        <v>16</v>
      </c>
      <c r="G7209" s="549" t="s">
        <v>844</v>
      </c>
      <c r="H7209" s="483" t="s">
        <v>2545</v>
      </c>
      <c r="I7209" s="484" t="s">
        <v>2524</v>
      </c>
      <c r="J7209" s="485"/>
      <c r="K7209" s="483" t="str">
        <f t="shared" si="218"/>
        <v>09,26</v>
      </c>
      <c r="L7209" s="483" t="s">
        <v>266</v>
      </c>
      <c r="M7209" s="483">
        <v>2937.4599999999996</v>
      </c>
      <c r="N7209" s="486">
        <v>0.5</v>
      </c>
      <c r="O7209" s="897" t="s">
        <v>2525</v>
      </c>
      <c r="P7209" s="867" t="s">
        <v>2610</v>
      </c>
    </row>
    <row r="7210" spans="1:18" ht="19.5" hidden="1" thickBot="1" x14ac:dyDescent="0.3">
      <c r="A7210" s="1072"/>
      <c r="B7210" s="495" t="s">
        <v>2470</v>
      </c>
      <c r="C7210" s="496" t="s">
        <v>55</v>
      </c>
      <c r="D7210" s="497">
        <v>14.9</v>
      </c>
      <c r="E7210" s="498">
        <v>8.2240000000000002</v>
      </c>
      <c r="F7210" s="499" t="s">
        <v>16</v>
      </c>
      <c r="G7210" s="562" t="s">
        <v>845</v>
      </c>
      <c r="H7210" s="499" t="s">
        <v>2545</v>
      </c>
      <c r="I7210" s="500" t="s">
        <v>2524</v>
      </c>
      <c r="J7210" s="501"/>
      <c r="K7210" s="499" t="str">
        <f t="shared" si="218"/>
        <v>09,26</v>
      </c>
      <c r="L7210" s="499" t="s">
        <v>266</v>
      </c>
      <c r="M7210" s="499">
        <v>15070.84</v>
      </c>
      <c r="N7210" s="502">
        <v>0.5</v>
      </c>
      <c r="O7210" s="897" t="s">
        <v>2526</v>
      </c>
      <c r="P7210" s="867" t="s">
        <v>2611</v>
      </c>
    </row>
    <row r="7211" spans="1:18" ht="19.5" hidden="1" thickBot="1" x14ac:dyDescent="0.3">
      <c r="A7211" s="503">
        <f t="shared" ref="A7211:A7216" si="220">MAX(A7043:A7210)+1</f>
        <v>4439</v>
      </c>
      <c r="B7211" s="504" t="s">
        <v>2475</v>
      </c>
      <c r="C7211" s="505" t="s">
        <v>32</v>
      </c>
      <c r="D7211" s="506">
        <v>18.055</v>
      </c>
      <c r="E7211" s="507">
        <v>17.273</v>
      </c>
      <c r="F7211" s="508" t="s">
        <v>16</v>
      </c>
      <c r="G7211" s="509"/>
      <c r="H7211" s="508" t="s">
        <v>2524</v>
      </c>
      <c r="I7211" s="510" t="s">
        <v>2524</v>
      </c>
      <c r="J7211" s="511"/>
      <c r="K7211" s="508" t="str">
        <f t="shared" si="218"/>
        <v>09,26</v>
      </c>
      <c r="L7211" s="508" t="s">
        <v>266</v>
      </c>
      <c r="M7211" s="508">
        <v>18206.340000000004</v>
      </c>
      <c r="N7211" s="512">
        <v>0.41666666666666669</v>
      </c>
      <c r="O7211" s="897" t="s">
        <v>2548</v>
      </c>
      <c r="P7211" s="867" t="s">
        <v>2609</v>
      </c>
    </row>
    <row r="7212" spans="1:18" ht="19.5" hidden="1" thickBot="1" x14ac:dyDescent="0.3">
      <c r="A7212" s="513">
        <f t="shared" si="220"/>
        <v>4440</v>
      </c>
      <c r="B7212" s="514" t="s">
        <v>2475</v>
      </c>
      <c r="C7212" s="515" t="s">
        <v>32</v>
      </c>
      <c r="D7212" s="516">
        <v>17.968</v>
      </c>
      <c r="E7212" s="517">
        <v>17.437999999999999</v>
      </c>
      <c r="F7212" s="518" t="s">
        <v>16</v>
      </c>
      <c r="G7212" s="519"/>
      <c r="H7212" s="518" t="s">
        <v>2524</v>
      </c>
      <c r="I7212" s="520" t="s">
        <v>2564</v>
      </c>
      <c r="J7212" s="521"/>
      <c r="K7212" s="518" t="str">
        <f t="shared" si="218"/>
        <v>09,26</v>
      </c>
      <c r="L7212" s="518" t="s">
        <v>266</v>
      </c>
      <c r="M7212" s="518">
        <v>18073.95</v>
      </c>
      <c r="N7212" s="522">
        <v>0.45833333333333331</v>
      </c>
      <c r="O7212" s="897" t="s">
        <v>2549</v>
      </c>
      <c r="P7212" s="867" t="s">
        <v>2646</v>
      </c>
    </row>
    <row r="7213" spans="1:18" ht="19.5" hidden="1" thickBot="1" x14ac:dyDescent="0.3">
      <c r="A7213" s="503">
        <f t="shared" si="220"/>
        <v>4441</v>
      </c>
      <c r="B7213" s="504" t="s">
        <v>2475</v>
      </c>
      <c r="C7213" s="505" t="s">
        <v>32</v>
      </c>
      <c r="D7213" s="506">
        <v>18.05</v>
      </c>
      <c r="E7213" s="507">
        <v>17.577999999999999</v>
      </c>
      <c r="F7213" s="508" t="s">
        <v>16</v>
      </c>
      <c r="G7213" s="509"/>
      <c r="H7213" s="508" t="s">
        <v>2524</v>
      </c>
      <c r="I7213" s="510" t="s">
        <v>2586</v>
      </c>
      <c r="J7213" s="511"/>
      <c r="K7213" s="508" t="str">
        <f t="shared" si="218"/>
        <v>09,26</v>
      </c>
      <c r="L7213" s="508" t="s">
        <v>266</v>
      </c>
      <c r="M7213" s="508">
        <v>18103.2</v>
      </c>
      <c r="N7213" s="512">
        <v>0.5</v>
      </c>
      <c r="O7213" s="897" t="s">
        <v>2551</v>
      </c>
      <c r="P7213" s="867" t="s">
        <v>2658</v>
      </c>
    </row>
    <row r="7214" spans="1:18" ht="19.5" hidden="1" thickBot="1" x14ac:dyDescent="0.3">
      <c r="A7214" s="513">
        <f t="shared" si="220"/>
        <v>4442</v>
      </c>
      <c r="B7214" s="663" t="s">
        <v>2475</v>
      </c>
      <c r="C7214" s="664" t="s">
        <v>32</v>
      </c>
      <c r="D7214" s="665">
        <v>17.600000000000001</v>
      </c>
      <c r="E7214" s="666" t="s">
        <v>1496</v>
      </c>
      <c r="F7214" s="667" t="s">
        <v>16</v>
      </c>
      <c r="G7214" s="668" t="s">
        <v>2299</v>
      </c>
      <c r="H7214" s="667" t="s">
        <v>2524</v>
      </c>
      <c r="I7214" s="669" t="s">
        <v>1496</v>
      </c>
      <c r="J7214" s="670"/>
      <c r="K7214" s="667" t="str">
        <f t="shared" si="218"/>
        <v>тмена</v>
      </c>
      <c r="L7214" s="667" t="s">
        <v>266</v>
      </c>
      <c r="M7214" s="667">
        <v>17604.599999999999</v>
      </c>
      <c r="N7214" s="671">
        <v>0.54166666666666663</v>
      </c>
      <c r="O7214" s="920" t="s">
        <v>2550</v>
      </c>
      <c r="P7214" s="921" t="s">
        <v>1024</v>
      </c>
    </row>
    <row r="7215" spans="1:18" ht="19.5" hidden="1" thickBot="1" x14ac:dyDescent="0.3">
      <c r="A7215" s="551">
        <f t="shared" si="220"/>
        <v>4443</v>
      </c>
      <c r="B7215" s="552" t="s">
        <v>2475</v>
      </c>
      <c r="C7215" s="553" t="s">
        <v>848</v>
      </c>
      <c r="D7215" s="554">
        <v>18.02</v>
      </c>
      <c r="E7215" s="555">
        <v>17.952000000000002</v>
      </c>
      <c r="F7215" s="556" t="s">
        <v>16</v>
      </c>
      <c r="G7215" s="557"/>
      <c r="H7215" s="556" t="s">
        <v>2524</v>
      </c>
      <c r="I7215" s="558" t="s">
        <v>2564</v>
      </c>
      <c r="J7215" s="559"/>
      <c r="K7215" s="556" t="str">
        <f t="shared" si="218"/>
        <v>09,26</v>
      </c>
      <c r="L7215" s="556" t="s">
        <v>266</v>
      </c>
      <c r="M7215" s="556">
        <v>18066.18</v>
      </c>
      <c r="N7215" s="560">
        <v>0.58333333333333337</v>
      </c>
      <c r="O7215" s="897" t="s">
        <v>2552</v>
      </c>
      <c r="P7215" s="867" t="s">
        <v>2645</v>
      </c>
    </row>
    <row r="7216" spans="1:18" ht="19.5" hidden="1" thickBot="1" x14ac:dyDescent="0.3">
      <c r="A7216" s="1073">
        <f t="shared" si="220"/>
        <v>4444</v>
      </c>
      <c r="B7216" s="610" t="s">
        <v>2545</v>
      </c>
      <c r="C7216" s="480" t="s">
        <v>26</v>
      </c>
      <c r="D7216" s="481">
        <v>17.861999999999998</v>
      </c>
      <c r="E7216" s="482">
        <f>16.177+0.324+0.245</f>
        <v>16.746000000000002</v>
      </c>
      <c r="F7216" s="483" t="s">
        <v>16</v>
      </c>
      <c r="G7216" s="549"/>
      <c r="H7216" s="483" t="s">
        <v>2564</v>
      </c>
      <c r="I7216" s="484" t="s">
        <v>2564</v>
      </c>
      <c r="J7216" s="485"/>
      <c r="K7216" s="483" t="str">
        <f t="shared" si="218"/>
        <v>09,26</v>
      </c>
      <c r="L7216" s="483" t="s">
        <v>265</v>
      </c>
      <c r="M7216" s="483">
        <v>18021.300000000003</v>
      </c>
      <c r="N7216" s="486">
        <v>0.375</v>
      </c>
      <c r="O7216" s="897" t="s">
        <v>2565</v>
      </c>
      <c r="P7216" s="867" t="s">
        <v>2639</v>
      </c>
      <c r="Q7216" s="847" t="s">
        <v>2640</v>
      </c>
      <c r="R7216" s="847" t="s">
        <v>2641</v>
      </c>
    </row>
    <row r="7217" spans="1:17" ht="19.5" hidden="1" thickBot="1" x14ac:dyDescent="0.3">
      <c r="A7217" s="1074"/>
      <c r="B7217" s="805" t="s">
        <v>2564</v>
      </c>
      <c r="C7217" s="806" t="s">
        <v>26</v>
      </c>
      <c r="D7217" s="807">
        <v>3</v>
      </c>
      <c r="E7217" s="807">
        <v>0.71799999999999997</v>
      </c>
      <c r="F7217" s="808" t="s">
        <v>16</v>
      </c>
      <c r="G7217" s="809" t="s">
        <v>76</v>
      </c>
      <c r="H7217" s="808" t="s">
        <v>2564</v>
      </c>
      <c r="I7217" s="808" t="s">
        <v>2564</v>
      </c>
      <c r="J7217" s="810"/>
      <c r="K7217" s="808" t="str">
        <f t="shared" si="218"/>
        <v>09,26</v>
      </c>
      <c r="L7217" s="808" t="s">
        <v>265</v>
      </c>
      <c r="M7217" s="808">
        <v>3030</v>
      </c>
      <c r="N7217" s="778">
        <v>0.375</v>
      </c>
      <c r="O7217" s="897" t="s">
        <v>2634</v>
      </c>
      <c r="P7217" s="867" t="s">
        <v>2638</v>
      </c>
    </row>
    <row r="7218" spans="1:17" ht="19.5" hidden="1" thickBot="1" x14ac:dyDescent="0.3">
      <c r="A7218" s="1059">
        <f>MAX(A7049:A7216)+1</f>
        <v>4445</v>
      </c>
      <c r="B7218" s="760" t="s">
        <v>2545</v>
      </c>
      <c r="C7218" s="564" t="s">
        <v>26</v>
      </c>
      <c r="D7218" s="565">
        <v>18.989000000000001</v>
      </c>
      <c r="E7218" s="566">
        <f>14.717+0.675</f>
        <v>15.392000000000001</v>
      </c>
      <c r="F7218" s="567" t="s">
        <v>16</v>
      </c>
      <c r="G7218" s="568"/>
      <c r="H7218" s="567" t="s">
        <v>2564</v>
      </c>
      <c r="I7218" s="569" t="s">
        <v>2564</v>
      </c>
      <c r="J7218" s="570"/>
      <c r="K7218" s="567" t="str">
        <f t="shared" si="218"/>
        <v>09,26</v>
      </c>
      <c r="L7218" s="567" t="s">
        <v>265</v>
      </c>
      <c r="M7218" s="567">
        <v>19042.120000000003</v>
      </c>
      <c r="N7218" s="571">
        <v>0.41666666666666669</v>
      </c>
      <c r="O7218" s="897" t="s">
        <v>2566</v>
      </c>
      <c r="P7218" s="867" t="s">
        <v>2642</v>
      </c>
      <c r="Q7218" s="847" t="s">
        <v>2644</v>
      </c>
    </row>
    <row r="7219" spans="1:17" ht="19.5" hidden="1" thickBot="1" x14ac:dyDescent="0.3">
      <c r="A7219" s="1061"/>
      <c r="B7219" s="798" t="s">
        <v>2524</v>
      </c>
      <c r="C7219" s="799" t="s">
        <v>26</v>
      </c>
      <c r="D7219" s="800">
        <v>2.5499999999999998</v>
      </c>
      <c r="E7219" s="800">
        <v>1.869</v>
      </c>
      <c r="F7219" s="801" t="s">
        <v>16</v>
      </c>
      <c r="G7219" s="802" t="s">
        <v>76</v>
      </c>
      <c r="H7219" s="801" t="s">
        <v>2564</v>
      </c>
      <c r="I7219" s="801" t="s">
        <v>2564</v>
      </c>
      <c r="J7219" s="803"/>
      <c r="K7219" s="801" t="str">
        <f t="shared" si="218"/>
        <v>09,26</v>
      </c>
      <c r="L7219" s="801" t="s">
        <v>265</v>
      </c>
      <c r="M7219" s="801">
        <v>2551.5</v>
      </c>
      <c r="N7219" s="804">
        <v>0.41666666666666669</v>
      </c>
      <c r="O7219" s="897" t="s">
        <v>2583</v>
      </c>
      <c r="P7219" s="867" t="s">
        <v>2643</v>
      </c>
    </row>
    <row r="7220" spans="1:17" ht="19.5" hidden="1" thickBot="1" x14ac:dyDescent="0.3">
      <c r="A7220" s="513">
        <f>MAX(A7050:A7218)+1</f>
        <v>4446</v>
      </c>
      <c r="B7220" s="514" t="s">
        <v>2545</v>
      </c>
      <c r="C7220" s="515" t="s">
        <v>47</v>
      </c>
      <c r="D7220" s="516">
        <v>13.638</v>
      </c>
      <c r="E7220" s="517">
        <v>13.638</v>
      </c>
      <c r="F7220" s="518" t="s">
        <v>30</v>
      </c>
      <c r="G7220" s="519"/>
      <c r="H7220" s="518" t="s">
        <v>2564</v>
      </c>
      <c r="I7220" s="520" t="s">
        <v>2614</v>
      </c>
      <c r="J7220" s="521"/>
      <c r="K7220" s="518" t="str">
        <f t="shared" si="218"/>
        <v>09,26</v>
      </c>
      <c r="L7220" s="518" t="s">
        <v>28</v>
      </c>
      <c r="M7220" s="518">
        <v>13638.64</v>
      </c>
      <c r="N7220" s="522">
        <v>0.41666666666666669</v>
      </c>
      <c r="O7220" s="897" t="s">
        <v>2568</v>
      </c>
      <c r="P7220" s="867" t="s">
        <v>2723</v>
      </c>
    </row>
    <row r="7221" spans="1:17" ht="19.5" hidden="1" thickBot="1" x14ac:dyDescent="0.3">
      <c r="A7221" s="1059">
        <f t="shared" ref="A7221" si="221">MAX(A7051:A7220)+1</f>
        <v>4447</v>
      </c>
      <c r="B7221" s="760" t="s">
        <v>2545</v>
      </c>
      <c r="C7221" s="564" t="s">
        <v>26</v>
      </c>
      <c r="D7221" s="565">
        <v>20.817</v>
      </c>
      <c r="E7221" s="566">
        <v>16.991</v>
      </c>
      <c r="F7221" s="567" t="s">
        <v>16</v>
      </c>
      <c r="G7221" s="568"/>
      <c r="H7221" s="567" t="s">
        <v>2567</v>
      </c>
      <c r="I7221" s="569" t="s">
        <v>2586</v>
      </c>
      <c r="J7221" s="570"/>
      <c r="K7221" s="567" t="str">
        <f t="shared" si="218"/>
        <v>09,26</v>
      </c>
      <c r="L7221" s="567" t="s">
        <v>265</v>
      </c>
      <c r="M7221" s="567">
        <v>21025.500000000004</v>
      </c>
      <c r="N7221" s="571">
        <v>0.375</v>
      </c>
      <c r="O7221" s="897" t="s">
        <v>2569</v>
      </c>
      <c r="P7221" s="867" t="s">
        <v>2656</v>
      </c>
    </row>
    <row r="7222" spans="1:17" ht="19.5" hidden="1" thickBot="1" x14ac:dyDescent="0.3">
      <c r="A7222" s="1061"/>
      <c r="B7222" s="798" t="s">
        <v>2586</v>
      </c>
      <c r="C7222" s="799" t="s">
        <v>26</v>
      </c>
      <c r="D7222" s="800">
        <v>0.5</v>
      </c>
      <c r="E7222" s="800">
        <v>0.51100000000000001</v>
      </c>
      <c r="F7222" s="801" t="s">
        <v>16</v>
      </c>
      <c r="G7222" s="802" t="s">
        <v>76</v>
      </c>
      <c r="H7222" s="801" t="s">
        <v>2567</v>
      </c>
      <c r="I7222" s="801" t="s">
        <v>2586</v>
      </c>
      <c r="J7222" s="803"/>
      <c r="K7222" s="801" t="str">
        <f t="shared" si="218"/>
        <v>09,26</v>
      </c>
      <c r="L7222" s="801" t="s">
        <v>265</v>
      </c>
      <c r="M7222" s="801">
        <v>510</v>
      </c>
      <c r="N7222" s="804">
        <v>0.375</v>
      </c>
      <c r="O7222" s="897" t="s">
        <v>2647</v>
      </c>
      <c r="P7222" s="867" t="s">
        <v>2657</v>
      </c>
    </row>
    <row r="7223" spans="1:17" ht="19.5" hidden="1" thickBot="1" x14ac:dyDescent="0.3">
      <c r="A7223" s="1073">
        <f>MAX(A7052:A7221)+1</f>
        <v>4448</v>
      </c>
      <c r="B7223" s="610" t="s">
        <v>2545</v>
      </c>
      <c r="C7223" s="480" t="s">
        <v>24</v>
      </c>
      <c r="D7223" s="481">
        <v>17.606999999999999</v>
      </c>
      <c r="E7223" s="482">
        <f>16.887+0.205</f>
        <v>17.091999999999999</v>
      </c>
      <c r="F7223" s="483" t="s">
        <v>16</v>
      </c>
      <c r="G7223" s="549"/>
      <c r="H7223" s="483" t="s">
        <v>2567</v>
      </c>
      <c r="I7223" s="484" t="s">
        <v>2614</v>
      </c>
      <c r="J7223" s="485"/>
      <c r="K7223" s="483" t="str">
        <f t="shared" si="218"/>
        <v>09,26</v>
      </c>
      <c r="L7223" s="483" t="s">
        <v>28</v>
      </c>
      <c r="M7223" s="483">
        <v>17783.120000000003</v>
      </c>
      <c r="N7223" s="486">
        <v>0.41666666666666669</v>
      </c>
      <c r="O7223" s="897" t="s">
        <v>2570</v>
      </c>
      <c r="P7223" s="867" t="s">
        <v>2686</v>
      </c>
      <c r="Q7223" s="847" t="s">
        <v>2688</v>
      </c>
    </row>
    <row r="7224" spans="1:17" ht="19.5" hidden="1" thickBot="1" x14ac:dyDescent="0.3">
      <c r="A7224" s="1074"/>
      <c r="B7224" s="805" t="s">
        <v>2567</v>
      </c>
      <c r="C7224" s="806" t="s">
        <v>24</v>
      </c>
      <c r="D7224" s="807">
        <v>0.67</v>
      </c>
      <c r="E7224" s="807">
        <v>0.67300000000000004</v>
      </c>
      <c r="F7224" s="808" t="s">
        <v>16</v>
      </c>
      <c r="G7224" s="809"/>
      <c r="H7224" s="808" t="s">
        <v>2567</v>
      </c>
      <c r="I7224" s="808" t="s">
        <v>2614</v>
      </c>
      <c r="J7224" s="810"/>
      <c r="K7224" s="808" t="str">
        <f t="shared" si="218"/>
        <v>09,26</v>
      </c>
      <c r="L7224" s="808" t="s">
        <v>28</v>
      </c>
      <c r="M7224" s="808">
        <v>675</v>
      </c>
      <c r="N7224" s="778">
        <v>0.41666666666666669</v>
      </c>
      <c r="O7224" s="897" t="s">
        <v>2635</v>
      </c>
      <c r="P7224" s="867" t="s">
        <v>2687</v>
      </c>
    </row>
    <row r="7225" spans="1:17" ht="19.5" hidden="1" thickBot="1" x14ac:dyDescent="0.3">
      <c r="A7225" s="1059">
        <f>MAX(A7053:A7223)+1</f>
        <v>4449</v>
      </c>
      <c r="B7225" s="760" t="s">
        <v>2545</v>
      </c>
      <c r="C7225" s="564" t="s">
        <v>23</v>
      </c>
      <c r="D7225" s="565">
        <v>17.388999999999999</v>
      </c>
      <c r="E7225" s="566">
        <v>16.681000000000001</v>
      </c>
      <c r="F7225" s="567" t="s">
        <v>16</v>
      </c>
      <c r="G7225" s="568"/>
      <c r="H7225" s="567" t="s">
        <v>2567</v>
      </c>
      <c r="I7225" s="569" t="s">
        <v>2567</v>
      </c>
      <c r="J7225" s="570"/>
      <c r="K7225" s="567" t="str">
        <f t="shared" si="218"/>
        <v>09,26</v>
      </c>
      <c r="L7225" s="567" t="s">
        <v>28</v>
      </c>
      <c r="M7225" s="567">
        <v>17540.11</v>
      </c>
      <c r="N7225" s="571">
        <v>0.45833333333333331</v>
      </c>
      <c r="O7225" s="897" t="s">
        <v>2571</v>
      </c>
      <c r="P7225" s="867" t="s">
        <v>2667</v>
      </c>
    </row>
    <row r="7226" spans="1:17" ht="19.5" hidden="1" thickBot="1" x14ac:dyDescent="0.3">
      <c r="A7226" s="1061"/>
      <c r="B7226" s="798" t="s">
        <v>2567</v>
      </c>
      <c r="C7226" s="799" t="s">
        <v>23</v>
      </c>
      <c r="D7226" s="800">
        <v>0.79</v>
      </c>
      <c r="E7226" s="800">
        <v>0.79700000000000004</v>
      </c>
      <c r="F7226" s="801" t="s">
        <v>16</v>
      </c>
      <c r="G7226" s="802"/>
      <c r="H7226" s="801" t="s">
        <v>2567</v>
      </c>
      <c r="I7226" s="801" t="s">
        <v>2567</v>
      </c>
      <c r="J7226" s="803"/>
      <c r="K7226" s="801" t="str">
        <f t="shared" si="218"/>
        <v>09,26</v>
      </c>
      <c r="L7226" s="801" t="s">
        <v>28</v>
      </c>
      <c r="M7226" s="801">
        <v>795</v>
      </c>
      <c r="N7226" s="804">
        <v>0.45833333333333331</v>
      </c>
      <c r="O7226" s="897" t="s">
        <v>2636</v>
      </c>
      <c r="P7226" s="867" t="s">
        <v>2668</v>
      </c>
    </row>
    <row r="7227" spans="1:17" ht="19.5" hidden="1" thickBot="1" x14ac:dyDescent="0.3">
      <c r="A7227" s="1073">
        <f>MAX(A7054:A7225)+1</f>
        <v>4450</v>
      </c>
      <c r="B7227" s="610" t="s">
        <v>2545</v>
      </c>
      <c r="C7227" s="480" t="s">
        <v>47</v>
      </c>
      <c r="D7227" s="481">
        <v>17.614999999999998</v>
      </c>
      <c r="E7227" s="482">
        <v>17.048999999999999</v>
      </c>
      <c r="F7227" s="483" t="s">
        <v>16</v>
      </c>
      <c r="G7227" s="549"/>
      <c r="H7227" s="483" t="s">
        <v>2567</v>
      </c>
      <c r="I7227" s="484" t="s">
        <v>2567</v>
      </c>
      <c r="J7227" s="485"/>
      <c r="K7227" s="483" t="str">
        <f t="shared" si="218"/>
        <v>09,26</v>
      </c>
      <c r="L7227" s="483" t="s">
        <v>28</v>
      </c>
      <c r="M7227" s="483">
        <v>17846.140000000003</v>
      </c>
      <c r="N7227" s="486">
        <v>0.5</v>
      </c>
      <c r="O7227" s="897" t="s">
        <v>2572</v>
      </c>
      <c r="P7227" s="867" t="s">
        <v>2677</v>
      </c>
    </row>
    <row r="7228" spans="1:17" ht="19.5" hidden="1" thickBot="1" x14ac:dyDescent="0.3">
      <c r="A7228" s="1074"/>
      <c r="B7228" s="805" t="s">
        <v>2567</v>
      </c>
      <c r="C7228" s="806" t="s">
        <v>47</v>
      </c>
      <c r="D7228" s="807">
        <v>0.8</v>
      </c>
      <c r="E7228" s="807">
        <v>0.80800000000000005</v>
      </c>
      <c r="F7228" s="808" t="s">
        <v>16</v>
      </c>
      <c r="G7228" s="809"/>
      <c r="H7228" s="808" t="s">
        <v>2567</v>
      </c>
      <c r="I7228" s="808" t="s">
        <v>2567</v>
      </c>
      <c r="J7228" s="810"/>
      <c r="K7228" s="808" t="str">
        <f t="shared" si="218"/>
        <v>09,26</v>
      </c>
      <c r="L7228" s="808" t="s">
        <v>28</v>
      </c>
      <c r="M7228" s="808">
        <v>810</v>
      </c>
      <c r="N7228" s="778">
        <v>0.5</v>
      </c>
      <c r="O7228" s="897" t="s">
        <v>2637</v>
      </c>
      <c r="P7228" s="867" t="s">
        <v>2678</v>
      </c>
    </row>
    <row r="7229" spans="1:17" ht="19.5" hidden="1" thickBot="1" x14ac:dyDescent="0.3">
      <c r="A7229" s="503">
        <f>MAX(A7055:A7227)+1</f>
        <v>4451</v>
      </c>
      <c r="B7229" s="504" t="s">
        <v>2524</v>
      </c>
      <c r="C7229" s="505" t="s">
        <v>26</v>
      </c>
      <c r="D7229" s="506">
        <v>15.326000000000001</v>
      </c>
      <c r="E7229" s="507">
        <v>15.326000000000001</v>
      </c>
      <c r="F7229" s="508" t="s">
        <v>30</v>
      </c>
      <c r="G7229" s="509"/>
      <c r="H7229" s="508" t="s">
        <v>2567</v>
      </c>
      <c r="I7229" s="510" t="s">
        <v>2567</v>
      </c>
      <c r="J7229" s="511"/>
      <c r="K7229" s="508" t="str">
        <f t="shared" si="218"/>
        <v>09,26</v>
      </c>
      <c r="L7229" s="508" t="s">
        <v>265</v>
      </c>
      <c r="M7229" s="508">
        <v>15326.64</v>
      </c>
      <c r="N7229" s="512">
        <v>0.375</v>
      </c>
      <c r="O7229" s="897" t="s">
        <v>2584</v>
      </c>
      <c r="P7229" s="867" t="s">
        <v>2661</v>
      </c>
    </row>
    <row r="7230" spans="1:17" ht="19.5" hidden="1" thickBot="1" x14ac:dyDescent="0.3">
      <c r="A7230" s="1062">
        <f>MAX(A7056:A7229)+1</f>
        <v>4452</v>
      </c>
      <c r="B7230" s="479" t="s">
        <v>2524</v>
      </c>
      <c r="C7230" s="480" t="s">
        <v>1382</v>
      </c>
      <c r="D7230" s="481">
        <v>12.715</v>
      </c>
      <c r="E7230" s="482">
        <v>14.143000000000001</v>
      </c>
      <c r="F7230" s="483" t="s">
        <v>16</v>
      </c>
      <c r="G7230" s="549"/>
      <c r="H7230" s="483" t="s">
        <v>2567</v>
      </c>
      <c r="I7230" s="484" t="s">
        <v>2586</v>
      </c>
      <c r="J7230" s="485"/>
      <c r="K7230" s="483" t="str">
        <f t="shared" si="218"/>
        <v>09,26</v>
      </c>
      <c r="L7230" s="483" t="s">
        <v>266</v>
      </c>
      <c r="M7230" s="483">
        <v>12825.84</v>
      </c>
      <c r="N7230" s="486">
        <v>0.54166666666666663</v>
      </c>
      <c r="O7230" s="897" t="s">
        <v>2590</v>
      </c>
      <c r="P7230" s="867" t="s">
        <v>2652</v>
      </c>
    </row>
    <row r="7231" spans="1:17" ht="19.5" hidden="1" thickBot="1" x14ac:dyDescent="0.3">
      <c r="A7231" s="1063"/>
      <c r="B7231" s="645" t="s">
        <v>2524</v>
      </c>
      <c r="C7231" s="646" t="s">
        <v>981</v>
      </c>
      <c r="D7231" s="647">
        <v>4.2160000000000002</v>
      </c>
      <c r="E7231" s="648">
        <v>3.8029999999999999</v>
      </c>
      <c r="F7231" s="649" t="s">
        <v>16</v>
      </c>
      <c r="G7231" s="650"/>
      <c r="H7231" s="649" t="s">
        <v>2567</v>
      </c>
      <c r="I7231" s="651" t="s">
        <v>2613</v>
      </c>
      <c r="J7231" s="652"/>
      <c r="K7231" s="649" t="str">
        <f t="shared" si="218"/>
        <v>09,26</v>
      </c>
      <c r="L7231" s="649" t="s">
        <v>266</v>
      </c>
      <c r="M7231" s="649">
        <v>4217.8600000000006</v>
      </c>
      <c r="N7231" s="653">
        <v>0.54166666666666663</v>
      </c>
      <c r="O7231" s="897" t="s">
        <v>2591</v>
      </c>
      <c r="P7231" s="867" t="s">
        <v>2679</v>
      </c>
    </row>
    <row r="7232" spans="1:17" ht="19.5" hidden="1" thickBot="1" x14ac:dyDescent="0.3">
      <c r="A7232" s="1066">
        <f>MAX(A7058:A7231)+1</f>
        <v>4453</v>
      </c>
      <c r="B7232" s="531" t="s">
        <v>2524</v>
      </c>
      <c r="C7232" s="532" t="s">
        <v>41</v>
      </c>
      <c r="D7232" s="533">
        <v>3.7850000000000001</v>
      </c>
      <c r="E7232" s="534">
        <v>3.8460000000000001</v>
      </c>
      <c r="F7232" s="535" t="s">
        <v>16</v>
      </c>
      <c r="G7232" s="536"/>
      <c r="H7232" s="535" t="s">
        <v>2567</v>
      </c>
      <c r="I7232" s="537" t="s">
        <v>2613</v>
      </c>
      <c r="J7232" s="538"/>
      <c r="K7232" s="535" t="str">
        <f t="shared" si="218"/>
        <v>09,26</v>
      </c>
      <c r="L7232" s="535" t="s">
        <v>266</v>
      </c>
      <c r="M7232" s="535">
        <v>3859.44</v>
      </c>
      <c r="N7232" s="539">
        <v>0.58333333333333337</v>
      </c>
      <c r="O7232" s="897" t="s">
        <v>2594</v>
      </c>
      <c r="P7232" s="867" t="s">
        <v>2680</v>
      </c>
    </row>
    <row r="7233" spans="1:16" ht="19.5" hidden="1" thickBot="1" x14ac:dyDescent="0.3">
      <c r="A7233" s="1068"/>
      <c r="B7233" s="563" t="s">
        <v>2524</v>
      </c>
      <c r="C7233" s="564" t="s">
        <v>480</v>
      </c>
      <c r="D7233" s="565">
        <v>9.3000000000000007</v>
      </c>
      <c r="E7233" s="566">
        <v>8.0540000000000003</v>
      </c>
      <c r="F7233" s="567" t="s">
        <v>16</v>
      </c>
      <c r="G7233" s="568"/>
      <c r="H7233" s="567" t="s">
        <v>2567</v>
      </c>
      <c r="I7233" s="569" t="s">
        <v>2613</v>
      </c>
      <c r="J7233" s="570"/>
      <c r="K7233" s="567" t="str">
        <f t="shared" si="218"/>
        <v>09,26</v>
      </c>
      <c r="L7233" s="567" t="s">
        <v>266</v>
      </c>
      <c r="M7233" s="567">
        <v>9427.0800000000017</v>
      </c>
      <c r="N7233" s="571">
        <v>0.58333333333333337</v>
      </c>
      <c r="O7233" s="897" t="s">
        <v>2592</v>
      </c>
      <c r="P7233" s="867" t="s">
        <v>2681</v>
      </c>
    </row>
    <row r="7234" spans="1:16" ht="19.5" hidden="1" thickBot="1" x14ac:dyDescent="0.3">
      <c r="A7234" s="1067"/>
      <c r="B7234" s="636" t="s">
        <v>2524</v>
      </c>
      <c r="C7234" s="637" t="s">
        <v>32</v>
      </c>
      <c r="D7234" s="638">
        <v>1.657</v>
      </c>
      <c r="E7234" s="639">
        <v>1.619</v>
      </c>
      <c r="F7234" s="640" t="s">
        <v>16</v>
      </c>
      <c r="G7234" s="641" t="s">
        <v>1702</v>
      </c>
      <c r="H7234" s="640" t="s">
        <v>2567</v>
      </c>
      <c r="I7234" s="642" t="s">
        <v>2613</v>
      </c>
      <c r="J7234" s="643"/>
      <c r="K7234" s="640" t="str">
        <f t="shared" si="218"/>
        <v>09,26</v>
      </c>
      <c r="L7234" s="640" t="s">
        <v>266</v>
      </c>
      <c r="M7234" s="640">
        <v>1657</v>
      </c>
      <c r="N7234" s="644">
        <v>0.58333333333333337</v>
      </c>
      <c r="O7234" s="897" t="s">
        <v>2593</v>
      </c>
      <c r="P7234" s="867" t="s">
        <v>2682</v>
      </c>
    </row>
    <row r="7235" spans="1:16" ht="57" hidden="1" thickBot="1" x14ac:dyDescent="0.3">
      <c r="A7235" s="1062">
        <f>MAX(A7061:A7234)+1</f>
        <v>4454</v>
      </c>
      <c r="B7235" s="479" t="s">
        <v>2524</v>
      </c>
      <c r="C7235" s="480" t="s">
        <v>840</v>
      </c>
      <c r="D7235" s="481">
        <v>15.624000000000001</v>
      </c>
      <c r="E7235" s="482">
        <v>13.901999999999999</v>
      </c>
      <c r="F7235" s="483" t="s">
        <v>16</v>
      </c>
      <c r="G7235" s="984" t="s">
        <v>2612</v>
      </c>
      <c r="H7235" s="483" t="s">
        <v>2567</v>
      </c>
      <c r="I7235" s="484" t="s">
        <v>2586</v>
      </c>
      <c r="J7235" s="485"/>
      <c r="K7235" s="483" t="str">
        <f t="shared" si="218"/>
        <v>09,26</v>
      </c>
      <c r="L7235" s="483" t="s">
        <v>266</v>
      </c>
      <c r="M7235" s="483">
        <v>15748.080000000004</v>
      </c>
      <c r="N7235" s="486">
        <v>0.625</v>
      </c>
      <c r="O7235" s="897" t="s">
        <v>2606</v>
      </c>
      <c r="P7235" s="867" t="s">
        <v>2660</v>
      </c>
    </row>
    <row r="7236" spans="1:16" ht="19.5" hidden="1" thickBot="1" x14ac:dyDescent="0.3">
      <c r="A7236" s="1063"/>
      <c r="B7236" s="645" t="s">
        <v>2524</v>
      </c>
      <c r="C7236" s="646" t="s">
        <v>840</v>
      </c>
      <c r="D7236" s="647">
        <v>4.5</v>
      </c>
      <c r="E7236" s="648">
        <v>3.9460000000000002</v>
      </c>
      <c r="F7236" s="649" t="s">
        <v>16</v>
      </c>
      <c r="G7236" s="650" t="s">
        <v>2299</v>
      </c>
      <c r="H7236" s="649" t="s">
        <v>2567</v>
      </c>
      <c r="I7236" s="651" t="s">
        <v>2586</v>
      </c>
      <c r="J7236" s="652"/>
      <c r="K7236" s="649" t="str">
        <f t="shared" si="218"/>
        <v>09,26</v>
      </c>
      <c r="L7236" s="649" t="s">
        <v>266</v>
      </c>
      <c r="M7236" s="649">
        <v>4500</v>
      </c>
      <c r="N7236" s="653">
        <v>0.625</v>
      </c>
      <c r="O7236" s="897" t="s">
        <v>2607</v>
      </c>
      <c r="P7236" s="867" t="s">
        <v>2659</v>
      </c>
    </row>
    <row r="7237" spans="1:16" ht="19.5" hidden="1" thickBot="1" x14ac:dyDescent="0.3">
      <c r="A7237" s="1066">
        <f>MAX(A7063:A7236)+1</f>
        <v>4455</v>
      </c>
      <c r="B7237" s="750" t="s">
        <v>2524</v>
      </c>
      <c r="C7237" s="751" t="s">
        <v>41</v>
      </c>
      <c r="D7237" s="752">
        <v>2</v>
      </c>
      <c r="E7237" s="753" t="s">
        <v>1496</v>
      </c>
      <c r="F7237" s="754" t="s">
        <v>16</v>
      </c>
      <c r="G7237" s="931" t="s">
        <v>2299</v>
      </c>
      <c r="H7237" s="754" t="s">
        <v>2567</v>
      </c>
      <c r="I7237" s="932" t="s">
        <v>1496</v>
      </c>
      <c r="J7237" s="755"/>
      <c r="K7237" s="754" t="str">
        <f t="shared" si="218"/>
        <v>тмена</v>
      </c>
      <c r="L7237" s="754" t="s">
        <v>266</v>
      </c>
      <c r="M7237" s="754">
        <v>2004.6</v>
      </c>
      <c r="N7237" s="756">
        <v>0.66666666666666663</v>
      </c>
      <c r="O7237" s="920" t="s">
        <v>2603</v>
      </c>
      <c r="P7237" s="921" t="s">
        <v>1024</v>
      </c>
    </row>
    <row r="7238" spans="1:16" ht="19.5" hidden="1" thickBot="1" x14ac:dyDescent="0.3">
      <c r="A7238" s="1068"/>
      <c r="B7238" s="563" t="s">
        <v>2524</v>
      </c>
      <c r="C7238" s="564" t="s">
        <v>1382</v>
      </c>
      <c r="D7238" s="565">
        <v>4</v>
      </c>
      <c r="E7238" s="566">
        <v>3.9969999999999999</v>
      </c>
      <c r="F7238" s="567" t="s">
        <v>16</v>
      </c>
      <c r="G7238" s="568" t="s">
        <v>2299</v>
      </c>
      <c r="H7238" s="567" t="s">
        <v>2567</v>
      </c>
      <c r="I7238" s="569" t="s">
        <v>2586</v>
      </c>
      <c r="J7238" s="570"/>
      <c r="K7238" s="567" t="str">
        <f t="shared" si="218"/>
        <v>09,26</v>
      </c>
      <c r="L7238" s="567" t="s">
        <v>266</v>
      </c>
      <c r="M7238" s="567">
        <v>4005</v>
      </c>
      <c r="N7238" s="571">
        <v>0.66666666666666663</v>
      </c>
      <c r="O7238" s="897" t="s">
        <v>2601</v>
      </c>
      <c r="P7238" s="867" t="s">
        <v>2654</v>
      </c>
    </row>
    <row r="7239" spans="1:16" ht="19.5" hidden="1" thickBot="1" x14ac:dyDescent="0.3">
      <c r="A7239" s="1068"/>
      <c r="B7239" s="563" t="s">
        <v>2524</v>
      </c>
      <c r="C7239" s="564" t="s">
        <v>480</v>
      </c>
      <c r="D7239" s="565">
        <v>1</v>
      </c>
      <c r="E7239" s="566">
        <v>0.505</v>
      </c>
      <c r="F7239" s="567" t="s">
        <v>16</v>
      </c>
      <c r="G7239" s="568" t="s">
        <v>2299</v>
      </c>
      <c r="H7239" s="567" t="s">
        <v>2567</v>
      </c>
      <c r="I7239" s="569" t="s">
        <v>2586</v>
      </c>
      <c r="J7239" s="570"/>
      <c r="K7239" s="567" t="str">
        <f t="shared" si="218"/>
        <v>09,26</v>
      </c>
      <c r="L7239" s="567" t="s">
        <v>266</v>
      </c>
      <c r="M7239" s="567">
        <v>1008</v>
      </c>
      <c r="N7239" s="571">
        <v>0.66666666666666663</v>
      </c>
      <c r="O7239" s="897" t="s">
        <v>2602</v>
      </c>
      <c r="P7239" s="867" t="s">
        <v>2655</v>
      </c>
    </row>
    <row r="7240" spans="1:16" ht="19.5" hidden="1" thickBot="1" x14ac:dyDescent="0.3">
      <c r="A7240" s="1068"/>
      <c r="B7240" s="911" t="s">
        <v>2524</v>
      </c>
      <c r="C7240" s="912" t="s">
        <v>981</v>
      </c>
      <c r="D7240" s="913">
        <v>0.998</v>
      </c>
      <c r="E7240" s="914" t="s">
        <v>1496</v>
      </c>
      <c r="F7240" s="915" t="s">
        <v>16</v>
      </c>
      <c r="G7240" s="916" t="s">
        <v>2299</v>
      </c>
      <c r="H7240" s="915" t="s">
        <v>2567</v>
      </c>
      <c r="I7240" s="917" t="s">
        <v>1496</v>
      </c>
      <c r="J7240" s="918"/>
      <c r="K7240" s="915" t="str">
        <f t="shared" si="218"/>
        <v>тмена</v>
      </c>
      <c r="L7240" s="915" t="s">
        <v>266</v>
      </c>
      <c r="M7240" s="915">
        <v>998.4</v>
      </c>
      <c r="N7240" s="919">
        <v>0.66666666666666663</v>
      </c>
      <c r="O7240" s="920" t="s">
        <v>2605</v>
      </c>
      <c r="P7240" s="921" t="s">
        <v>1024</v>
      </c>
    </row>
    <row r="7241" spans="1:16" ht="19.5" hidden="1" thickBot="1" x14ac:dyDescent="0.3">
      <c r="A7241" s="1067"/>
      <c r="B7241" s="933" t="s">
        <v>2524</v>
      </c>
      <c r="C7241" s="934" t="s">
        <v>32</v>
      </c>
      <c r="D7241" s="935">
        <v>2.496</v>
      </c>
      <c r="E7241" s="936" t="s">
        <v>1496</v>
      </c>
      <c r="F7241" s="937" t="s">
        <v>16</v>
      </c>
      <c r="G7241" s="938" t="s">
        <v>2585</v>
      </c>
      <c r="H7241" s="937" t="s">
        <v>2567</v>
      </c>
      <c r="I7241" s="939" t="s">
        <v>1496</v>
      </c>
      <c r="J7241" s="940"/>
      <c r="K7241" s="937" t="str">
        <f t="shared" si="218"/>
        <v>тмена</v>
      </c>
      <c r="L7241" s="937" t="s">
        <v>266</v>
      </c>
      <c r="M7241" s="937">
        <v>2496</v>
      </c>
      <c r="N7241" s="941">
        <v>0.66666666666666663</v>
      </c>
      <c r="O7241" s="920" t="s">
        <v>2604</v>
      </c>
      <c r="P7241" s="921" t="s">
        <v>1024</v>
      </c>
    </row>
    <row r="7242" spans="1:16" ht="19.5" hidden="1" thickBot="1" x14ac:dyDescent="0.3">
      <c r="A7242" s="1073">
        <f>MAX(A7068:A7241)+1</f>
        <v>4456</v>
      </c>
      <c r="B7242" s="610" t="s">
        <v>2524</v>
      </c>
      <c r="C7242" s="480" t="s">
        <v>26</v>
      </c>
      <c r="D7242" s="481">
        <v>17.407</v>
      </c>
      <c r="E7242" s="482">
        <v>16.178999999999998</v>
      </c>
      <c r="F7242" s="483" t="s">
        <v>16</v>
      </c>
      <c r="G7242" s="549"/>
      <c r="H7242" s="483" t="s">
        <v>2586</v>
      </c>
      <c r="I7242" s="484" t="s">
        <v>2614</v>
      </c>
      <c r="J7242" s="485"/>
      <c r="K7242" s="483" t="str">
        <f t="shared" si="218"/>
        <v>09,26</v>
      </c>
      <c r="L7242" s="483" t="s">
        <v>265</v>
      </c>
      <c r="M7242" s="483">
        <v>17582.64</v>
      </c>
      <c r="N7242" s="486">
        <v>4.1666666666666664E-2</v>
      </c>
      <c r="O7242" s="897" t="s">
        <v>2587</v>
      </c>
      <c r="P7242" s="867" t="s">
        <v>2684</v>
      </c>
    </row>
    <row r="7243" spans="1:16" ht="19.5" hidden="1" thickBot="1" x14ac:dyDescent="0.3">
      <c r="A7243" s="1074"/>
      <c r="B7243" s="805" t="s">
        <v>2613</v>
      </c>
      <c r="C7243" s="806" t="s">
        <v>26</v>
      </c>
      <c r="D7243" s="807">
        <v>1.4</v>
      </c>
      <c r="E7243" s="807">
        <v>1.411</v>
      </c>
      <c r="F7243" s="808" t="s">
        <v>16</v>
      </c>
      <c r="G7243" s="809" t="s">
        <v>76</v>
      </c>
      <c r="H7243" s="808" t="s">
        <v>2586</v>
      </c>
      <c r="I7243" s="808" t="s">
        <v>2614</v>
      </c>
      <c r="J7243" s="810"/>
      <c r="K7243" s="808" t="str">
        <f t="shared" si="218"/>
        <v>09,26</v>
      </c>
      <c r="L7243" s="808" t="s">
        <v>265</v>
      </c>
      <c r="M7243" s="808">
        <v>1410</v>
      </c>
      <c r="N7243" s="778">
        <v>4.1666666666666664E-2</v>
      </c>
      <c r="O7243" s="897" t="s">
        <v>2669</v>
      </c>
      <c r="P7243" s="867" t="s">
        <v>2683</v>
      </c>
    </row>
    <row r="7244" spans="1:16" ht="19.5" hidden="1" thickBot="1" x14ac:dyDescent="0.3">
      <c r="A7244" s="1066">
        <f>MAX(A7069:A7242)+1</f>
        <v>4457</v>
      </c>
      <c r="B7244" s="531" t="s">
        <v>2524</v>
      </c>
      <c r="C7244" s="532" t="s">
        <v>26</v>
      </c>
      <c r="D7244" s="533">
        <v>15.430999999999999</v>
      </c>
      <c r="E7244" s="534">
        <v>11.743</v>
      </c>
      <c r="F7244" s="535" t="s">
        <v>16</v>
      </c>
      <c r="G7244" s="536"/>
      <c r="H7244" s="535" t="s">
        <v>2586</v>
      </c>
      <c r="I7244" s="537" t="s">
        <v>2614</v>
      </c>
      <c r="J7244" s="538"/>
      <c r="K7244" s="535" t="str">
        <f t="shared" si="218"/>
        <v>09,26</v>
      </c>
      <c r="L7244" s="535" t="s">
        <v>265</v>
      </c>
      <c r="M7244" s="535">
        <v>15567.38</v>
      </c>
      <c r="N7244" s="539">
        <v>8.3333333333333329E-2</v>
      </c>
      <c r="O7244" s="897" t="s">
        <v>2588</v>
      </c>
      <c r="P7244" s="867" t="s">
        <v>2707</v>
      </c>
    </row>
    <row r="7245" spans="1:16" ht="19.5" hidden="1" thickBot="1" x14ac:dyDescent="0.3">
      <c r="A7245" s="1068"/>
      <c r="B7245" s="563" t="s">
        <v>2524</v>
      </c>
      <c r="C7245" s="564" t="s">
        <v>952</v>
      </c>
      <c r="D7245" s="565">
        <v>2.246</v>
      </c>
      <c r="E7245" s="566">
        <v>1.974</v>
      </c>
      <c r="F7245" s="567" t="s">
        <v>16</v>
      </c>
      <c r="G7245" s="568"/>
      <c r="H7245" s="567" t="s">
        <v>2586</v>
      </c>
      <c r="I7245" s="569" t="s">
        <v>2614</v>
      </c>
      <c r="J7245" s="570"/>
      <c r="K7245" s="567" t="str">
        <f t="shared" si="218"/>
        <v>09,26</v>
      </c>
      <c r="L7245" s="567" t="s">
        <v>265</v>
      </c>
      <c r="M7245" s="567">
        <v>2315.7800000000007</v>
      </c>
      <c r="N7245" s="571">
        <v>8.3333333333333329E-2</v>
      </c>
      <c r="O7245" s="897" t="s">
        <v>2589</v>
      </c>
      <c r="P7245" s="867" t="s">
        <v>2705</v>
      </c>
    </row>
    <row r="7246" spans="1:16" ht="19.5" hidden="1" thickBot="1" x14ac:dyDescent="0.3">
      <c r="A7246" s="1068"/>
      <c r="B7246" s="905" t="s">
        <v>2614</v>
      </c>
      <c r="C7246" s="906" t="s">
        <v>26</v>
      </c>
      <c r="D7246" s="907">
        <v>1.6</v>
      </c>
      <c r="E7246" s="907">
        <v>1.6459999999999999</v>
      </c>
      <c r="F7246" s="908" t="s">
        <v>16</v>
      </c>
      <c r="G7246" s="909" t="s">
        <v>76</v>
      </c>
      <c r="H7246" s="908" t="s">
        <v>2586</v>
      </c>
      <c r="I7246" s="908" t="s">
        <v>2614</v>
      </c>
      <c r="J7246" s="910"/>
      <c r="K7246" s="908" t="str">
        <f t="shared" si="218"/>
        <v>09,26</v>
      </c>
      <c r="L7246" s="908" t="s">
        <v>265</v>
      </c>
      <c r="M7246" s="908">
        <v>1620</v>
      </c>
      <c r="N7246" s="571">
        <v>8.3333333333333329E-2</v>
      </c>
      <c r="O7246" s="897" t="s">
        <v>2689</v>
      </c>
      <c r="P7246" s="867" t="s">
        <v>2708</v>
      </c>
    </row>
    <row r="7247" spans="1:16" ht="19.5" hidden="1" thickBot="1" x14ac:dyDescent="0.3">
      <c r="A7247" s="1067"/>
      <c r="B7247" s="832" t="s">
        <v>2613</v>
      </c>
      <c r="C7247" s="827" t="s">
        <v>26</v>
      </c>
      <c r="D7247" s="828">
        <v>2.1</v>
      </c>
      <c r="E7247" s="828">
        <v>2.1379999999999999</v>
      </c>
      <c r="F7247" s="829" t="s">
        <v>16</v>
      </c>
      <c r="G7247" s="830" t="s">
        <v>76</v>
      </c>
      <c r="H7247" s="829" t="s">
        <v>2586</v>
      </c>
      <c r="I7247" s="829" t="s">
        <v>2614</v>
      </c>
      <c r="J7247" s="831"/>
      <c r="K7247" s="829" t="str">
        <f t="shared" ref="K7247:K7310" si="222">RIGHT(I7247,5)</f>
        <v>09,26</v>
      </c>
      <c r="L7247" s="829" t="s">
        <v>265</v>
      </c>
      <c r="M7247" s="829">
        <v>2130</v>
      </c>
      <c r="N7247" s="644">
        <v>8.3333333333333329E-2</v>
      </c>
      <c r="O7247" s="897" t="s">
        <v>2670</v>
      </c>
      <c r="P7247" s="867" t="s">
        <v>2706</v>
      </c>
    </row>
    <row r="7248" spans="1:16" ht="57" hidden="1" thickBot="1" x14ac:dyDescent="0.3">
      <c r="A7248" s="1062">
        <f>MAX(A7071:A7247)+1</f>
        <v>4458</v>
      </c>
      <c r="B7248" s="479" t="s">
        <v>2524</v>
      </c>
      <c r="C7248" s="480" t="s">
        <v>587</v>
      </c>
      <c r="D7248" s="481">
        <v>0.96399999999999997</v>
      </c>
      <c r="E7248" s="482">
        <v>0.87</v>
      </c>
      <c r="F7248" s="483" t="s">
        <v>16</v>
      </c>
      <c r="G7248" s="549" t="s">
        <v>794</v>
      </c>
      <c r="H7248" s="483" t="s">
        <v>2586</v>
      </c>
      <c r="I7248" s="484" t="s">
        <v>2614</v>
      </c>
      <c r="J7248" s="485"/>
      <c r="K7248" s="483" t="str">
        <f t="shared" si="222"/>
        <v>09,26</v>
      </c>
      <c r="L7248" s="483" t="s">
        <v>28</v>
      </c>
      <c r="M7248" s="483">
        <v>964.8</v>
      </c>
      <c r="N7248" s="486">
        <v>0.41666666666666669</v>
      </c>
      <c r="O7248" s="897" t="s">
        <v>2596</v>
      </c>
      <c r="P7248" s="867" t="s">
        <v>2726</v>
      </c>
    </row>
    <row r="7249" spans="1:16" ht="19.5" hidden="1" thickBot="1" x14ac:dyDescent="0.3">
      <c r="A7249" s="1072"/>
      <c r="B7249" s="523" t="s">
        <v>2524</v>
      </c>
      <c r="C7249" s="524" t="s">
        <v>587</v>
      </c>
      <c r="D7249" s="525">
        <v>7.2750000000000004</v>
      </c>
      <c r="E7249" s="526">
        <v>6.6449999999999996</v>
      </c>
      <c r="F7249" s="527" t="s">
        <v>16</v>
      </c>
      <c r="G7249" s="561" t="s">
        <v>47</v>
      </c>
      <c r="H7249" s="527" t="s">
        <v>2586</v>
      </c>
      <c r="I7249" s="528" t="s">
        <v>2614</v>
      </c>
      <c r="J7249" s="529"/>
      <c r="K7249" s="527" t="str">
        <f t="shared" si="222"/>
        <v>09,26</v>
      </c>
      <c r="L7249" s="527" t="s">
        <v>28</v>
      </c>
      <c r="M7249" s="527">
        <v>7275.92</v>
      </c>
      <c r="N7249" s="530">
        <v>0.41666666666666669</v>
      </c>
      <c r="O7249" s="897" t="s">
        <v>2597</v>
      </c>
      <c r="P7249" s="867" t="s">
        <v>2727</v>
      </c>
    </row>
    <row r="7250" spans="1:16" ht="19.5" hidden="1" thickBot="1" x14ac:dyDescent="0.3">
      <c r="A7250" s="1072"/>
      <c r="B7250" s="523" t="s">
        <v>2524</v>
      </c>
      <c r="C7250" s="524" t="s">
        <v>47</v>
      </c>
      <c r="D7250" s="525">
        <v>9.3019999999999996</v>
      </c>
      <c r="E7250" s="526">
        <v>9.0429999999999993</v>
      </c>
      <c r="F7250" s="527" t="s">
        <v>16</v>
      </c>
      <c r="G7250" s="561"/>
      <c r="H7250" s="527" t="s">
        <v>2586</v>
      </c>
      <c r="I7250" s="528" t="s">
        <v>2614</v>
      </c>
      <c r="J7250" s="529"/>
      <c r="K7250" s="527" t="str">
        <f t="shared" si="222"/>
        <v>09,26</v>
      </c>
      <c r="L7250" s="527" t="s">
        <v>28</v>
      </c>
      <c r="M7250" s="527">
        <v>9418.86</v>
      </c>
      <c r="N7250" s="530">
        <v>0.41666666666666669</v>
      </c>
      <c r="O7250" s="897" t="s">
        <v>2595</v>
      </c>
      <c r="P7250" s="867" t="s">
        <v>2728</v>
      </c>
    </row>
    <row r="7251" spans="1:16" ht="19.5" hidden="1" thickBot="1" x14ac:dyDescent="0.3">
      <c r="A7251" s="1063"/>
      <c r="B7251" s="859" t="s">
        <v>2586</v>
      </c>
      <c r="C7251" s="854" t="s">
        <v>47</v>
      </c>
      <c r="D7251" s="855">
        <v>0.8</v>
      </c>
      <c r="E7251" s="855">
        <v>0.81100000000000005</v>
      </c>
      <c r="F7251" s="856" t="s">
        <v>16</v>
      </c>
      <c r="G7251" s="857" t="s">
        <v>76</v>
      </c>
      <c r="H7251" s="856" t="s">
        <v>2586</v>
      </c>
      <c r="I7251" s="856" t="s">
        <v>2614</v>
      </c>
      <c r="J7251" s="858"/>
      <c r="K7251" s="856" t="str">
        <f t="shared" si="222"/>
        <v>09,26</v>
      </c>
      <c r="L7251" s="856" t="s">
        <v>28</v>
      </c>
      <c r="M7251" s="856">
        <v>810</v>
      </c>
      <c r="N7251" s="653">
        <v>0.41666666666666669</v>
      </c>
      <c r="O7251" s="897" t="s">
        <v>2649</v>
      </c>
      <c r="P7251" s="867" t="s">
        <v>2729</v>
      </c>
    </row>
    <row r="7252" spans="1:16" ht="19.5" hidden="1" thickBot="1" x14ac:dyDescent="0.3">
      <c r="A7252" s="1066">
        <f>MAX(A7074:A7251)+1</f>
        <v>4459</v>
      </c>
      <c r="B7252" s="531" t="s">
        <v>2524</v>
      </c>
      <c r="C7252" s="532" t="s">
        <v>913</v>
      </c>
      <c r="D7252" s="533">
        <v>1.55</v>
      </c>
      <c r="E7252" s="534">
        <v>1.4430000000000001</v>
      </c>
      <c r="F7252" s="535" t="s">
        <v>16</v>
      </c>
      <c r="G7252" s="536"/>
      <c r="H7252" s="535" t="s">
        <v>2586</v>
      </c>
      <c r="I7252" s="537" t="s">
        <v>2586</v>
      </c>
      <c r="J7252" s="538"/>
      <c r="K7252" s="535" t="str">
        <f t="shared" si="222"/>
        <v>09,26</v>
      </c>
      <c r="L7252" s="535" t="s">
        <v>266</v>
      </c>
      <c r="M7252" s="535">
        <v>1556.3</v>
      </c>
      <c r="N7252" s="539">
        <v>0.45833333333333331</v>
      </c>
      <c r="O7252" s="897" t="s">
        <v>2599</v>
      </c>
      <c r="P7252" s="867" t="s">
        <v>2653</v>
      </c>
    </row>
    <row r="7253" spans="1:16" ht="19.5" hidden="1" thickBot="1" x14ac:dyDescent="0.3">
      <c r="A7253" s="1068"/>
      <c r="B7253" s="563" t="s">
        <v>2524</v>
      </c>
      <c r="C7253" s="564" t="s">
        <v>23</v>
      </c>
      <c r="D7253" s="565">
        <v>16.050999999999998</v>
      </c>
      <c r="E7253" s="566">
        <v>15.628</v>
      </c>
      <c r="F7253" s="567" t="s">
        <v>16</v>
      </c>
      <c r="G7253" s="568"/>
      <c r="H7253" s="567" t="s">
        <v>2586</v>
      </c>
      <c r="I7253" s="569" t="s">
        <v>2614</v>
      </c>
      <c r="J7253" s="570"/>
      <c r="K7253" s="567" t="str">
        <f t="shared" si="222"/>
        <v>09,26</v>
      </c>
      <c r="L7253" s="567" t="s">
        <v>28</v>
      </c>
      <c r="M7253" s="567">
        <v>16165.960000000001</v>
      </c>
      <c r="N7253" s="571">
        <v>0.45833333333333331</v>
      </c>
      <c r="O7253" s="897" t="s">
        <v>2598</v>
      </c>
      <c r="P7253" s="867" t="s">
        <v>2730</v>
      </c>
    </row>
    <row r="7254" spans="1:16" ht="19.5" hidden="1" thickBot="1" x14ac:dyDescent="0.3">
      <c r="A7254" s="1068"/>
      <c r="B7254" s="905" t="s">
        <v>2613</v>
      </c>
      <c r="C7254" s="906" t="s">
        <v>23</v>
      </c>
      <c r="D7254" s="907">
        <v>1.2</v>
      </c>
      <c r="E7254" s="907">
        <v>1.2010000000000001</v>
      </c>
      <c r="F7254" s="908" t="s">
        <v>16</v>
      </c>
      <c r="G7254" s="909" t="s">
        <v>76</v>
      </c>
      <c r="H7254" s="908" t="s">
        <v>2586</v>
      </c>
      <c r="I7254" s="908" t="s">
        <v>2614</v>
      </c>
      <c r="J7254" s="910"/>
      <c r="K7254" s="908" t="str">
        <f t="shared" si="222"/>
        <v>09,26</v>
      </c>
      <c r="L7254" s="908" t="s">
        <v>28</v>
      </c>
      <c r="M7254" s="908">
        <v>1200</v>
      </c>
      <c r="N7254" s="571">
        <v>0.45833333333333331</v>
      </c>
      <c r="O7254" s="897" t="s">
        <v>2674</v>
      </c>
      <c r="P7254" s="867" t="s">
        <v>2732</v>
      </c>
    </row>
    <row r="7255" spans="1:16" ht="19.5" hidden="1" thickBot="1" x14ac:dyDescent="0.3">
      <c r="A7255" s="1067"/>
      <c r="B7255" s="832" t="s">
        <v>2586</v>
      </c>
      <c r="C7255" s="827" t="s">
        <v>23</v>
      </c>
      <c r="D7255" s="828">
        <v>0.6</v>
      </c>
      <c r="E7255" s="828">
        <v>0.60099999999999998</v>
      </c>
      <c r="F7255" s="829" t="s">
        <v>16</v>
      </c>
      <c r="G7255" s="830" t="s">
        <v>76</v>
      </c>
      <c r="H7255" s="829" t="s">
        <v>2586</v>
      </c>
      <c r="I7255" s="829" t="s">
        <v>2614</v>
      </c>
      <c r="J7255" s="831"/>
      <c r="K7255" s="829" t="str">
        <f t="shared" si="222"/>
        <v>09,26</v>
      </c>
      <c r="L7255" s="829" t="s">
        <v>28</v>
      </c>
      <c r="M7255" s="829">
        <v>600</v>
      </c>
      <c r="N7255" s="644">
        <v>0.45833333333333331</v>
      </c>
      <c r="O7255" s="897" t="s">
        <v>2650</v>
      </c>
      <c r="P7255" s="867" t="s">
        <v>2731</v>
      </c>
    </row>
    <row r="7256" spans="1:16" ht="19.5" hidden="1" thickBot="1" x14ac:dyDescent="0.3">
      <c r="A7256" s="1073">
        <f>MAX(A7076:A7255)+1</f>
        <v>4460</v>
      </c>
      <c r="B7256" s="610" t="s">
        <v>2524</v>
      </c>
      <c r="C7256" s="480" t="s">
        <v>15</v>
      </c>
      <c r="D7256" s="481">
        <v>17.529</v>
      </c>
      <c r="E7256" s="482">
        <v>17.158000000000001</v>
      </c>
      <c r="F7256" s="483" t="s">
        <v>16</v>
      </c>
      <c r="G7256" s="549"/>
      <c r="H7256" s="483" t="s">
        <v>2586</v>
      </c>
      <c r="I7256" s="484" t="s">
        <v>2663</v>
      </c>
      <c r="J7256" s="485"/>
      <c r="K7256" s="483" t="str">
        <f t="shared" si="222"/>
        <v>09,26</v>
      </c>
      <c r="L7256" s="483" t="s">
        <v>28</v>
      </c>
      <c r="M7256" s="483">
        <v>17727.21</v>
      </c>
      <c r="N7256" s="486">
        <v>0.5</v>
      </c>
      <c r="O7256" s="897" t="s">
        <v>2600</v>
      </c>
      <c r="P7256" s="867" t="s">
        <v>2736</v>
      </c>
    </row>
    <row r="7257" spans="1:16" ht="19.5" hidden="1" thickBot="1" x14ac:dyDescent="0.3">
      <c r="A7257" s="1074"/>
      <c r="B7257" s="805" t="s">
        <v>2586</v>
      </c>
      <c r="C7257" s="806" t="s">
        <v>15</v>
      </c>
      <c r="D7257" s="807">
        <v>0.5</v>
      </c>
      <c r="E7257" s="807">
        <v>0.50900000000000001</v>
      </c>
      <c r="F7257" s="808" t="s">
        <v>16</v>
      </c>
      <c r="G7257" s="857" t="s">
        <v>76</v>
      </c>
      <c r="H7257" s="808" t="s">
        <v>2586</v>
      </c>
      <c r="I7257" s="808" t="s">
        <v>2663</v>
      </c>
      <c r="J7257" s="810"/>
      <c r="K7257" s="808" t="str">
        <f t="shared" si="222"/>
        <v>09,26</v>
      </c>
      <c r="L7257" s="808" t="s">
        <v>28</v>
      </c>
      <c r="M7257" s="808">
        <v>510</v>
      </c>
      <c r="N7257" s="778">
        <v>0.5</v>
      </c>
      <c r="O7257" s="897" t="s">
        <v>2648</v>
      </c>
      <c r="P7257" s="867" t="s">
        <v>2737</v>
      </c>
    </row>
    <row r="7258" spans="1:16" ht="19.5" hidden="1" thickBot="1" x14ac:dyDescent="0.3">
      <c r="A7258" s="503">
        <f>MAX(A7077:A7256)+1</f>
        <v>4461</v>
      </c>
      <c r="B7258" s="504" t="s">
        <v>2564</v>
      </c>
      <c r="C7258" s="505" t="s">
        <v>26</v>
      </c>
      <c r="D7258" s="506">
        <v>15.423</v>
      </c>
      <c r="E7258" s="507">
        <v>15.423</v>
      </c>
      <c r="F7258" s="508" t="s">
        <v>30</v>
      </c>
      <c r="G7258" s="509"/>
      <c r="H7258" s="508" t="s">
        <v>2586</v>
      </c>
      <c r="I7258" s="510" t="s">
        <v>2586</v>
      </c>
      <c r="J7258" s="511"/>
      <c r="K7258" s="508" t="str">
        <f t="shared" si="222"/>
        <v>09,26</v>
      </c>
      <c r="L7258" s="508" t="s">
        <v>265</v>
      </c>
      <c r="M7258" s="508">
        <v>15423.2</v>
      </c>
      <c r="N7258" s="512">
        <v>4.1666666666666664E-2</v>
      </c>
      <c r="O7258" s="897" t="s">
        <v>2615</v>
      </c>
      <c r="P7258" s="867" t="s">
        <v>2651</v>
      </c>
    </row>
    <row r="7259" spans="1:16" ht="19.5" hidden="1" thickBot="1" x14ac:dyDescent="0.3">
      <c r="A7259" s="1062">
        <f>MAX(A7078:A7258)+1</f>
        <v>4462</v>
      </c>
      <c r="B7259" s="479" t="s">
        <v>2564</v>
      </c>
      <c r="C7259" s="480" t="s">
        <v>26</v>
      </c>
      <c r="D7259" s="481">
        <v>17.606000000000002</v>
      </c>
      <c r="E7259" s="482">
        <v>14.776</v>
      </c>
      <c r="F7259" s="483" t="s">
        <v>16</v>
      </c>
      <c r="G7259" s="549"/>
      <c r="H7259" s="483" t="s">
        <v>2613</v>
      </c>
      <c r="I7259" s="484" t="s">
        <v>2614</v>
      </c>
      <c r="J7259" s="485"/>
      <c r="K7259" s="483" t="str">
        <f t="shared" si="222"/>
        <v>09,26</v>
      </c>
      <c r="L7259" s="483" t="s">
        <v>265</v>
      </c>
      <c r="M7259" s="483">
        <v>17751.039999999997</v>
      </c>
      <c r="N7259" s="486">
        <v>4.1666666666666664E-2</v>
      </c>
      <c r="O7259" s="897" t="s">
        <v>2619</v>
      </c>
      <c r="P7259" s="867" t="s">
        <v>2695</v>
      </c>
    </row>
    <row r="7260" spans="1:16" ht="19.5" hidden="1" thickBot="1" x14ac:dyDescent="0.3">
      <c r="A7260" s="1072"/>
      <c r="B7260" s="985" t="s">
        <v>2614</v>
      </c>
      <c r="C7260" s="986" t="s">
        <v>26</v>
      </c>
      <c r="D7260" s="987">
        <v>0.4</v>
      </c>
      <c r="E7260" s="987" t="s">
        <v>1496</v>
      </c>
      <c r="F7260" s="988" t="s">
        <v>16</v>
      </c>
      <c r="G7260" s="989" t="s">
        <v>76</v>
      </c>
      <c r="H7260" s="988" t="s">
        <v>2613</v>
      </c>
      <c r="I7260" s="988" t="s">
        <v>1496</v>
      </c>
      <c r="J7260" s="990"/>
      <c r="K7260" s="988" t="str">
        <f t="shared" si="222"/>
        <v>тмена</v>
      </c>
      <c r="L7260" s="988" t="s">
        <v>265</v>
      </c>
      <c r="M7260" s="988">
        <v>420</v>
      </c>
      <c r="N7260" s="919">
        <v>4.1666666666666664E-2</v>
      </c>
      <c r="O7260" s="920" t="s">
        <v>2690</v>
      </c>
      <c r="P7260" s="921" t="s">
        <v>1024</v>
      </c>
    </row>
    <row r="7261" spans="1:16" ht="19.5" hidden="1" thickBot="1" x14ac:dyDescent="0.3">
      <c r="A7261" s="1063"/>
      <c r="B7261" s="887" t="s">
        <v>2613</v>
      </c>
      <c r="C7261" s="806" t="s">
        <v>26</v>
      </c>
      <c r="D7261" s="807">
        <v>2.2000000000000002</v>
      </c>
      <c r="E7261" s="807">
        <v>2.2189999999999999</v>
      </c>
      <c r="F7261" s="808" t="s">
        <v>16</v>
      </c>
      <c r="G7261" s="809" t="s">
        <v>76</v>
      </c>
      <c r="H7261" s="808" t="s">
        <v>2613</v>
      </c>
      <c r="I7261" s="808" t="s">
        <v>2614</v>
      </c>
      <c r="J7261" s="810"/>
      <c r="K7261" s="808" t="str">
        <f t="shared" si="222"/>
        <v>09,26</v>
      </c>
      <c r="L7261" s="808" t="s">
        <v>265</v>
      </c>
      <c r="M7261" s="808">
        <v>2220</v>
      </c>
      <c r="N7261" s="778">
        <v>4.1666666666666664E-2</v>
      </c>
      <c r="O7261" s="897" t="s">
        <v>2671</v>
      </c>
      <c r="P7261" s="867" t="s">
        <v>2696</v>
      </c>
    </row>
    <row r="7262" spans="1:16" ht="19.5" hidden="1" thickBot="1" x14ac:dyDescent="0.3">
      <c r="A7262" s="1066">
        <f>MAX(A7079:A7259)+1</f>
        <v>4463</v>
      </c>
      <c r="B7262" s="531" t="s">
        <v>2564</v>
      </c>
      <c r="C7262" s="532" t="s">
        <v>26</v>
      </c>
      <c r="D7262" s="533">
        <v>10.585000000000001</v>
      </c>
      <c r="E7262" s="534">
        <v>8.5050000000000008</v>
      </c>
      <c r="F7262" s="535" t="s">
        <v>16</v>
      </c>
      <c r="G7262" s="536"/>
      <c r="H7262" s="535" t="s">
        <v>2613</v>
      </c>
      <c r="I7262" s="537" t="s">
        <v>2614</v>
      </c>
      <c r="J7262" s="538"/>
      <c r="K7262" s="535" t="str">
        <f t="shared" si="222"/>
        <v>09,26</v>
      </c>
      <c r="L7262" s="535" t="s">
        <v>265</v>
      </c>
      <c r="M7262" s="535">
        <v>10686.22</v>
      </c>
      <c r="N7262" s="539">
        <v>8.3333333333333329E-2</v>
      </c>
      <c r="O7262" s="897" t="s">
        <v>2621</v>
      </c>
      <c r="P7262" s="867" t="s">
        <v>2704</v>
      </c>
    </row>
    <row r="7263" spans="1:16" ht="19.5" hidden="1" thickBot="1" x14ac:dyDescent="0.3">
      <c r="A7263" s="1068"/>
      <c r="B7263" s="563" t="s">
        <v>2564</v>
      </c>
      <c r="C7263" s="564" t="s">
        <v>1358</v>
      </c>
      <c r="D7263" s="565">
        <v>2.1509999999999998</v>
      </c>
      <c r="E7263" s="566">
        <v>1.869</v>
      </c>
      <c r="F7263" s="567" t="s">
        <v>16</v>
      </c>
      <c r="G7263" s="568" t="s">
        <v>844</v>
      </c>
      <c r="H7263" s="567" t="s">
        <v>2613</v>
      </c>
      <c r="I7263" s="569" t="s">
        <v>2614</v>
      </c>
      <c r="J7263" s="570"/>
      <c r="K7263" s="567" t="str">
        <f t="shared" si="222"/>
        <v>09,26</v>
      </c>
      <c r="L7263" s="567" t="s">
        <v>265</v>
      </c>
      <c r="M7263" s="567">
        <v>2259.3000000000002</v>
      </c>
      <c r="N7263" s="571">
        <v>8.3333333333333329E-2</v>
      </c>
      <c r="O7263" s="897" t="s">
        <v>2622</v>
      </c>
      <c r="P7263" s="867" t="s">
        <v>2701</v>
      </c>
    </row>
    <row r="7264" spans="1:16" ht="19.5" hidden="1" thickBot="1" x14ac:dyDescent="0.3">
      <c r="A7264" s="1068"/>
      <c r="B7264" s="563" t="s">
        <v>2564</v>
      </c>
      <c r="C7264" s="564" t="s">
        <v>1358</v>
      </c>
      <c r="D7264" s="565">
        <v>4.8019999999999996</v>
      </c>
      <c r="E7264" s="566">
        <v>3.194</v>
      </c>
      <c r="F7264" s="567" t="s">
        <v>16</v>
      </c>
      <c r="G7264" s="568" t="s">
        <v>845</v>
      </c>
      <c r="H7264" s="567" t="s">
        <v>2613</v>
      </c>
      <c r="I7264" s="569" t="s">
        <v>2614</v>
      </c>
      <c r="J7264" s="570"/>
      <c r="K7264" s="567" t="str">
        <f t="shared" si="222"/>
        <v>09,26</v>
      </c>
      <c r="L7264" s="567" t="s">
        <v>265</v>
      </c>
      <c r="M7264" s="567">
        <v>4914</v>
      </c>
      <c r="N7264" s="571">
        <v>8.3333333333333329E-2</v>
      </c>
      <c r="O7264" s="897" t="s">
        <v>2623</v>
      </c>
      <c r="P7264" s="867" t="s">
        <v>2702</v>
      </c>
    </row>
    <row r="7265" spans="1:16" ht="19.5" hidden="1" thickBot="1" x14ac:dyDescent="0.3">
      <c r="A7265" s="1068"/>
      <c r="B7265" s="905" t="s">
        <v>2614</v>
      </c>
      <c r="C7265" s="906" t="s">
        <v>26</v>
      </c>
      <c r="D7265" s="907">
        <v>0.75</v>
      </c>
      <c r="E7265" s="907">
        <v>0.76100000000000001</v>
      </c>
      <c r="F7265" s="908" t="s">
        <v>16</v>
      </c>
      <c r="G7265" s="909" t="s">
        <v>76</v>
      </c>
      <c r="H7265" s="908" t="s">
        <v>2613</v>
      </c>
      <c r="I7265" s="908" t="s">
        <v>2614</v>
      </c>
      <c r="J7265" s="910"/>
      <c r="K7265" s="908" t="str">
        <f t="shared" si="222"/>
        <v>09,26</v>
      </c>
      <c r="L7265" s="908" t="s">
        <v>265</v>
      </c>
      <c r="M7265" s="908">
        <v>765</v>
      </c>
      <c r="N7265" s="571">
        <v>8.3333333333333329E-2</v>
      </c>
      <c r="O7265" s="897" t="s">
        <v>2691</v>
      </c>
      <c r="P7265" s="867" t="s">
        <v>2700</v>
      </c>
    </row>
    <row r="7266" spans="1:16" ht="19.5" hidden="1" thickBot="1" x14ac:dyDescent="0.3">
      <c r="A7266" s="1067"/>
      <c r="B7266" s="832" t="s">
        <v>2613</v>
      </c>
      <c r="C7266" s="827" t="s">
        <v>26</v>
      </c>
      <c r="D7266" s="828">
        <v>3.9</v>
      </c>
      <c r="E7266" s="828">
        <v>3.9449999999999998</v>
      </c>
      <c r="F7266" s="829" t="s">
        <v>16</v>
      </c>
      <c r="G7266" s="830" t="s">
        <v>76</v>
      </c>
      <c r="H7266" s="829" t="s">
        <v>2613</v>
      </c>
      <c r="I7266" s="829" t="s">
        <v>2614</v>
      </c>
      <c r="J7266" s="831"/>
      <c r="K7266" s="829" t="str">
        <f t="shared" si="222"/>
        <v>09,26</v>
      </c>
      <c r="L7266" s="829" t="s">
        <v>265</v>
      </c>
      <c r="M7266" s="829">
        <v>3930</v>
      </c>
      <c r="N7266" s="644">
        <v>8.3333333333333329E-2</v>
      </c>
      <c r="O7266" s="897" t="s">
        <v>2672</v>
      </c>
      <c r="P7266" s="867" t="s">
        <v>2703</v>
      </c>
    </row>
    <row r="7267" spans="1:16" ht="19.5" hidden="1" thickBot="1" x14ac:dyDescent="0.3">
      <c r="A7267" s="1062">
        <f>MAX(A7082:A7266)+1</f>
        <v>4464</v>
      </c>
      <c r="B7267" s="479" t="s">
        <v>2564</v>
      </c>
      <c r="C7267" s="480" t="s">
        <v>15</v>
      </c>
      <c r="D7267" s="481">
        <v>9.3030000000000008</v>
      </c>
      <c r="E7267" s="482">
        <v>7.9249999999999998</v>
      </c>
      <c r="F7267" s="483" t="s">
        <v>16</v>
      </c>
      <c r="G7267" s="549"/>
      <c r="H7267" s="483" t="s">
        <v>2613</v>
      </c>
      <c r="I7267" s="484" t="s">
        <v>2709</v>
      </c>
      <c r="J7267" s="485"/>
      <c r="K7267" s="483" t="str">
        <f t="shared" si="222"/>
        <v>09,26</v>
      </c>
      <c r="L7267" s="483" t="s">
        <v>28</v>
      </c>
      <c r="M7267" s="483">
        <v>9525.1799999999985</v>
      </c>
      <c r="N7267" s="486">
        <v>0.41666666666666669</v>
      </c>
      <c r="O7267" s="897" t="s">
        <v>2629</v>
      </c>
      <c r="P7267" s="867" t="s">
        <v>2773</v>
      </c>
    </row>
    <row r="7268" spans="1:16" ht="19.5" hidden="1" thickBot="1" x14ac:dyDescent="0.3">
      <c r="A7268" s="1072"/>
      <c r="B7268" s="523" t="s">
        <v>2564</v>
      </c>
      <c r="C7268" s="524" t="s">
        <v>24</v>
      </c>
      <c r="D7268" s="525">
        <v>8.202</v>
      </c>
      <c r="E7268" s="526">
        <v>7.5759999999999996</v>
      </c>
      <c r="F7268" s="527" t="s">
        <v>16</v>
      </c>
      <c r="G7268" s="561"/>
      <c r="H7268" s="527" t="s">
        <v>2613</v>
      </c>
      <c r="I7268" s="528" t="s">
        <v>2709</v>
      </c>
      <c r="J7268" s="529"/>
      <c r="K7268" s="527" t="str">
        <f t="shared" si="222"/>
        <v>09,26</v>
      </c>
      <c r="L7268" s="527" t="s">
        <v>28</v>
      </c>
      <c r="M7268" s="527">
        <v>8393.86</v>
      </c>
      <c r="N7268" s="530">
        <v>0.41666666666666669</v>
      </c>
      <c r="O7268" s="897" t="s">
        <v>2628</v>
      </c>
      <c r="P7268" s="867" t="s">
        <v>2774</v>
      </c>
    </row>
    <row r="7269" spans="1:16" ht="19.5" hidden="1" thickBot="1" x14ac:dyDescent="0.3">
      <c r="A7269" s="1072"/>
      <c r="B7269" s="944" t="s">
        <v>2709</v>
      </c>
      <c r="C7269" s="945" t="s">
        <v>24</v>
      </c>
      <c r="D7269" s="946">
        <v>0.7</v>
      </c>
      <c r="E7269" s="946">
        <v>0.71699999999999997</v>
      </c>
      <c r="F7269" s="947" t="s">
        <v>16</v>
      </c>
      <c r="G7269" s="948" t="s">
        <v>76</v>
      </c>
      <c r="H7269" s="947" t="s">
        <v>2613</v>
      </c>
      <c r="I7269" s="947" t="s">
        <v>2709</v>
      </c>
      <c r="J7269" s="949"/>
      <c r="K7269" s="947" t="str">
        <f t="shared" si="222"/>
        <v>09,26</v>
      </c>
      <c r="L7269" s="947" t="s">
        <v>28</v>
      </c>
      <c r="M7269" s="947">
        <v>705</v>
      </c>
      <c r="N7269" s="530">
        <v>0.41666666666666669</v>
      </c>
      <c r="O7269" s="897" t="s">
        <v>2762</v>
      </c>
      <c r="P7269" s="867" t="s">
        <v>2776</v>
      </c>
    </row>
    <row r="7270" spans="1:16" ht="19.5" hidden="1" thickBot="1" x14ac:dyDescent="0.3">
      <c r="A7270" s="1063"/>
      <c r="B7270" s="859" t="s">
        <v>2613</v>
      </c>
      <c r="C7270" s="854" t="s">
        <v>15</v>
      </c>
      <c r="D7270" s="855">
        <v>1.5</v>
      </c>
      <c r="E7270" s="855">
        <v>1.51</v>
      </c>
      <c r="F7270" s="856" t="s">
        <v>16</v>
      </c>
      <c r="G7270" s="857" t="s">
        <v>76</v>
      </c>
      <c r="H7270" s="856" t="s">
        <v>2613</v>
      </c>
      <c r="I7270" s="856" t="s">
        <v>2709</v>
      </c>
      <c r="J7270" s="858"/>
      <c r="K7270" s="856" t="str">
        <f t="shared" si="222"/>
        <v>09,26</v>
      </c>
      <c r="L7270" s="856" t="s">
        <v>28</v>
      </c>
      <c r="M7270" s="856">
        <v>1500</v>
      </c>
      <c r="N7270" s="653">
        <v>0.41666666666666669</v>
      </c>
      <c r="O7270" s="897" t="s">
        <v>2673</v>
      </c>
      <c r="P7270" s="867" t="s">
        <v>2775</v>
      </c>
    </row>
    <row r="7271" spans="1:16" ht="19.5" hidden="1" thickBot="1" x14ac:dyDescent="0.3">
      <c r="A7271" s="1059">
        <f>MAX(A7084:A7270)+1</f>
        <v>4465</v>
      </c>
      <c r="B7271" s="760" t="s">
        <v>2564</v>
      </c>
      <c r="C7271" s="564" t="s">
        <v>23</v>
      </c>
      <c r="D7271" s="565">
        <v>17.399999999999999</v>
      </c>
      <c r="E7271" s="566">
        <v>16.966999999999999</v>
      </c>
      <c r="F7271" s="567" t="s">
        <v>16</v>
      </c>
      <c r="G7271" s="568"/>
      <c r="H7271" s="567" t="s">
        <v>2613</v>
      </c>
      <c r="I7271" s="569" t="s">
        <v>2614</v>
      </c>
      <c r="J7271" s="570"/>
      <c r="K7271" s="567" t="str">
        <f t="shared" si="222"/>
        <v>09,26</v>
      </c>
      <c r="L7271" s="567" t="s">
        <v>28</v>
      </c>
      <c r="M7271" s="567">
        <v>17593.480000000003</v>
      </c>
      <c r="N7271" s="571">
        <v>0.45833333333333331</v>
      </c>
      <c r="O7271" s="897" t="s">
        <v>2630</v>
      </c>
      <c r="P7271" s="867" t="s">
        <v>2724</v>
      </c>
    </row>
    <row r="7272" spans="1:16" ht="19.5" hidden="1" thickBot="1" x14ac:dyDescent="0.3">
      <c r="A7272" s="1061"/>
      <c r="B7272" s="798" t="s">
        <v>2613</v>
      </c>
      <c r="C7272" s="799" t="s">
        <v>23</v>
      </c>
      <c r="D7272" s="800">
        <v>0.6</v>
      </c>
      <c r="E7272" s="800">
        <v>0.59899999999999998</v>
      </c>
      <c r="F7272" s="801" t="s">
        <v>16</v>
      </c>
      <c r="G7272" s="802" t="s">
        <v>76</v>
      </c>
      <c r="H7272" s="801" t="s">
        <v>2613</v>
      </c>
      <c r="I7272" s="801" t="s">
        <v>2614</v>
      </c>
      <c r="J7272" s="803"/>
      <c r="K7272" s="801" t="str">
        <f t="shared" si="222"/>
        <v>09,26</v>
      </c>
      <c r="L7272" s="801" t="s">
        <v>28</v>
      </c>
      <c r="M7272" s="801">
        <v>600</v>
      </c>
      <c r="N7272" s="804">
        <v>0.45833333333333331</v>
      </c>
      <c r="O7272" s="897" t="s">
        <v>2675</v>
      </c>
      <c r="P7272" s="867" t="s">
        <v>2725</v>
      </c>
    </row>
    <row r="7273" spans="1:16" ht="19.5" hidden="1" thickBot="1" x14ac:dyDescent="0.3">
      <c r="A7273" s="1073">
        <f>MAX(A7085:A7271)+1</f>
        <v>4466</v>
      </c>
      <c r="B7273" s="610" t="s">
        <v>2564</v>
      </c>
      <c r="C7273" s="480" t="s">
        <v>47</v>
      </c>
      <c r="D7273" s="481">
        <v>17.597999999999999</v>
      </c>
      <c r="E7273" s="482">
        <v>16.617999999999999</v>
      </c>
      <c r="F7273" s="483" t="s">
        <v>16</v>
      </c>
      <c r="G7273" s="549"/>
      <c r="H7273" s="483" t="s">
        <v>2613</v>
      </c>
      <c r="I7273" s="484" t="s">
        <v>2614</v>
      </c>
      <c r="J7273" s="485"/>
      <c r="K7273" s="483" t="str">
        <f t="shared" si="222"/>
        <v>09,26</v>
      </c>
      <c r="L7273" s="483" t="s">
        <v>28</v>
      </c>
      <c r="M7273" s="483">
        <v>17815.55</v>
      </c>
      <c r="N7273" s="486">
        <v>0.5</v>
      </c>
      <c r="O7273" s="897" t="s">
        <v>2631</v>
      </c>
      <c r="P7273" s="867" t="s">
        <v>2721</v>
      </c>
    </row>
    <row r="7274" spans="1:16" ht="19.5" hidden="1" thickBot="1" x14ac:dyDescent="0.3">
      <c r="A7274" s="1074"/>
      <c r="B7274" s="805" t="s">
        <v>2613</v>
      </c>
      <c r="C7274" s="806" t="s">
        <v>47</v>
      </c>
      <c r="D7274" s="807">
        <v>1.1100000000000001</v>
      </c>
      <c r="E7274" s="807">
        <v>1.1160000000000001</v>
      </c>
      <c r="F7274" s="808" t="s">
        <v>16</v>
      </c>
      <c r="G7274" s="857" t="s">
        <v>76</v>
      </c>
      <c r="H7274" s="808" t="s">
        <v>2613</v>
      </c>
      <c r="I7274" s="808" t="s">
        <v>2614</v>
      </c>
      <c r="J7274" s="810"/>
      <c r="K7274" s="808" t="str">
        <f t="shared" si="222"/>
        <v>09,26</v>
      </c>
      <c r="L7274" s="808" t="s">
        <v>28</v>
      </c>
      <c r="M7274" s="808">
        <v>1110</v>
      </c>
      <c r="N7274" s="778">
        <v>0.5</v>
      </c>
      <c r="O7274" s="897" t="s">
        <v>2676</v>
      </c>
      <c r="P7274" s="867" t="s">
        <v>2722</v>
      </c>
    </row>
    <row r="7275" spans="1:16" ht="19.5" hidden="1" thickBot="1" x14ac:dyDescent="0.3">
      <c r="A7275" s="1066">
        <f>MAX(A7086:A7273)+1</f>
        <v>4467</v>
      </c>
      <c r="B7275" s="531" t="s">
        <v>2564</v>
      </c>
      <c r="C7275" s="532" t="s">
        <v>23</v>
      </c>
      <c r="D7275" s="533">
        <v>6.44</v>
      </c>
      <c r="E7275" s="534">
        <v>6.44</v>
      </c>
      <c r="F7275" s="535" t="s">
        <v>30</v>
      </c>
      <c r="G7275" s="536"/>
      <c r="H7275" s="535" t="s">
        <v>2613</v>
      </c>
      <c r="I7275" s="537" t="s">
        <v>2709</v>
      </c>
      <c r="J7275" s="538"/>
      <c r="K7275" s="535" t="str">
        <f t="shared" si="222"/>
        <v>09,26</v>
      </c>
      <c r="L7275" s="535" t="s">
        <v>28</v>
      </c>
      <c r="M7275" s="535">
        <v>6440.84</v>
      </c>
      <c r="N7275" s="539">
        <v>0.41666666666666669</v>
      </c>
      <c r="O7275" s="897" t="s">
        <v>2624</v>
      </c>
      <c r="P7275" s="867" t="s">
        <v>2827</v>
      </c>
    </row>
    <row r="7276" spans="1:16" ht="19.5" hidden="1" thickBot="1" x14ac:dyDescent="0.3">
      <c r="A7276" s="1067"/>
      <c r="B7276" s="636" t="s">
        <v>2564</v>
      </c>
      <c r="C7276" s="637" t="s">
        <v>587</v>
      </c>
      <c r="D7276" s="638">
        <v>6.43</v>
      </c>
      <c r="E7276" s="639">
        <v>6.3719999999999999</v>
      </c>
      <c r="F7276" s="640" t="s">
        <v>30</v>
      </c>
      <c r="G7276" s="641" t="s">
        <v>23</v>
      </c>
      <c r="H7276" s="640" t="s">
        <v>2613</v>
      </c>
      <c r="I7276" s="642" t="s">
        <v>2709</v>
      </c>
      <c r="J7276" s="643"/>
      <c r="K7276" s="640" t="str">
        <f t="shared" si="222"/>
        <v>09,26</v>
      </c>
      <c r="L7276" s="640" t="s">
        <v>28</v>
      </c>
      <c r="M7276" s="640">
        <v>6430.28</v>
      </c>
      <c r="N7276" s="644">
        <v>0.41666666666666669</v>
      </c>
      <c r="O7276" s="897" t="s">
        <v>2627</v>
      </c>
      <c r="P7276" s="867" t="s">
        <v>2828</v>
      </c>
    </row>
    <row r="7277" spans="1:16" ht="19.5" hidden="1" thickBot="1" x14ac:dyDescent="0.3">
      <c r="A7277" s="513">
        <f>MAX(A7088:A7276)+1</f>
        <v>4468</v>
      </c>
      <c r="B7277" s="514" t="s">
        <v>2564</v>
      </c>
      <c r="C7277" s="515" t="s">
        <v>26</v>
      </c>
      <c r="D7277" s="516">
        <v>15.627000000000001</v>
      </c>
      <c r="E7277" s="517">
        <v>15.627000000000001</v>
      </c>
      <c r="F7277" s="518" t="s">
        <v>30</v>
      </c>
      <c r="G7277" s="519"/>
      <c r="H7277" s="518" t="s">
        <v>2614</v>
      </c>
      <c r="I7277" s="520" t="s">
        <v>2614</v>
      </c>
      <c r="J7277" s="521"/>
      <c r="K7277" s="518" t="str">
        <f t="shared" si="222"/>
        <v>09,26</v>
      </c>
      <c r="L7277" s="518" t="s">
        <v>265</v>
      </c>
      <c r="M7277" s="518">
        <v>15627.560000000001</v>
      </c>
      <c r="N7277" s="522">
        <v>4.1666666666666664E-2</v>
      </c>
      <c r="O7277" s="897" t="s">
        <v>2616</v>
      </c>
      <c r="P7277" s="867" t="s">
        <v>2697</v>
      </c>
    </row>
    <row r="7278" spans="1:16" ht="19.5" hidden="1" thickBot="1" x14ac:dyDescent="0.3">
      <c r="A7278" s="1059">
        <f>MAX(A7089:A7277)+1</f>
        <v>4469</v>
      </c>
      <c r="B7278" s="760" t="s">
        <v>2564</v>
      </c>
      <c r="C7278" s="564" t="s">
        <v>26</v>
      </c>
      <c r="D7278" s="565">
        <v>18.628</v>
      </c>
      <c r="E7278" s="566">
        <v>15.15</v>
      </c>
      <c r="F7278" s="567" t="s">
        <v>16</v>
      </c>
      <c r="G7278" s="568"/>
      <c r="H7278" s="567" t="s">
        <v>2614</v>
      </c>
      <c r="I7278" s="569" t="s">
        <v>2614</v>
      </c>
      <c r="J7278" s="570"/>
      <c r="K7278" s="567" t="str">
        <f t="shared" si="222"/>
        <v>09,26</v>
      </c>
      <c r="L7278" s="567" t="s">
        <v>265</v>
      </c>
      <c r="M7278" s="567">
        <v>18819.259999999998</v>
      </c>
      <c r="N7278" s="571">
        <v>4.1666666666666664E-2</v>
      </c>
      <c r="O7278" s="897" t="s">
        <v>2620</v>
      </c>
      <c r="P7278" s="867" t="s">
        <v>2698</v>
      </c>
    </row>
    <row r="7279" spans="1:16" ht="19.5" hidden="1" thickBot="1" x14ac:dyDescent="0.3">
      <c r="A7279" s="1061"/>
      <c r="B7279" s="798" t="s">
        <v>2614</v>
      </c>
      <c r="C7279" s="799" t="s">
        <v>26</v>
      </c>
      <c r="D7279" s="800">
        <v>1.7</v>
      </c>
      <c r="E7279" s="800">
        <v>1.712</v>
      </c>
      <c r="F7279" s="801" t="s">
        <v>16</v>
      </c>
      <c r="G7279" s="802" t="s">
        <v>76</v>
      </c>
      <c r="H7279" s="801" t="s">
        <v>2614</v>
      </c>
      <c r="I7279" s="801" t="s">
        <v>2614</v>
      </c>
      <c r="J7279" s="803"/>
      <c r="K7279" s="801" t="str">
        <f t="shared" si="222"/>
        <v>09,26</v>
      </c>
      <c r="L7279" s="801" t="s">
        <v>265</v>
      </c>
      <c r="M7279" s="801">
        <v>1710</v>
      </c>
      <c r="N7279" s="804">
        <v>4.1666666666666664E-2</v>
      </c>
      <c r="O7279" s="897" t="s">
        <v>2685</v>
      </c>
      <c r="P7279" s="867" t="s">
        <v>2699</v>
      </c>
    </row>
    <row r="7280" spans="1:16" ht="169.5" hidden="1" thickBot="1" x14ac:dyDescent="0.3">
      <c r="A7280" s="513">
        <f>MAX(A7090:A7278)+1</f>
        <v>4470</v>
      </c>
      <c r="B7280" s="514" t="s">
        <v>2564</v>
      </c>
      <c r="C7280" s="515" t="s">
        <v>24</v>
      </c>
      <c r="D7280" s="516">
        <v>5.4640000000000004</v>
      </c>
      <c r="E7280" s="517">
        <v>5.5</v>
      </c>
      <c r="F7280" s="518" t="s">
        <v>16</v>
      </c>
      <c r="G7280" s="519" t="s">
        <v>2617</v>
      </c>
      <c r="H7280" s="518" t="s">
        <v>2614</v>
      </c>
      <c r="I7280" s="520" t="s">
        <v>2663</v>
      </c>
      <c r="J7280" s="521"/>
      <c r="K7280" s="518" t="str">
        <f t="shared" si="222"/>
        <v>09,26</v>
      </c>
      <c r="L7280" s="518" t="s">
        <v>28</v>
      </c>
      <c r="M7280" s="518">
        <v>5549.28</v>
      </c>
      <c r="N7280" s="522">
        <v>0.41666666666666669</v>
      </c>
      <c r="O7280" s="897" t="s">
        <v>2632</v>
      </c>
      <c r="P7280" s="867" t="s">
        <v>2733</v>
      </c>
    </row>
    <row r="7281" spans="1:16" ht="19.5" hidden="1" thickBot="1" x14ac:dyDescent="0.3">
      <c r="A7281" s="1059">
        <f>MAX(A7091:A7280)+1</f>
        <v>4471</v>
      </c>
      <c r="B7281" s="760" t="s">
        <v>2564</v>
      </c>
      <c r="C7281" s="564" t="s">
        <v>47</v>
      </c>
      <c r="D7281" s="565">
        <v>17.265000000000001</v>
      </c>
      <c r="E7281" s="566">
        <v>16.221</v>
      </c>
      <c r="F7281" s="567" t="s">
        <v>16</v>
      </c>
      <c r="G7281" s="1069" t="s">
        <v>2618</v>
      </c>
      <c r="H7281" s="567" t="s">
        <v>2614</v>
      </c>
      <c r="I7281" s="569" t="s">
        <v>2692</v>
      </c>
      <c r="J7281" s="570"/>
      <c r="K7281" s="567" t="str">
        <f t="shared" si="222"/>
        <v>09,26</v>
      </c>
      <c r="L7281" s="567" t="s">
        <v>28</v>
      </c>
      <c r="M7281" s="567">
        <v>17410.560000000001</v>
      </c>
      <c r="N7281" s="571">
        <v>0.45833333333333331</v>
      </c>
      <c r="O7281" s="897" t="s">
        <v>2633</v>
      </c>
      <c r="P7281" s="867" t="s">
        <v>2757</v>
      </c>
    </row>
    <row r="7282" spans="1:16" ht="19.5" hidden="1" thickBot="1" x14ac:dyDescent="0.3">
      <c r="A7282" s="1061"/>
      <c r="B7282" s="798" t="s">
        <v>2692</v>
      </c>
      <c r="C7282" s="799" t="s">
        <v>47</v>
      </c>
      <c r="D7282" s="800">
        <v>1.0049999999999999</v>
      </c>
      <c r="E7282" s="800">
        <v>1.0049999999999999</v>
      </c>
      <c r="F7282" s="801" t="s">
        <v>16</v>
      </c>
      <c r="G7282" s="1071"/>
      <c r="H7282" s="801" t="s">
        <v>2614</v>
      </c>
      <c r="I7282" s="801" t="s">
        <v>2692</v>
      </c>
      <c r="J7282" s="803"/>
      <c r="K7282" s="801" t="str">
        <f t="shared" si="222"/>
        <v>09,26</v>
      </c>
      <c r="L7282" s="801" t="s">
        <v>28</v>
      </c>
      <c r="M7282" s="801">
        <v>1005</v>
      </c>
      <c r="N7282" s="804">
        <v>0.45833333333333331</v>
      </c>
      <c r="O7282" s="897" t="s">
        <v>2738</v>
      </c>
      <c r="P7282" s="867" t="s">
        <v>2758</v>
      </c>
    </row>
    <row r="7283" spans="1:16" ht="19.5" hidden="1" thickBot="1" x14ac:dyDescent="0.3">
      <c r="A7283" s="1062">
        <f>MAX(A7092:A7281)+1</f>
        <v>4472</v>
      </c>
      <c r="B7283" s="479" t="s">
        <v>2564</v>
      </c>
      <c r="C7283" s="480" t="s">
        <v>15</v>
      </c>
      <c r="D7283" s="481">
        <v>10.851000000000001</v>
      </c>
      <c r="E7283" s="482">
        <v>10.851000000000001</v>
      </c>
      <c r="F7283" s="483" t="s">
        <v>30</v>
      </c>
      <c r="G7283" s="549"/>
      <c r="H7283" s="483" t="s">
        <v>2614</v>
      </c>
      <c r="I7283" s="484" t="s">
        <v>2692</v>
      </c>
      <c r="J7283" s="485"/>
      <c r="K7283" s="483" t="str">
        <f t="shared" si="222"/>
        <v>09,26</v>
      </c>
      <c r="L7283" s="483" t="s">
        <v>28</v>
      </c>
      <c r="M7283" s="483">
        <v>10851.199999999999</v>
      </c>
      <c r="N7283" s="486">
        <v>0.41666666666666669</v>
      </c>
      <c r="O7283" s="897" t="s">
        <v>2626</v>
      </c>
      <c r="P7283" s="867" t="s">
        <v>2760</v>
      </c>
    </row>
    <row r="7284" spans="1:16" ht="19.5" hidden="1" thickBot="1" x14ac:dyDescent="0.3">
      <c r="A7284" s="1063"/>
      <c r="B7284" s="645" t="s">
        <v>2564</v>
      </c>
      <c r="C7284" s="646" t="s">
        <v>24</v>
      </c>
      <c r="D7284" s="647">
        <v>3.746</v>
      </c>
      <c r="E7284" s="648">
        <v>3.746</v>
      </c>
      <c r="F7284" s="649" t="s">
        <v>30</v>
      </c>
      <c r="G7284" s="650"/>
      <c r="H7284" s="649" t="s">
        <v>2614</v>
      </c>
      <c r="I7284" s="651" t="s">
        <v>2692</v>
      </c>
      <c r="J7284" s="652"/>
      <c r="K7284" s="649" t="str">
        <f t="shared" si="222"/>
        <v>09,26</v>
      </c>
      <c r="L7284" s="649" t="s">
        <v>28</v>
      </c>
      <c r="M7284" s="649">
        <v>3746.52</v>
      </c>
      <c r="N7284" s="653">
        <v>0.41666666666666669</v>
      </c>
      <c r="O7284" s="897" t="s">
        <v>2625</v>
      </c>
      <c r="P7284" s="867" t="s">
        <v>2759</v>
      </c>
    </row>
    <row r="7285" spans="1:16" ht="19.5" hidden="1" thickBot="1" x14ac:dyDescent="0.3">
      <c r="A7285" s="1066">
        <f>MAX(A7094:A7284)+1</f>
        <v>4473</v>
      </c>
      <c r="B7285" s="531" t="s">
        <v>2613</v>
      </c>
      <c r="C7285" s="532" t="s">
        <v>2662</v>
      </c>
      <c r="D7285" s="533">
        <v>4.085</v>
      </c>
      <c r="E7285" s="534">
        <v>4.0090000000000003</v>
      </c>
      <c r="F7285" s="535" t="s">
        <v>16</v>
      </c>
      <c r="G7285" s="536" t="s">
        <v>844</v>
      </c>
      <c r="H7285" s="535" t="s">
        <v>2663</v>
      </c>
      <c r="I7285" s="537" t="s">
        <v>2663</v>
      </c>
      <c r="J7285" s="538"/>
      <c r="K7285" s="535" t="str">
        <f t="shared" si="222"/>
        <v>09,26</v>
      </c>
      <c r="L7285" s="535" t="s">
        <v>266</v>
      </c>
      <c r="M7285" s="535">
        <v>4197.7699999999995</v>
      </c>
      <c r="N7285" s="539">
        <v>0.41666666666666669</v>
      </c>
      <c r="O7285" s="897" t="s">
        <v>2664</v>
      </c>
      <c r="P7285" s="867" t="s">
        <v>2734</v>
      </c>
    </row>
    <row r="7286" spans="1:16" ht="19.5" hidden="1" thickBot="1" x14ac:dyDescent="0.3">
      <c r="A7286" s="1067"/>
      <c r="B7286" s="636" t="s">
        <v>2613</v>
      </c>
      <c r="C7286" s="637" t="s">
        <v>2662</v>
      </c>
      <c r="D7286" s="638">
        <v>2.1040000000000001</v>
      </c>
      <c r="E7286" s="639">
        <v>1.917</v>
      </c>
      <c r="F7286" s="640" t="s">
        <v>16</v>
      </c>
      <c r="G7286" s="641" t="s">
        <v>845</v>
      </c>
      <c r="H7286" s="640" t="s">
        <v>2663</v>
      </c>
      <c r="I7286" s="642" t="s">
        <v>2663</v>
      </c>
      <c r="J7286" s="643"/>
      <c r="K7286" s="640" t="str">
        <f t="shared" si="222"/>
        <v>09,26</v>
      </c>
      <c r="L7286" s="640" t="s">
        <v>266</v>
      </c>
      <c r="M7286" s="640">
        <v>2167.4700000000003</v>
      </c>
      <c r="N7286" s="644">
        <v>0.41666666666666669</v>
      </c>
      <c r="O7286" s="897" t="s">
        <v>2665</v>
      </c>
      <c r="P7286" s="867" t="s">
        <v>2735</v>
      </c>
    </row>
    <row r="7287" spans="1:16" ht="19.5" hidden="1" thickBot="1" x14ac:dyDescent="0.3">
      <c r="A7287" s="662">
        <f t="shared" ref="A7287:A7290" si="223">MAX(A7096:A7286)+1</f>
        <v>4474</v>
      </c>
      <c r="B7287" s="663" t="s">
        <v>2613</v>
      </c>
      <c r="C7287" s="664" t="s">
        <v>32</v>
      </c>
      <c r="D7287" s="665">
        <v>17.600000000000001</v>
      </c>
      <c r="E7287" s="666" t="s">
        <v>1496</v>
      </c>
      <c r="F7287" s="667" t="s">
        <v>16</v>
      </c>
      <c r="G7287" s="668" t="s">
        <v>2299</v>
      </c>
      <c r="H7287" s="667" t="s">
        <v>2663</v>
      </c>
      <c r="I7287" s="669" t="s">
        <v>1496</v>
      </c>
      <c r="J7287" s="670"/>
      <c r="K7287" s="667" t="str">
        <f t="shared" si="222"/>
        <v>тмена</v>
      </c>
      <c r="L7287" s="667" t="s">
        <v>266</v>
      </c>
      <c r="M7287" s="667">
        <v>17604.599999999999</v>
      </c>
      <c r="N7287" s="671">
        <v>0.45833333333333331</v>
      </c>
      <c r="O7287" s="920" t="s">
        <v>2666</v>
      </c>
      <c r="P7287" s="921" t="s">
        <v>1024</v>
      </c>
    </row>
    <row r="7288" spans="1:16" ht="19.5" hidden="1" thickBot="1" x14ac:dyDescent="0.3">
      <c r="A7288" s="503">
        <f t="shared" si="223"/>
        <v>4475</v>
      </c>
      <c r="B7288" s="504" t="s">
        <v>2614</v>
      </c>
      <c r="C7288" s="505" t="s">
        <v>32</v>
      </c>
      <c r="D7288" s="506">
        <v>18.300999999999998</v>
      </c>
      <c r="E7288" s="507">
        <v>14.843</v>
      </c>
      <c r="F7288" s="508" t="s">
        <v>16</v>
      </c>
      <c r="G7288" s="509"/>
      <c r="H7288" s="508" t="s">
        <v>2692</v>
      </c>
      <c r="I7288" s="510" t="s">
        <v>2692</v>
      </c>
      <c r="J7288" s="511"/>
      <c r="K7288" s="508" t="str">
        <f t="shared" si="222"/>
        <v>09,26</v>
      </c>
      <c r="L7288" s="508" t="s">
        <v>266</v>
      </c>
      <c r="M7288" s="508">
        <v>18438.29</v>
      </c>
      <c r="N7288" s="512">
        <v>0.41666666666666669</v>
      </c>
      <c r="O7288" s="897" t="s">
        <v>2693</v>
      </c>
      <c r="P7288" s="867" t="s">
        <v>2761</v>
      </c>
    </row>
    <row r="7289" spans="1:16" ht="19.5" hidden="1" thickBot="1" x14ac:dyDescent="0.3">
      <c r="A7289" s="662">
        <f t="shared" si="223"/>
        <v>4476</v>
      </c>
      <c r="B7289" s="663" t="s">
        <v>2614</v>
      </c>
      <c r="C7289" s="664" t="s">
        <v>32</v>
      </c>
      <c r="D7289" s="665">
        <v>17.600000000000001</v>
      </c>
      <c r="E7289" s="666" t="s">
        <v>1496</v>
      </c>
      <c r="F7289" s="667" t="s">
        <v>16</v>
      </c>
      <c r="G7289" s="668" t="s">
        <v>2299</v>
      </c>
      <c r="H7289" s="667" t="s">
        <v>2692</v>
      </c>
      <c r="I7289" s="669" t="s">
        <v>1496</v>
      </c>
      <c r="J7289" s="670"/>
      <c r="K7289" s="667" t="str">
        <f t="shared" si="222"/>
        <v>тмена</v>
      </c>
      <c r="L7289" s="667" t="s">
        <v>266</v>
      </c>
      <c r="M7289" s="667">
        <v>17604.599999999999</v>
      </c>
      <c r="N7289" s="671">
        <v>0.45833333333333331</v>
      </c>
      <c r="O7289" s="920" t="s">
        <v>2694</v>
      </c>
      <c r="P7289" s="921" t="s">
        <v>1024</v>
      </c>
    </row>
    <row r="7290" spans="1:16" ht="19.5" hidden="1" thickBot="1" x14ac:dyDescent="0.3">
      <c r="A7290" s="1059">
        <f t="shared" si="223"/>
        <v>4477</v>
      </c>
      <c r="B7290" s="759" t="s">
        <v>2663</v>
      </c>
      <c r="C7290" s="532" t="s">
        <v>26</v>
      </c>
      <c r="D7290" s="533">
        <v>17.349</v>
      </c>
      <c r="E7290" s="534">
        <v>14.646000000000001</v>
      </c>
      <c r="F7290" s="535" t="s">
        <v>16</v>
      </c>
      <c r="G7290" s="536"/>
      <c r="H7290" s="535" t="s">
        <v>2709</v>
      </c>
      <c r="I7290" s="537" t="s">
        <v>2709</v>
      </c>
      <c r="J7290" s="538"/>
      <c r="K7290" s="535" t="str">
        <f t="shared" si="222"/>
        <v>09,26</v>
      </c>
      <c r="L7290" s="535" t="s">
        <v>265</v>
      </c>
      <c r="M7290" s="535">
        <v>17519.439999999999</v>
      </c>
      <c r="N7290" s="539">
        <v>4.1666666666666664E-2</v>
      </c>
      <c r="O7290" s="897" t="s">
        <v>2710</v>
      </c>
      <c r="P7290" s="867" t="s">
        <v>2783</v>
      </c>
    </row>
    <row r="7291" spans="1:16" ht="19.5" hidden="1" thickBot="1" x14ac:dyDescent="0.3">
      <c r="A7291" s="1060"/>
      <c r="B7291" s="852" t="s">
        <v>2709</v>
      </c>
      <c r="C7291" s="837" t="s">
        <v>26</v>
      </c>
      <c r="D7291" s="838">
        <v>1</v>
      </c>
      <c r="E7291" s="838">
        <v>1.0509999999999999</v>
      </c>
      <c r="F7291" s="839" t="s">
        <v>16</v>
      </c>
      <c r="G7291" s="850" t="s">
        <v>76</v>
      </c>
      <c r="H7291" s="839" t="s">
        <v>2709</v>
      </c>
      <c r="I7291" s="839" t="s">
        <v>2709</v>
      </c>
      <c r="J7291" s="840"/>
      <c r="K7291" s="839" t="str">
        <f t="shared" si="222"/>
        <v>09,26</v>
      </c>
      <c r="L7291" s="839" t="s">
        <v>265</v>
      </c>
      <c r="M7291" s="839">
        <v>1050</v>
      </c>
      <c r="N7291" s="598">
        <v>4.1666666666666664E-2</v>
      </c>
      <c r="O7291" s="897" t="s">
        <v>2763</v>
      </c>
      <c r="P7291" s="867" t="s">
        <v>2784</v>
      </c>
    </row>
    <row r="7292" spans="1:16" ht="19.5" hidden="1" thickBot="1" x14ac:dyDescent="0.3">
      <c r="A7292" s="1061"/>
      <c r="B7292" s="785" t="s">
        <v>2692</v>
      </c>
      <c r="C7292" s="786" t="s">
        <v>26</v>
      </c>
      <c r="D7292" s="787">
        <v>2.2000000000000002</v>
      </c>
      <c r="E7292" s="787">
        <v>2.2639999999999998</v>
      </c>
      <c r="F7292" s="788" t="s">
        <v>16</v>
      </c>
      <c r="G7292" s="789" t="s">
        <v>76</v>
      </c>
      <c r="H7292" s="788" t="s">
        <v>2709</v>
      </c>
      <c r="I7292" s="788" t="s">
        <v>2709</v>
      </c>
      <c r="J7292" s="790"/>
      <c r="K7292" s="788" t="str">
        <f t="shared" si="222"/>
        <v>09,26</v>
      </c>
      <c r="L7292" s="788" t="s">
        <v>265</v>
      </c>
      <c r="M7292" s="788">
        <v>2250</v>
      </c>
      <c r="N7292" s="784">
        <v>4.1666666666666664E-2</v>
      </c>
      <c r="O7292" s="897" t="s">
        <v>2756</v>
      </c>
      <c r="P7292" s="867" t="s">
        <v>2785</v>
      </c>
    </row>
    <row r="7293" spans="1:16" ht="19.5" hidden="1" thickBot="1" x14ac:dyDescent="0.3">
      <c r="A7293" s="1073">
        <f>MAX(A7100:A7290)+1</f>
        <v>4478</v>
      </c>
      <c r="B7293" s="610" t="s">
        <v>2663</v>
      </c>
      <c r="C7293" s="480" t="s">
        <v>26</v>
      </c>
      <c r="D7293" s="481">
        <v>17.004999999999999</v>
      </c>
      <c r="E7293" s="482">
        <v>3.9820000000000002</v>
      </c>
      <c r="F7293" s="483" t="s">
        <v>16</v>
      </c>
      <c r="G7293" s="549"/>
      <c r="H7293" s="483" t="s">
        <v>2709</v>
      </c>
      <c r="I7293" s="484" t="s">
        <v>2711</v>
      </c>
      <c r="J7293" s="485"/>
      <c r="K7293" s="483" t="str">
        <f t="shared" si="222"/>
        <v>09,26</v>
      </c>
      <c r="L7293" s="483" t="s">
        <v>265</v>
      </c>
      <c r="M7293" s="483">
        <v>17012.7</v>
      </c>
      <c r="N7293" s="486">
        <v>8.3333333333333329E-2</v>
      </c>
      <c r="O7293" s="897" t="s">
        <v>2712</v>
      </c>
      <c r="P7293" s="867" t="s">
        <v>2807</v>
      </c>
    </row>
    <row r="7294" spans="1:16" ht="19.5" hidden="1" thickBot="1" x14ac:dyDescent="0.3">
      <c r="A7294" s="1077"/>
      <c r="B7294" s="864" t="s">
        <v>2711</v>
      </c>
      <c r="C7294" s="861" t="s">
        <v>26</v>
      </c>
      <c r="D7294" s="862">
        <v>6</v>
      </c>
      <c r="E7294" s="862">
        <v>6.0010000000000003</v>
      </c>
      <c r="F7294" s="860" t="s">
        <v>16</v>
      </c>
      <c r="G7294" s="863" t="s">
        <v>76</v>
      </c>
      <c r="H7294" s="860" t="s">
        <v>2709</v>
      </c>
      <c r="I7294" s="860" t="s">
        <v>2711</v>
      </c>
      <c r="J7294" s="865"/>
      <c r="K7294" s="860" t="str">
        <f t="shared" si="222"/>
        <v>09,26</v>
      </c>
      <c r="L7294" s="860" t="s">
        <v>265</v>
      </c>
      <c r="M7294" s="860">
        <v>6001.8</v>
      </c>
      <c r="N7294" s="770">
        <v>8.3333333333333329E-2</v>
      </c>
      <c r="O7294" s="897" t="s">
        <v>2793</v>
      </c>
      <c r="P7294" s="867" t="s">
        <v>2808</v>
      </c>
    </row>
    <row r="7295" spans="1:16" ht="19.5" hidden="1" thickBot="1" x14ac:dyDescent="0.3">
      <c r="A7295" s="1074"/>
      <c r="B7295" s="805" t="s">
        <v>2709</v>
      </c>
      <c r="C7295" s="806" t="s">
        <v>26</v>
      </c>
      <c r="D7295" s="807">
        <v>7</v>
      </c>
      <c r="E7295" s="807">
        <v>7.08</v>
      </c>
      <c r="F7295" s="808" t="s">
        <v>16</v>
      </c>
      <c r="G7295" s="809" t="s">
        <v>76</v>
      </c>
      <c r="H7295" s="808" t="s">
        <v>2709</v>
      </c>
      <c r="I7295" s="808" t="s">
        <v>2711</v>
      </c>
      <c r="J7295" s="810"/>
      <c r="K7295" s="808" t="str">
        <f t="shared" si="222"/>
        <v>09,26</v>
      </c>
      <c r="L7295" s="808" t="s">
        <v>265</v>
      </c>
      <c r="M7295" s="808">
        <v>7035</v>
      </c>
      <c r="N7295" s="778">
        <v>8.3333333333333329E-2</v>
      </c>
      <c r="O7295" s="897" t="s">
        <v>2792</v>
      </c>
      <c r="P7295" s="867" t="s">
        <v>2809</v>
      </c>
    </row>
    <row r="7296" spans="1:16" ht="19.5" hidden="1" thickBot="1" x14ac:dyDescent="0.3">
      <c r="A7296" s="1066">
        <f>MAX(A7101:A7293)+1</f>
        <v>4479</v>
      </c>
      <c r="B7296" s="531" t="s">
        <v>2663</v>
      </c>
      <c r="C7296" s="532" t="s">
        <v>2714</v>
      </c>
      <c r="D7296" s="533">
        <v>10.076000000000001</v>
      </c>
      <c r="E7296" s="534">
        <v>10.071</v>
      </c>
      <c r="F7296" s="535" t="s">
        <v>16</v>
      </c>
      <c r="G7296" s="536"/>
      <c r="H7296" s="535" t="s">
        <v>2709</v>
      </c>
      <c r="I7296" s="537" t="s">
        <v>2764</v>
      </c>
      <c r="J7296" s="538"/>
      <c r="K7296" s="535" t="str">
        <f t="shared" si="222"/>
        <v>09,26</v>
      </c>
      <c r="L7296" s="535" t="s">
        <v>265</v>
      </c>
      <c r="M7296" s="535">
        <v>10186.780000000001</v>
      </c>
      <c r="N7296" s="539">
        <v>0.41666666666666669</v>
      </c>
      <c r="O7296" s="897" t="s">
        <v>2716</v>
      </c>
      <c r="P7296" s="867" t="s">
        <v>2835</v>
      </c>
    </row>
    <row r="7297" spans="1:16" ht="19.5" hidden="1" thickBot="1" x14ac:dyDescent="0.3">
      <c r="A7297" s="1067"/>
      <c r="B7297" s="590" t="s">
        <v>2663</v>
      </c>
      <c r="C7297" s="591" t="s">
        <v>764</v>
      </c>
      <c r="D7297" s="592">
        <v>6.15</v>
      </c>
      <c r="E7297" s="593">
        <v>6.1980000000000004</v>
      </c>
      <c r="F7297" s="594" t="s">
        <v>16</v>
      </c>
      <c r="G7297" s="595"/>
      <c r="H7297" s="594" t="s">
        <v>2709</v>
      </c>
      <c r="I7297" s="596" t="s">
        <v>2764</v>
      </c>
      <c r="J7297" s="597"/>
      <c r="K7297" s="594" t="str">
        <f t="shared" si="222"/>
        <v>09,26</v>
      </c>
      <c r="L7297" s="594" t="s">
        <v>28</v>
      </c>
      <c r="M7297" s="594">
        <v>6172.44</v>
      </c>
      <c r="N7297" s="598">
        <v>0.41666666666666669</v>
      </c>
      <c r="O7297" s="897" t="s">
        <v>2715</v>
      </c>
      <c r="P7297" s="867" t="s">
        <v>2841</v>
      </c>
    </row>
    <row r="7298" spans="1:16" ht="19.5" hidden="1" thickBot="1" x14ac:dyDescent="0.3">
      <c r="A7298" s="1073">
        <f>MAX(A7104:A7297)+1</f>
        <v>4480</v>
      </c>
      <c r="B7298" s="610" t="s">
        <v>2663</v>
      </c>
      <c r="C7298" s="480" t="s">
        <v>26</v>
      </c>
      <c r="D7298" s="481">
        <v>18.831</v>
      </c>
      <c r="E7298" s="482">
        <v>15.694000000000001</v>
      </c>
      <c r="F7298" s="483" t="s">
        <v>16</v>
      </c>
      <c r="G7298" s="549"/>
      <c r="H7298" s="483" t="s">
        <v>2711</v>
      </c>
      <c r="I7298" s="484" t="s">
        <v>2711</v>
      </c>
      <c r="J7298" s="485"/>
      <c r="K7298" s="483" t="str">
        <f t="shared" si="222"/>
        <v>09,26</v>
      </c>
      <c r="L7298" s="483" t="s">
        <v>265</v>
      </c>
      <c r="M7298" s="483">
        <v>19045.059999999998</v>
      </c>
      <c r="N7298" s="486">
        <v>4.1666666666666664E-2</v>
      </c>
      <c r="O7298" s="897" t="s">
        <v>2713</v>
      </c>
      <c r="P7298" s="867" t="s">
        <v>2810</v>
      </c>
    </row>
    <row r="7299" spans="1:16" ht="19.5" hidden="1" thickBot="1" x14ac:dyDescent="0.3">
      <c r="A7299" s="1077"/>
      <c r="B7299" s="864" t="s">
        <v>2711</v>
      </c>
      <c r="C7299" s="861" t="s">
        <v>26</v>
      </c>
      <c r="D7299" s="862">
        <v>0.7</v>
      </c>
      <c r="E7299" s="862">
        <v>0.70499999999999996</v>
      </c>
      <c r="F7299" s="860" t="s">
        <v>16</v>
      </c>
      <c r="G7299" s="863" t="s">
        <v>76</v>
      </c>
      <c r="H7299" s="860" t="s">
        <v>2711</v>
      </c>
      <c r="I7299" s="860" t="s">
        <v>2711</v>
      </c>
      <c r="J7299" s="865"/>
      <c r="K7299" s="860" t="str">
        <f t="shared" si="222"/>
        <v>09,26</v>
      </c>
      <c r="L7299" s="860" t="s">
        <v>265</v>
      </c>
      <c r="M7299" s="860">
        <v>705</v>
      </c>
      <c r="N7299" s="770">
        <v>4.1666666666666664E-2</v>
      </c>
      <c r="O7299" s="897" t="s">
        <v>2794</v>
      </c>
      <c r="P7299" s="867" t="s">
        <v>2812</v>
      </c>
    </row>
    <row r="7300" spans="1:16" ht="19.5" hidden="1" thickBot="1" x14ac:dyDescent="0.3">
      <c r="A7300" s="1074"/>
      <c r="B7300" s="805" t="s">
        <v>2709</v>
      </c>
      <c r="C7300" s="806" t="s">
        <v>26</v>
      </c>
      <c r="D7300" s="807">
        <v>1</v>
      </c>
      <c r="E7300" s="807">
        <v>1.05</v>
      </c>
      <c r="F7300" s="808" t="s">
        <v>16</v>
      </c>
      <c r="G7300" s="809" t="s">
        <v>76</v>
      </c>
      <c r="H7300" s="808" t="s">
        <v>2711</v>
      </c>
      <c r="I7300" s="808" t="s">
        <v>2711</v>
      </c>
      <c r="J7300" s="810"/>
      <c r="K7300" s="808" t="str">
        <f t="shared" si="222"/>
        <v>09,26</v>
      </c>
      <c r="L7300" s="808" t="s">
        <v>265</v>
      </c>
      <c r="M7300" s="808">
        <v>1050</v>
      </c>
      <c r="N7300" s="778">
        <v>4.1666666666666664E-2</v>
      </c>
      <c r="O7300" s="897" t="s">
        <v>2791</v>
      </c>
      <c r="P7300" s="867" t="s">
        <v>2811</v>
      </c>
    </row>
    <row r="7301" spans="1:16" ht="19.5" hidden="1" thickBot="1" x14ac:dyDescent="0.3">
      <c r="A7301" s="1059">
        <f>MAX(A7105:A7298)+1</f>
        <v>4481</v>
      </c>
      <c r="B7301" s="760" t="s">
        <v>2663</v>
      </c>
      <c r="C7301" s="564" t="s">
        <v>913</v>
      </c>
      <c r="D7301" s="565">
        <v>0.80700000000000005</v>
      </c>
      <c r="E7301" s="566">
        <v>0.80600000000000005</v>
      </c>
      <c r="F7301" s="567" t="s">
        <v>16</v>
      </c>
      <c r="G7301" s="568"/>
      <c r="H7301" s="567" t="s">
        <v>2711</v>
      </c>
      <c r="I7301" s="569" t="s">
        <v>2739</v>
      </c>
      <c r="J7301" s="570"/>
      <c r="K7301" s="567" t="str">
        <f t="shared" si="222"/>
        <v>09,26</v>
      </c>
      <c r="L7301" s="567" t="s">
        <v>266</v>
      </c>
      <c r="M7301" s="567">
        <v>810</v>
      </c>
      <c r="N7301" s="571">
        <v>0.41666666666666669</v>
      </c>
      <c r="O7301" s="897" t="s">
        <v>2719</v>
      </c>
      <c r="P7301" s="867" t="s">
        <v>2805</v>
      </c>
    </row>
    <row r="7302" spans="1:16" ht="19.5" hidden="1" thickBot="1" x14ac:dyDescent="0.3">
      <c r="A7302" s="1060"/>
      <c r="B7302" s="824" t="s">
        <v>2663</v>
      </c>
      <c r="C7302" s="820" t="s">
        <v>839</v>
      </c>
      <c r="D7302" s="821">
        <v>1.89</v>
      </c>
      <c r="E7302" s="822">
        <v>1.909</v>
      </c>
      <c r="F7302" s="819" t="s">
        <v>16</v>
      </c>
      <c r="G7302" s="823"/>
      <c r="H7302" s="819" t="s">
        <v>2711</v>
      </c>
      <c r="I7302" s="782" t="s">
        <v>2739</v>
      </c>
      <c r="J7302" s="825"/>
      <c r="K7302" s="819" t="str">
        <f t="shared" si="222"/>
        <v>09,26</v>
      </c>
      <c r="L7302" s="819" t="s">
        <v>28</v>
      </c>
      <c r="M7302" s="819">
        <v>1907.4600000000003</v>
      </c>
      <c r="N7302" s="811">
        <v>0.41666666666666669</v>
      </c>
      <c r="O7302" s="897" t="s">
        <v>2718</v>
      </c>
      <c r="P7302" s="867" t="s">
        <v>2831</v>
      </c>
    </row>
    <row r="7303" spans="1:16" ht="19.5" hidden="1" thickBot="1" x14ac:dyDescent="0.3">
      <c r="A7303" s="1060"/>
      <c r="B7303" s="824" t="s">
        <v>2663</v>
      </c>
      <c r="C7303" s="820" t="s">
        <v>23</v>
      </c>
      <c r="D7303" s="821">
        <v>14.839</v>
      </c>
      <c r="E7303" s="822">
        <v>13.492000000000001</v>
      </c>
      <c r="F7303" s="819" t="s">
        <v>16</v>
      </c>
      <c r="G7303" s="823"/>
      <c r="H7303" s="819" t="s">
        <v>2711</v>
      </c>
      <c r="I7303" s="782" t="s">
        <v>2739</v>
      </c>
      <c r="J7303" s="825"/>
      <c r="K7303" s="819" t="str">
        <f t="shared" si="222"/>
        <v>09,26</v>
      </c>
      <c r="L7303" s="819" t="s">
        <v>28</v>
      </c>
      <c r="M7303" s="819">
        <v>15001</v>
      </c>
      <c r="N7303" s="811">
        <v>0.41666666666666669</v>
      </c>
      <c r="O7303" s="897" t="s">
        <v>2717</v>
      </c>
      <c r="P7303" s="867" t="s">
        <v>2832</v>
      </c>
    </row>
    <row r="7304" spans="1:16" ht="19.5" hidden="1" thickBot="1" x14ac:dyDescent="0.3">
      <c r="A7304" s="1060"/>
      <c r="B7304" s="798" t="s">
        <v>2739</v>
      </c>
      <c r="C7304" s="799" t="s">
        <v>23</v>
      </c>
      <c r="D7304" s="800">
        <v>0.9</v>
      </c>
      <c r="E7304" s="800">
        <v>0.90100000000000002</v>
      </c>
      <c r="F7304" s="801" t="s">
        <v>16</v>
      </c>
      <c r="G7304" s="802" t="s">
        <v>76</v>
      </c>
      <c r="H7304" s="801" t="s">
        <v>2711</v>
      </c>
      <c r="I7304" s="801" t="s">
        <v>2739</v>
      </c>
      <c r="J7304" s="803"/>
      <c r="K7304" s="801" t="str">
        <f t="shared" si="222"/>
        <v>09,26</v>
      </c>
      <c r="L7304" s="801" t="s">
        <v>28</v>
      </c>
      <c r="M7304" s="801">
        <v>900</v>
      </c>
      <c r="N7304" s="811">
        <v>0.41666666666666669</v>
      </c>
      <c r="O7304" s="897" t="s">
        <v>2798</v>
      </c>
      <c r="P7304" s="867" t="s">
        <v>2834</v>
      </c>
    </row>
    <row r="7305" spans="1:16" ht="19.5" hidden="1" thickBot="1" x14ac:dyDescent="0.3">
      <c r="A7305" s="1061"/>
      <c r="B7305" s="785" t="s">
        <v>2711</v>
      </c>
      <c r="C7305" s="786" t="s">
        <v>23</v>
      </c>
      <c r="D7305" s="787">
        <v>0.6</v>
      </c>
      <c r="E7305" s="787">
        <v>0.61099999999999999</v>
      </c>
      <c r="F7305" s="788" t="s">
        <v>16</v>
      </c>
      <c r="G7305" s="789" t="s">
        <v>76</v>
      </c>
      <c r="H7305" s="788" t="s">
        <v>2711</v>
      </c>
      <c r="I7305" s="788" t="s">
        <v>2739</v>
      </c>
      <c r="J7305" s="790"/>
      <c r="K7305" s="788" t="str">
        <f t="shared" si="222"/>
        <v>09,26</v>
      </c>
      <c r="L7305" s="788" t="s">
        <v>28</v>
      </c>
      <c r="M7305" s="788">
        <v>600</v>
      </c>
      <c r="N7305" s="784">
        <v>0.41666666666666669</v>
      </c>
      <c r="O7305" s="897" t="s">
        <v>2795</v>
      </c>
      <c r="P7305" s="867" t="s">
        <v>2833</v>
      </c>
    </row>
    <row r="7306" spans="1:16" ht="19.5" hidden="1" thickBot="1" x14ac:dyDescent="0.3">
      <c r="A7306" s="1073">
        <f>MAX(A7108:A7303)+1</f>
        <v>4482</v>
      </c>
      <c r="B7306" s="610" t="s">
        <v>2663</v>
      </c>
      <c r="C7306" s="480" t="s">
        <v>47</v>
      </c>
      <c r="D7306" s="481">
        <v>17.588999999999999</v>
      </c>
      <c r="E7306" s="482">
        <v>15.832000000000001</v>
      </c>
      <c r="F7306" s="483" t="s">
        <v>16</v>
      </c>
      <c r="G7306" s="549"/>
      <c r="H7306" s="483" t="s">
        <v>2711</v>
      </c>
      <c r="I7306" s="484" t="s">
        <v>2739</v>
      </c>
      <c r="J7306" s="485"/>
      <c r="K7306" s="483" t="str">
        <f t="shared" si="222"/>
        <v>09,26</v>
      </c>
      <c r="L7306" s="483" t="s">
        <v>28</v>
      </c>
      <c r="M7306" s="483">
        <v>17809.12</v>
      </c>
      <c r="N7306" s="486">
        <v>0.45833333333333331</v>
      </c>
      <c r="O7306" s="897" t="s">
        <v>2720</v>
      </c>
      <c r="P7306" s="867" t="s">
        <v>2825</v>
      </c>
    </row>
    <row r="7307" spans="1:16" ht="19.5" hidden="1" thickBot="1" x14ac:dyDescent="0.3">
      <c r="A7307" s="1077"/>
      <c r="B7307" s="994" t="s">
        <v>2739</v>
      </c>
      <c r="C7307" s="995" t="s">
        <v>47</v>
      </c>
      <c r="D7307" s="996">
        <v>3.09</v>
      </c>
      <c r="E7307" s="996" t="s">
        <v>1496</v>
      </c>
      <c r="F7307" s="997" t="s">
        <v>16</v>
      </c>
      <c r="G7307" s="998" t="s">
        <v>76</v>
      </c>
      <c r="H7307" s="997" t="s">
        <v>2711</v>
      </c>
      <c r="I7307" s="997" t="s">
        <v>1496</v>
      </c>
      <c r="J7307" s="999"/>
      <c r="K7307" s="997" t="str">
        <f t="shared" si="222"/>
        <v>тмена</v>
      </c>
      <c r="L7307" s="997" t="s">
        <v>28</v>
      </c>
      <c r="M7307" s="997">
        <v>3091.6800000000003</v>
      </c>
      <c r="N7307" s="961">
        <v>0.45833333333333331</v>
      </c>
      <c r="O7307" s="920" t="s">
        <v>2797</v>
      </c>
      <c r="P7307" s="921" t="s">
        <v>1024</v>
      </c>
    </row>
    <row r="7308" spans="1:16" ht="19.5" hidden="1" thickBot="1" x14ac:dyDescent="0.3">
      <c r="A7308" s="1074"/>
      <c r="B7308" s="805" t="s">
        <v>2711</v>
      </c>
      <c r="C7308" s="806" t="s">
        <v>47</v>
      </c>
      <c r="D7308" s="807">
        <v>1.41</v>
      </c>
      <c r="E7308" s="807">
        <v>1.4350000000000001</v>
      </c>
      <c r="F7308" s="808" t="s">
        <v>16</v>
      </c>
      <c r="G7308" s="857" t="s">
        <v>76</v>
      </c>
      <c r="H7308" s="808" t="s">
        <v>2711</v>
      </c>
      <c r="I7308" s="808" t="s">
        <v>2739</v>
      </c>
      <c r="J7308" s="810"/>
      <c r="K7308" s="808" t="str">
        <f t="shared" si="222"/>
        <v>09,26</v>
      </c>
      <c r="L7308" s="808" t="s">
        <v>28</v>
      </c>
      <c r="M7308" s="808">
        <v>1410</v>
      </c>
      <c r="N7308" s="778">
        <v>0.45833333333333331</v>
      </c>
      <c r="O7308" s="897" t="s">
        <v>2796</v>
      </c>
      <c r="P7308" s="867" t="s">
        <v>2826</v>
      </c>
    </row>
    <row r="7309" spans="1:16" ht="19.5" hidden="1" thickBot="1" x14ac:dyDescent="0.3">
      <c r="A7309" s="503">
        <f>MAX(A7111:A7306)+1</f>
        <v>4483</v>
      </c>
      <c r="B7309" s="504" t="s">
        <v>2692</v>
      </c>
      <c r="C7309" s="505" t="s">
        <v>26</v>
      </c>
      <c r="D7309" s="506">
        <v>14.404999999999999</v>
      </c>
      <c r="E7309" s="507">
        <v>14.404999999999999</v>
      </c>
      <c r="F7309" s="508" t="s">
        <v>30</v>
      </c>
      <c r="G7309" s="509"/>
      <c r="H7309" s="508" t="s">
        <v>2711</v>
      </c>
      <c r="I7309" s="510" t="s">
        <v>2711</v>
      </c>
      <c r="J7309" s="511"/>
      <c r="K7309" s="508" t="str">
        <f t="shared" si="222"/>
        <v>09,26</v>
      </c>
      <c r="L7309" s="508" t="s">
        <v>265</v>
      </c>
      <c r="M7309" s="508">
        <v>14405.88</v>
      </c>
      <c r="N7309" s="512">
        <v>4.1666666666666664E-2</v>
      </c>
      <c r="O7309" s="897" t="s">
        <v>2740</v>
      </c>
      <c r="P7309" s="867" t="s">
        <v>2806</v>
      </c>
    </row>
    <row r="7310" spans="1:16" ht="19.5" hidden="1" thickBot="1" x14ac:dyDescent="0.3">
      <c r="A7310" s="513">
        <f>MAX(A7112:A7309)+1</f>
        <v>4484</v>
      </c>
      <c r="B7310" s="514" t="s">
        <v>2692</v>
      </c>
      <c r="C7310" s="515" t="s">
        <v>47</v>
      </c>
      <c r="D7310" s="516">
        <v>13.048</v>
      </c>
      <c r="E7310" s="517">
        <v>13.048</v>
      </c>
      <c r="F7310" s="518" t="s">
        <v>30</v>
      </c>
      <c r="G7310" s="519"/>
      <c r="H7310" s="518" t="s">
        <v>2711</v>
      </c>
      <c r="I7310" s="520" t="s">
        <v>2739</v>
      </c>
      <c r="J7310" s="521"/>
      <c r="K7310" s="518" t="str">
        <f t="shared" si="222"/>
        <v>09,26</v>
      </c>
      <c r="L7310" s="518" t="s">
        <v>28</v>
      </c>
      <c r="M7310" s="518">
        <v>13048.8</v>
      </c>
      <c r="N7310" s="522">
        <v>0.41666666666666669</v>
      </c>
      <c r="O7310" s="897" t="s">
        <v>2741</v>
      </c>
      <c r="P7310" s="867" t="s">
        <v>2836</v>
      </c>
    </row>
    <row r="7311" spans="1:16" ht="19.5" hidden="1" thickBot="1" x14ac:dyDescent="0.3">
      <c r="A7311" s="1066">
        <f>MAX(A7113:A7310)+1</f>
        <v>4485</v>
      </c>
      <c r="B7311" s="750" t="s">
        <v>2692</v>
      </c>
      <c r="C7311" s="751" t="s">
        <v>981</v>
      </c>
      <c r="D7311" s="752">
        <v>0.998</v>
      </c>
      <c r="E7311" s="753" t="s">
        <v>1496</v>
      </c>
      <c r="F7311" s="993" t="s">
        <v>16</v>
      </c>
      <c r="G7311" s="931" t="s">
        <v>2299</v>
      </c>
      <c r="H7311" s="754" t="s">
        <v>2711</v>
      </c>
      <c r="I7311" s="932" t="s">
        <v>1496</v>
      </c>
      <c r="J7311" s="755"/>
      <c r="K7311" s="754" t="str">
        <f t="shared" ref="K7311:K7363" si="224">RIGHT(I7311,5)</f>
        <v>тмена</v>
      </c>
      <c r="L7311" s="754" t="s">
        <v>266</v>
      </c>
      <c r="M7311" s="754">
        <v>998.4</v>
      </c>
      <c r="N7311" s="756">
        <v>0.5</v>
      </c>
      <c r="O7311" s="920" t="s">
        <v>2744</v>
      </c>
      <c r="P7311" s="921" t="s">
        <v>1024</v>
      </c>
    </row>
    <row r="7312" spans="1:16" ht="19.5" hidden="1" thickBot="1" x14ac:dyDescent="0.3">
      <c r="A7312" s="1068"/>
      <c r="B7312" s="563" t="s">
        <v>2692</v>
      </c>
      <c r="C7312" s="564" t="s">
        <v>480</v>
      </c>
      <c r="D7312" s="565">
        <v>8.77</v>
      </c>
      <c r="E7312" s="566">
        <v>7.319</v>
      </c>
      <c r="F7312" s="991" t="s">
        <v>16</v>
      </c>
      <c r="G7312" s="568"/>
      <c r="H7312" s="567" t="s">
        <v>2711</v>
      </c>
      <c r="I7312" s="569" t="s">
        <v>2739</v>
      </c>
      <c r="J7312" s="570"/>
      <c r="K7312" s="567" t="str">
        <f t="shared" si="224"/>
        <v>09,26</v>
      </c>
      <c r="L7312" s="567" t="s">
        <v>266</v>
      </c>
      <c r="M7312" s="567">
        <v>8886.4399999999987</v>
      </c>
      <c r="N7312" s="571">
        <v>0.5</v>
      </c>
      <c r="O7312" s="897" t="s">
        <v>2749</v>
      </c>
      <c r="P7312" s="867" t="s">
        <v>2803</v>
      </c>
    </row>
    <row r="7313" spans="1:16" ht="19.5" hidden="1" thickBot="1" x14ac:dyDescent="0.3">
      <c r="A7313" s="1068"/>
      <c r="B7313" s="563" t="s">
        <v>2692</v>
      </c>
      <c r="C7313" s="564" t="s">
        <v>480</v>
      </c>
      <c r="D7313" s="565">
        <v>0.5</v>
      </c>
      <c r="E7313" s="566">
        <v>0.505</v>
      </c>
      <c r="F7313" s="991" t="s">
        <v>16</v>
      </c>
      <c r="G7313" s="568" t="s">
        <v>2299</v>
      </c>
      <c r="H7313" s="567" t="s">
        <v>2711</v>
      </c>
      <c r="I7313" s="569" t="s">
        <v>2739</v>
      </c>
      <c r="J7313" s="570"/>
      <c r="K7313" s="567" t="str">
        <f t="shared" si="224"/>
        <v>09,26</v>
      </c>
      <c r="L7313" s="567" t="s">
        <v>266</v>
      </c>
      <c r="M7313" s="567">
        <v>504</v>
      </c>
      <c r="N7313" s="571">
        <v>0.5</v>
      </c>
      <c r="O7313" s="897" t="s">
        <v>2750</v>
      </c>
      <c r="P7313" s="867" t="s">
        <v>2800</v>
      </c>
    </row>
    <row r="7314" spans="1:16" ht="19.5" hidden="1" thickBot="1" x14ac:dyDescent="0.3">
      <c r="A7314" s="1068"/>
      <c r="B7314" s="563" t="s">
        <v>2692</v>
      </c>
      <c r="C7314" s="564" t="s">
        <v>981</v>
      </c>
      <c r="D7314" s="565">
        <v>4.9359999999999999</v>
      </c>
      <c r="E7314" s="566">
        <v>4.4569999999999999</v>
      </c>
      <c r="F7314" s="991" t="s">
        <v>16</v>
      </c>
      <c r="G7314" s="568"/>
      <c r="H7314" s="567" t="s">
        <v>2711</v>
      </c>
      <c r="I7314" s="569" t="s">
        <v>2739</v>
      </c>
      <c r="J7314" s="570"/>
      <c r="K7314" s="567" t="str">
        <f t="shared" si="224"/>
        <v>09,26</v>
      </c>
      <c r="L7314" s="567" t="s">
        <v>266</v>
      </c>
      <c r="M7314" s="567">
        <v>4937.8600000000006</v>
      </c>
      <c r="N7314" s="571">
        <v>0.5</v>
      </c>
      <c r="O7314" s="897" t="s">
        <v>2746</v>
      </c>
      <c r="P7314" s="867" t="s">
        <v>2804</v>
      </c>
    </row>
    <row r="7315" spans="1:16" ht="19.5" hidden="1" thickBot="1" x14ac:dyDescent="0.3">
      <c r="A7315" s="1068"/>
      <c r="B7315" s="563" t="s">
        <v>2692</v>
      </c>
      <c r="C7315" s="564" t="s">
        <v>32</v>
      </c>
      <c r="D7315" s="565">
        <v>3.3860000000000001</v>
      </c>
      <c r="E7315" s="566">
        <v>3.3460000000000001</v>
      </c>
      <c r="F7315" s="991" t="s">
        <v>16</v>
      </c>
      <c r="G7315" s="568" t="s">
        <v>1702</v>
      </c>
      <c r="H7315" s="567" t="s">
        <v>2711</v>
      </c>
      <c r="I7315" s="569" t="s">
        <v>2739</v>
      </c>
      <c r="J7315" s="570"/>
      <c r="K7315" s="567" t="str">
        <f t="shared" si="224"/>
        <v>09,26</v>
      </c>
      <c r="L7315" s="567" t="s">
        <v>266</v>
      </c>
      <c r="M7315" s="567">
        <v>3396.4500000000003</v>
      </c>
      <c r="N7315" s="571">
        <v>0.5</v>
      </c>
      <c r="O7315" s="897" t="s">
        <v>2745</v>
      </c>
      <c r="P7315" s="867" t="s">
        <v>2802</v>
      </c>
    </row>
    <row r="7316" spans="1:16" ht="19.5" hidden="1" thickBot="1" x14ac:dyDescent="0.3">
      <c r="A7316" s="1068"/>
      <c r="B7316" s="750" t="s">
        <v>2692</v>
      </c>
      <c r="C7316" s="751" t="s">
        <v>32</v>
      </c>
      <c r="D7316" s="752">
        <v>2.496</v>
      </c>
      <c r="E7316" s="753" t="s">
        <v>1496</v>
      </c>
      <c r="F7316" s="993" t="s">
        <v>16</v>
      </c>
      <c r="G7316" s="931" t="s">
        <v>2585</v>
      </c>
      <c r="H7316" s="754" t="s">
        <v>2711</v>
      </c>
      <c r="I7316" s="932" t="s">
        <v>1496</v>
      </c>
      <c r="J7316" s="755"/>
      <c r="K7316" s="754" t="str">
        <f t="shared" si="224"/>
        <v>тмена</v>
      </c>
      <c r="L7316" s="754" t="s">
        <v>266</v>
      </c>
      <c r="M7316" s="754">
        <v>2496</v>
      </c>
      <c r="N7316" s="756">
        <v>0.5</v>
      </c>
      <c r="O7316" s="920" t="s">
        <v>2748</v>
      </c>
      <c r="P7316" s="921" t="s">
        <v>1024</v>
      </c>
    </row>
    <row r="7317" spans="1:16" ht="19.5" hidden="1" thickBot="1" x14ac:dyDescent="0.3">
      <c r="A7317" s="1067"/>
      <c r="B7317" s="590" t="s">
        <v>2692</v>
      </c>
      <c r="C7317" s="591" t="s">
        <v>32</v>
      </c>
      <c r="D7317" s="592">
        <v>0.63</v>
      </c>
      <c r="E7317" s="593">
        <v>0.628</v>
      </c>
      <c r="F7317" s="992" t="s">
        <v>16</v>
      </c>
      <c r="G7317" s="595" t="s">
        <v>2585</v>
      </c>
      <c r="H7317" s="594" t="s">
        <v>2711</v>
      </c>
      <c r="I7317" s="596" t="s">
        <v>2711</v>
      </c>
      <c r="J7317" s="597"/>
      <c r="K7317" s="594" t="str">
        <f t="shared" si="224"/>
        <v>09,26</v>
      </c>
      <c r="L7317" s="594" t="s">
        <v>266</v>
      </c>
      <c r="M7317" s="594">
        <v>630</v>
      </c>
      <c r="N7317" s="598">
        <v>0.5</v>
      </c>
      <c r="O7317" s="897" t="s">
        <v>2747</v>
      </c>
      <c r="P7317" s="867" t="s">
        <v>2801</v>
      </c>
    </row>
    <row r="7318" spans="1:16" ht="19.5" hidden="1" thickBot="1" x14ac:dyDescent="0.3">
      <c r="A7318" s="1073">
        <f>MAX(A7129:A7317)+1</f>
        <v>4486</v>
      </c>
      <c r="B7318" s="610" t="s">
        <v>2692</v>
      </c>
      <c r="C7318" s="480" t="s">
        <v>26</v>
      </c>
      <c r="D7318" s="481">
        <v>16.863</v>
      </c>
      <c r="E7318" s="482">
        <v>14.013</v>
      </c>
      <c r="F7318" s="483" t="s">
        <v>16</v>
      </c>
      <c r="G7318" s="549"/>
      <c r="H7318" s="483" t="s">
        <v>2739</v>
      </c>
      <c r="I7318" s="484" t="s">
        <v>2764</v>
      </c>
      <c r="J7318" s="485"/>
      <c r="K7318" s="483" t="str">
        <f t="shared" si="224"/>
        <v>09,26</v>
      </c>
      <c r="L7318" s="483" t="s">
        <v>265</v>
      </c>
      <c r="M7318" s="483">
        <v>17019.879999999997</v>
      </c>
      <c r="N7318" s="486">
        <v>4.1666666666666664E-2</v>
      </c>
      <c r="O7318" s="897" t="s">
        <v>2743</v>
      </c>
      <c r="P7318" s="867" t="s">
        <v>2837</v>
      </c>
    </row>
    <row r="7319" spans="1:16" ht="19.5" hidden="1" thickBot="1" x14ac:dyDescent="0.3">
      <c r="A7319" s="1077"/>
      <c r="B7319" s="769" t="s">
        <v>2692</v>
      </c>
      <c r="C7319" s="764" t="s">
        <v>952</v>
      </c>
      <c r="D7319" s="765">
        <v>1.7569999999999999</v>
      </c>
      <c r="E7319" s="766">
        <v>1.6339999999999999</v>
      </c>
      <c r="F7319" s="763" t="s">
        <v>16</v>
      </c>
      <c r="G7319" s="767"/>
      <c r="H7319" s="763" t="s">
        <v>2739</v>
      </c>
      <c r="I7319" s="768" t="s">
        <v>2764</v>
      </c>
      <c r="J7319" s="779"/>
      <c r="K7319" s="763" t="str">
        <f t="shared" si="224"/>
        <v>09,26</v>
      </c>
      <c r="L7319" s="763" t="s">
        <v>265</v>
      </c>
      <c r="M7319" s="763">
        <v>1811.24</v>
      </c>
      <c r="N7319" s="770">
        <v>4.1666666666666664E-2</v>
      </c>
      <c r="O7319" s="897" t="s">
        <v>2742</v>
      </c>
      <c r="P7319" s="867" t="s">
        <v>2838</v>
      </c>
    </row>
    <row r="7320" spans="1:16" ht="19.5" hidden="1" thickBot="1" x14ac:dyDescent="0.3">
      <c r="A7320" s="1074"/>
      <c r="B7320" s="841" t="s">
        <v>2739</v>
      </c>
      <c r="C7320" s="842" t="s">
        <v>26</v>
      </c>
      <c r="D7320" s="843">
        <v>2</v>
      </c>
      <c r="E7320" s="843">
        <v>2.0230000000000001</v>
      </c>
      <c r="F7320" s="844" t="s">
        <v>16</v>
      </c>
      <c r="G7320" s="851" t="s">
        <v>76</v>
      </c>
      <c r="H7320" s="844" t="s">
        <v>2739</v>
      </c>
      <c r="I7320" s="844" t="s">
        <v>2764</v>
      </c>
      <c r="J7320" s="845"/>
      <c r="K7320" s="844" t="str">
        <f t="shared" si="224"/>
        <v>09,26</v>
      </c>
      <c r="L7320" s="844" t="s">
        <v>265</v>
      </c>
      <c r="M7320" s="844">
        <v>2025</v>
      </c>
      <c r="N7320" s="846">
        <v>4.1666666666666664E-2</v>
      </c>
      <c r="O7320" s="897" t="s">
        <v>2799</v>
      </c>
      <c r="P7320" s="867" t="s">
        <v>2839</v>
      </c>
    </row>
    <row r="7321" spans="1:16" ht="19.5" hidden="1" thickBot="1" x14ac:dyDescent="0.3">
      <c r="A7321" s="1085">
        <f>MAX(A7131:A7320)+1</f>
        <v>4487</v>
      </c>
      <c r="B7321" s="1000" t="s">
        <v>2692</v>
      </c>
      <c r="C7321" s="1001" t="s">
        <v>15</v>
      </c>
      <c r="D7321" s="1002">
        <v>9.1549999999999994</v>
      </c>
      <c r="E7321" s="1003">
        <v>7.4660000000000002</v>
      </c>
      <c r="F7321" s="1004" t="s">
        <v>16</v>
      </c>
      <c r="G7321" s="1030" t="s">
        <v>2842</v>
      </c>
      <c r="H7321" s="1004" t="s">
        <v>2739</v>
      </c>
      <c r="I7321" s="1005" t="s">
        <v>2766</v>
      </c>
      <c r="J7321" s="1006"/>
      <c r="K7321" s="1004" t="str">
        <f t="shared" si="224"/>
        <v>09,26</v>
      </c>
      <c r="L7321" s="1004" t="s">
        <v>28</v>
      </c>
      <c r="M7321" s="1004">
        <v>9325.31</v>
      </c>
      <c r="N7321" s="1007">
        <v>0.41666666666666669</v>
      </c>
      <c r="O7321" s="897" t="s">
        <v>2752</v>
      </c>
      <c r="P7321" s="867" t="s">
        <v>2877</v>
      </c>
    </row>
    <row r="7322" spans="1:16" ht="19.5" hidden="1" thickBot="1" x14ac:dyDescent="0.3">
      <c r="A7322" s="1086"/>
      <c r="B7322" s="1008" t="s">
        <v>2692</v>
      </c>
      <c r="C7322" s="1009" t="s">
        <v>24</v>
      </c>
      <c r="D7322" s="1010">
        <v>8.4339999999999993</v>
      </c>
      <c r="E7322" s="1011">
        <v>6.9450000000000003</v>
      </c>
      <c r="F7322" s="1012" t="s">
        <v>16</v>
      </c>
      <c r="G7322" s="1013"/>
      <c r="H7322" s="1012" t="s">
        <v>2739</v>
      </c>
      <c r="I7322" s="1014" t="s">
        <v>2766</v>
      </c>
      <c r="J7322" s="1015"/>
      <c r="K7322" s="1012" t="str">
        <f t="shared" si="224"/>
        <v>09,26</v>
      </c>
      <c r="L7322" s="1012" t="s">
        <v>28</v>
      </c>
      <c r="M7322" s="1012">
        <v>8606.24</v>
      </c>
      <c r="N7322" s="1016">
        <v>0.41666666666666669</v>
      </c>
      <c r="O7322" s="897" t="s">
        <v>2751</v>
      </c>
      <c r="P7322" s="867" t="s">
        <v>2876</v>
      </c>
    </row>
    <row r="7323" spans="1:16" ht="38.25" hidden="1" thickBot="1" x14ac:dyDescent="0.3">
      <c r="A7323" s="1086"/>
      <c r="B7323" s="1017" t="s">
        <v>2764</v>
      </c>
      <c r="C7323" s="1018" t="s">
        <v>15</v>
      </c>
      <c r="D7323" s="1019">
        <v>1.56</v>
      </c>
      <c r="E7323" s="1019">
        <v>1.571</v>
      </c>
      <c r="F7323" s="1020" t="s">
        <v>16</v>
      </c>
      <c r="G7323" s="1021" t="s">
        <v>2843</v>
      </c>
      <c r="H7323" s="1020" t="s">
        <v>2739</v>
      </c>
      <c r="I7323" s="1020" t="s">
        <v>2766</v>
      </c>
      <c r="J7323" s="1022"/>
      <c r="K7323" s="1020" t="str">
        <f t="shared" si="224"/>
        <v>09,26</v>
      </c>
      <c r="L7323" s="1020" t="s">
        <v>28</v>
      </c>
      <c r="M7323" s="1020">
        <v>1560</v>
      </c>
      <c r="N7323" s="1016">
        <v>0.41666666666666669</v>
      </c>
      <c r="O7323" s="897" t="s">
        <v>2847</v>
      </c>
      <c r="P7323" s="867" t="s">
        <v>2878</v>
      </c>
    </row>
    <row r="7324" spans="1:16" ht="19.5" hidden="1" thickBot="1" x14ac:dyDescent="0.3">
      <c r="A7324" s="1087"/>
      <c r="B7324" s="1023" t="s">
        <v>2764</v>
      </c>
      <c r="C7324" s="1024" t="s">
        <v>24</v>
      </c>
      <c r="D7324" s="1025">
        <v>1.59</v>
      </c>
      <c r="E7324" s="1025">
        <v>1.597</v>
      </c>
      <c r="F7324" s="1026" t="s">
        <v>16</v>
      </c>
      <c r="G7324" s="1027" t="s">
        <v>76</v>
      </c>
      <c r="H7324" s="1026" t="s">
        <v>2739</v>
      </c>
      <c r="I7324" s="1026" t="s">
        <v>2766</v>
      </c>
      <c r="J7324" s="1028"/>
      <c r="K7324" s="1026" t="str">
        <f t="shared" si="224"/>
        <v>09,26</v>
      </c>
      <c r="L7324" s="1026" t="s">
        <v>28</v>
      </c>
      <c r="M7324" s="1026">
        <v>1590</v>
      </c>
      <c r="N7324" s="1029">
        <v>0.41666666666666669</v>
      </c>
      <c r="O7324" s="897" t="s">
        <v>2813</v>
      </c>
      <c r="P7324" s="867" t="s">
        <v>2879</v>
      </c>
    </row>
    <row r="7325" spans="1:16" ht="19.5" hidden="1" thickBot="1" x14ac:dyDescent="0.3">
      <c r="A7325" s="1062">
        <f>MAX(A7133:A7324)+1</f>
        <v>4488</v>
      </c>
      <c r="B7325" s="523" t="s">
        <v>2692</v>
      </c>
      <c r="C7325" s="524" t="s">
        <v>587</v>
      </c>
      <c r="D7325" s="525">
        <v>7.93</v>
      </c>
      <c r="E7325" s="526">
        <v>6.9539999999999997</v>
      </c>
      <c r="F7325" s="527" t="s">
        <v>16</v>
      </c>
      <c r="G7325" s="561" t="s">
        <v>47</v>
      </c>
      <c r="H7325" s="527" t="s">
        <v>2739</v>
      </c>
      <c r="I7325" s="528" t="s">
        <v>2766</v>
      </c>
      <c r="J7325" s="529"/>
      <c r="K7325" s="527" t="str">
        <f t="shared" si="224"/>
        <v>09,26</v>
      </c>
      <c r="L7325" s="527" t="s">
        <v>28</v>
      </c>
      <c r="M7325" s="527">
        <v>7930.4400000000014</v>
      </c>
      <c r="N7325" s="530">
        <v>0.45833333333333331</v>
      </c>
      <c r="O7325" s="897" t="s">
        <v>2754</v>
      </c>
      <c r="P7325" s="867" t="s">
        <v>2868</v>
      </c>
    </row>
    <row r="7326" spans="1:16" ht="19.5" hidden="1" thickBot="1" x14ac:dyDescent="0.3">
      <c r="A7326" s="1072"/>
      <c r="B7326" s="523" t="s">
        <v>2692</v>
      </c>
      <c r="C7326" s="524" t="s">
        <v>47</v>
      </c>
      <c r="D7326" s="525">
        <v>9.65</v>
      </c>
      <c r="E7326" s="526">
        <v>8.4139999999999997</v>
      </c>
      <c r="F7326" s="527" t="s">
        <v>16</v>
      </c>
      <c r="G7326" s="561"/>
      <c r="H7326" s="527" t="s">
        <v>2739</v>
      </c>
      <c r="I7326" s="528" t="s">
        <v>2766</v>
      </c>
      <c r="J7326" s="529"/>
      <c r="K7326" s="527" t="str">
        <f t="shared" si="224"/>
        <v>09,26</v>
      </c>
      <c r="L7326" s="527" t="s">
        <v>28</v>
      </c>
      <c r="M7326" s="527">
        <v>9749.8799999999974</v>
      </c>
      <c r="N7326" s="530">
        <v>0.45833333333333331</v>
      </c>
      <c r="O7326" s="897" t="s">
        <v>2753</v>
      </c>
      <c r="P7326" s="867" t="s">
        <v>2869</v>
      </c>
    </row>
    <row r="7327" spans="1:16" ht="19.5" hidden="1" thickBot="1" x14ac:dyDescent="0.3">
      <c r="A7327" s="1063"/>
      <c r="B7327" s="859" t="s">
        <v>2764</v>
      </c>
      <c r="C7327" s="854" t="s">
        <v>47</v>
      </c>
      <c r="D7327" s="855">
        <v>2.34</v>
      </c>
      <c r="E7327" s="855">
        <v>2.3610000000000002</v>
      </c>
      <c r="F7327" s="856" t="s">
        <v>16</v>
      </c>
      <c r="G7327" s="857" t="s">
        <v>76</v>
      </c>
      <c r="H7327" s="856" t="s">
        <v>2739</v>
      </c>
      <c r="I7327" s="856" t="s">
        <v>2766</v>
      </c>
      <c r="J7327" s="858"/>
      <c r="K7327" s="856" t="str">
        <f t="shared" si="224"/>
        <v>09,26</v>
      </c>
      <c r="L7327" s="856" t="s">
        <v>28</v>
      </c>
      <c r="M7327" s="856">
        <v>2340</v>
      </c>
      <c r="N7327" s="653">
        <v>0.45833333333333331</v>
      </c>
      <c r="O7327" s="897" t="s">
        <v>2814</v>
      </c>
      <c r="P7327" s="867" t="s">
        <v>2870</v>
      </c>
    </row>
    <row r="7328" spans="1:16" ht="19.5" hidden="1" thickBot="1" x14ac:dyDescent="0.3">
      <c r="A7328" s="1059">
        <f>MAX(A7135:A7327)+1</f>
        <v>4489</v>
      </c>
      <c r="B7328" s="760" t="s">
        <v>2692</v>
      </c>
      <c r="C7328" s="564" t="s">
        <v>23</v>
      </c>
      <c r="D7328" s="565">
        <v>17.599</v>
      </c>
      <c r="E7328" s="566">
        <v>16.259</v>
      </c>
      <c r="F7328" s="567" t="s">
        <v>16</v>
      </c>
      <c r="G7328" s="568"/>
      <c r="H7328" s="567" t="s">
        <v>2739</v>
      </c>
      <c r="I7328" s="569" t="s">
        <v>2766</v>
      </c>
      <c r="J7328" s="570"/>
      <c r="K7328" s="567" t="str">
        <f t="shared" si="224"/>
        <v>09,26</v>
      </c>
      <c r="L7328" s="567" t="s">
        <v>28</v>
      </c>
      <c r="M7328" s="567">
        <v>17671.72</v>
      </c>
      <c r="N7328" s="571">
        <v>0.5</v>
      </c>
      <c r="O7328" s="897" t="s">
        <v>2755</v>
      </c>
      <c r="P7328" s="867" t="s">
        <v>2884</v>
      </c>
    </row>
    <row r="7329" spans="1:17" ht="19.5" hidden="1" thickBot="1" x14ac:dyDescent="0.3">
      <c r="A7329" s="1061"/>
      <c r="B7329" s="798" t="s">
        <v>2764</v>
      </c>
      <c r="C7329" s="799" t="s">
        <v>23</v>
      </c>
      <c r="D7329" s="800">
        <v>1.41</v>
      </c>
      <c r="E7329" s="800">
        <v>1.41</v>
      </c>
      <c r="F7329" s="801" t="s">
        <v>16</v>
      </c>
      <c r="G7329" s="802" t="s">
        <v>76</v>
      </c>
      <c r="H7329" s="801" t="s">
        <v>2739</v>
      </c>
      <c r="I7329" s="801" t="s">
        <v>2766</v>
      </c>
      <c r="J7329" s="803"/>
      <c r="K7329" s="801" t="str">
        <f t="shared" si="224"/>
        <v>09,26</v>
      </c>
      <c r="L7329" s="801" t="s">
        <v>28</v>
      </c>
      <c r="M7329" s="801">
        <v>1410</v>
      </c>
      <c r="N7329" s="804">
        <v>0.5</v>
      </c>
      <c r="O7329" s="897" t="s">
        <v>2815</v>
      </c>
      <c r="P7329" s="867" t="s">
        <v>2885</v>
      </c>
    </row>
    <row r="7330" spans="1:17" ht="19.5" hidden="1" thickBot="1" x14ac:dyDescent="0.3">
      <c r="A7330" s="1073">
        <f>MAX(A7136:A7328)+1</f>
        <v>4490</v>
      </c>
      <c r="B7330" s="610" t="s">
        <v>2709</v>
      </c>
      <c r="C7330" s="480" t="s">
        <v>26</v>
      </c>
      <c r="D7330" s="481">
        <v>17.420999999999999</v>
      </c>
      <c r="E7330" s="482">
        <v>14</v>
      </c>
      <c r="F7330" s="483" t="s">
        <v>16</v>
      </c>
      <c r="G7330" s="549"/>
      <c r="H7330" s="483" t="s">
        <v>2764</v>
      </c>
      <c r="I7330" s="484" t="s">
        <v>2764</v>
      </c>
      <c r="J7330" s="485"/>
      <c r="K7330" s="483" t="str">
        <f t="shared" si="224"/>
        <v>09,26</v>
      </c>
      <c r="L7330" s="483" t="s">
        <v>265</v>
      </c>
      <c r="M7330" s="483">
        <v>17603.78</v>
      </c>
      <c r="N7330" s="486">
        <v>4.1666666666666664E-2</v>
      </c>
      <c r="O7330" s="897" t="s">
        <v>2767</v>
      </c>
      <c r="P7330" s="867" t="s">
        <v>2829</v>
      </c>
    </row>
    <row r="7331" spans="1:17" ht="19.5" hidden="1" thickBot="1" x14ac:dyDescent="0.3">
      <c r="A7331" s="1074"/>
      <c r="B7331" s="805" t="s">
        <v>2764</v>
      </c>
      <c r="C7331" s="806" t="s">
        <v>26</v>
      </c>
      <c r="D7331" s="807">
        <v>3.42</v>
      </c>
      <c r="E7331" s="807">
        <v>3.4449999999999998</v>
      </c>
      <c r="F7331" s="808" t="s">
        <v>16</v>
      </c>
      <c r="G7331" s="857" t="s">
        <v>76</v>
      </c>
      <c r="H7331" s="808" t="s">
        <v>2764</v>
      </c>
      <c r="I7331" s="808" t="s">
        <v>2764</v>
      </c>
      <c r="J7331" s="810"/>
      <c r="K7331" s="808" t="str">
        <f t="shared" si="224"/>
        <v>09,26</v>
      </c>
      <c r="L7331" s="808" t="s">
        <v>265</v>
      </c>
      <c r="M7331" s="808">
        <v>3420</v>
      </c>
      <c r="N7331" s="778">
        <v>4.1666666666666664E-2</v>
      </c>
      <c r="O7331" s="897" t="s">
        <v>2817</v>
      </c>
      <c r="P7331" s="867" t="s">
        <v>2830</v>
      </c>
    </row>
    <row r="7332" spans="1:17" ht="26.25" hidden="1" customHeight="1" x14ac:dyDescent="0.25">
      <c r="A7332" s="1059">
        <f>MAX(A7137:A7330)+1</f>
        <v>4491</v>
      </c>
      <c r="B7332" s="759" t="s">
        <v>2709</v>
      </c>
      <c r="C7332" s="532" t="s">
        <v>15</v>
      </c>
      <c r="D7332" s="533">
        <v>7.9119999999999999</v>
      </c>
      <c r="E7332" s="534">
        <f>7.253+0.118</f>
        <v>7.3710000000000004</v>
      </c>
      <c r="F7332" s="535" t="s">
        <v>16</v>
      </c>
      <c r="G7332" s="1082" t="s">
        <v>2765</v>
      </c>
      <c r="H7332" s="535" t="s">
        <v>2764</v>
      </c>
      <c r="I7332" s="537" t="s">
        <v>2844</v>
      </c>
      <c r="J7332" s="538"/>
      <c r="K7332" s="535" t="str">
        <f t="shared" si="224"/>
        <v>09,26</v>
      </c>
      <c r="L7332" s="535" t="s">
        <v>28</v>
      </c>
      <c r="M7332" s="535">
        <v>8078.6400000000012</v>
      </c>
      <c r="N7332" s="539">
        <v>0.41666666666666669</v>
      </c>
      <c r="O7332" s="897" t="s">
        <v>2770</v>
      </c>
      <c r="P7332" s="867" t="s">
        <v>2899</v>
      </c>
      <c r="Q7332" s="847" t="s">
        <v>2900</v>
      </c>
    </row>
    <row r="7333" spans="1:17" ht="26.25" hidden="1" customHeight="1" x14ac:dyDescent="0.25">
      <c r="A7333" s="1060"/>
      <c r="B7333" s="824" t="s">
        <v>2709</v>
      </c>
      <c r="C7333" s="820" t="s">
        <v>24</v>
      </c>
      <c r="D7333" s="821">
        <v>5.5549999999999997</v>
      </c>
      <c r="E7333" s="822">
        <v>5.3369999999999997</v>
      </c>
      <c r="F7333" s="819" t="s">
        <v>16</v>
      </c>
      <c r="G7333" s="1083"/>
      <c r="H7333" s="819" t="s">
        <v>2764</v>
      </c>
      <c r="I7333" s="782" t="s">
        <v>2844</v>
      </c>
      <c r="J7333" s="825"/>
      <c r="K7333" s="819" t="str">
        <f t="shared" si="224"/>
        <v>09,26</v>
      </c>
      <c r="L7333" s="819" t="s">
        <v>28</v>
      </c>
      <c r="M7333" s="819">
        <v>5692.6</v>
      </c>
      <c r="N7333" s="811">
        <v>0.41666666666666669</v>
      </c>
      <c r="O7333" s="897" t="s">
        <v>2769</v>
      </c>
      <c r="P7333" s="867" t="s">
        <v>2898</v>
      </c>
    </row>
    <row r="7334" spans="1:17" ht="26.25" hidden="1" customHeight="1" thickBot="1" x14ac:dyDescent="0.3">
      <c r="A7334" s="1061"/>
      <c r="B7334" s="798" t="s">
        <v>2764</v>
      </c>
      <c r="C7334" s="799" t="s">
        <v>15</v>
      </c>
      <c r="D7334" s="800">
        <v>1.1100000000000001</v>
      </c>
      <c r="E7334" s="800">
        <v>1.127</v>
      </c>
      <c r="F7334" s="801" t="s">
        <v>16</v>
      </c>
      <c r="G7334" s="1084"/>
      <c r="H7334" s="801" t="s">
        <v>2764</v>
      </c>
      <c r="I7334" s="801" t="s">
        <v>2844</v>
      </c>
      <c r="J7334" s="803"/>
      <c r="K7334" s="801" t="str">
        <f t="shared" si="224"/>
        <v>09,26</v>
      </c>
      <c r="L7334" s="801" t="s">
        <v>28</v>
      </c>
      <c r="M7334" s="801">
        <v>1110</v>
      </c>
      <c r="N7334" s="804">
        <v>0.41666666666666669</v>
      </c>
      <c r="O7334" s="920" t="s">
        <v>2824</v>
      </c>
      <c r="P7334" s="867" t="s">
        <v>2901</v>
      </c>
    </row>
    <row r="7335" spans="1:17" ht="19.5" hidden="1" thickBot="1" x14ac:dyDescent="0.3">
      <c r="A7335" s="1073">
        <f>MAX(A7139:A7334)+1</f>
        <v>4492</v>
      </c>
      <c r="B7335" s="610" t="s">
        <v>2709</v>
      </c>
      <c r="C7335" s="480" t="s">
        <v>23</v>
      </c>
      <c r="D7335" s="481">
        <v>16.652000000000001</v>
      </c>
      <c r="E7335" s="482">
        <v>14.968999999999999</v>
      </c>
      <c r="F7335" s="483" t="s">
        <v>16</v>
      </c>
      <c r="G7335" s="1075" t="s">
        <v>1633</v>
      </c>
      <c r="H7335" s="483" t="s">
        <v>2764</v>
      </c>
      <c r="I7335" s="484" t="s">
        <v>2854</v>
      </c>
      <c r="J7335" s="485"/>
      <c r="K7335" s="483" t="str">
        <f t="shared" si="224"/>
        <v>09,26</v>
      </c>
      <c r="L7335" s="483" t="s">
        <v>28</v>
      </c>
      <c r="M7335" s="483">
        <v>16838.939999999999</v>
      </c>
      <c r="N7335" s="486">
        <v>0.45833333333333331</v>
      </c>
      <c r="O7335" s="897" t="s">
        <v>2771</v>
      </c>
      <c r="P7335" s="867" t="s">
        <v>2942</v>
      </c>
    </row>
    <row r="7336" spans="1:17" ht="19.5" hidden="1" thickBot="1" x14ac:dyDescent="0.3">
      <c r="A7336" s="1074"/>
      <c r="B7336" s="805" t="s">
        <v>2764</v>
      </c>
      <c r="C7336" s="806" t="s">
        <v>23</v>
      </c>
      <c r="D7336" s="807">
        <v>1.905</v>
      </c>
      <c r="E7336" s="807">
        <v>1.9079999999999999</v>
      </c>
      <c r="F7336" s="808" t="s">
        <v>16</v>
      </c>
      <c r="G7336" s="1076"/>
      <c r="H7336" s="808" t="s">
        <v>2764</v>
      </c>
      <c r="I7336" s="808" t="s">
        <v>2854</v>
      </c>
      <c r="J7336" s="810"/>
      <c r="K7336" s="808" t="str">
        <f t="shared" si="224"/>
        <v>09,26</v>
      </c>
      <c r="L7336" s="808" t="s">
        <v>28</v>
      </c>
      <c r="M7336" s="808">
        <v>1905</v>
      </c>
      <c r="N7336" s="778">
        <v>0.45833333333333331</v>
      </c>
      <c r="O7336" s="897" t="s">
        <v>2816</v>
      </c>
      <c r="P7336" s="867" t="s">
        <v>2943</v>
      </c>
    </row>
    <row r="7337" spans="1:17" ht="19.5" hidden="1" thickBot="1" x14ac:dyDescent="0.3">
      <c r="A7337" s="503">
        <f>MAX(A7140:A7335)+1</f>
        <v>4493</v>
      </c>
      <c r="B7337" s="636" t="s">
        <v>2709</v>
      </c>
      <c r="C7337" s="637" t="s">
        <v>26</v>
      </c>
      <c r="D7337" s="638">
        <v>15.191000000000001</v>
      </c>
      <c r="E7337" s="639">
        <v>15.191000000000001</v>
      </c>
      <c r="F7337" s="640" t="s">
        <v>30</v>
      </c>
      <c r="G7337" s="641"/>
      <c r="H7337" s="640" t="s">
        <v>2764</v>
      </c>
      <c r="I7337" s="642" t="s">
        <v>2764</v>
      </c>
      <c r="J7337" s="643"/>
      <c r="K7337" s="640" t="str">
        <f t="shared" si="224"/>
        <v>09,26</v>
      </c>
      <c r="L7337" s="640" t="s">
        <v>265</v>
      </c>
      <c r="M7337" s="640">
        <v>15191.000000000004</v>
      </c>
      <c r="N7337" s="644">
        <v>4.1666666666666664E-2</v>
      </c>
      <c r="O7337" s="897" t="s">
        <v>2777</v>
      </c>
      <c r="P7337" s="867" t="s">
        <v>2840</v>
      </c>
    </row>
    <row r="7338" spans="1:17" ht="19.5" hidden="1" thickBot="1" x14ac:dyDescent="0.3">
      <c r="A7338" s="1062">
        <f>MAX(A7141:A7337)+1</f>
        <v>4494</v>
      </c>
      <c r="B7338" s="479" t="s">
        <v>2709</v>
      </c>
      <c r="C7338" s="480" t="s">
        <v>667</v>
      </c>
      <c r="D7338" s="481">
        <v>6.0410000000000004</v>
      </c>
      <c r="E7338" s="482">
        <v>6.0410000000000004</v>
      </c>
      <c r="F7338" s="483" t="s">
        <v>30</v>
      </c>
      <c r="G7338" s="549"/>
      <c r="H7338" s="483" t="s">
        <v>2764</v>
      </c>
      <c r="I7338" s="484" t="s">
        <v>2766</v>
      </c>
      <c r="J7338" s="485"/>
      <c r="K7338" s="483" t="str">
        <f t="shared" si="224"/>
        <v>09,26</v>
      </c>
      <c r="L7338" s="483" t="s">
        <v>28</v>
      </c>
      <c r="M7338" s="483">
        <v>6041.5199999999995</v>
      </c>
      <c r="N7338" s="486">
        <v>0.41666666666666669</v>
      </c>
      <c r="O7338" s="897" t="s">
        <v>2789</v>
      </c>
      <c r="P7338" s="867" t="s">
        <v>2881</v>
      </c>
    </row>
    <row r="7339" spans="1:17" ht="19.5" hidden="1" thickBot="1" x14ac:dyDescent="0.3">
      <c r="A7339" s="1072"/>
      <c r="B7339" s="523" t="s">
        <v>2709</v>
      </c>
      <c r="C7339" s="524" t="s">
        <v>15</v>
      </c>
      <c r="D7339" s="525">
        <v>4.8330000000000002</v>
      </c>
      <c r="E7339" s="526">
        <v>4.8330000000000002</v>
      </c>
      <c r="F7339" s="527" t="s">
        <v>30</v>
      </c>
      <c r="G7339" s="561"/>
      <c r="H7339" s="527" t="s">
        <v>2764</v>
      </c>
      <c r="I7339" s="528" t="s">
        <v>2766</v>
      </c>
      <c r="J7339" s="529"/>
      <c r="K7339" s="527" t="str">
        <f t="shared" si="224"/>
        <v>09,26</v>
      </c>
      <c r="L7339" s="527" t="s">
        <v>28</v>
      </c>
      <c r="M7339" s="527">
        <v>4833.12</v>
      </c>
      <c r="N7339" s="530">
        <v>0.41666666666666669</v>
      </c>
      <c r="O7339" s="897" t="s">
        <v>2781</v>
      </c>
      <c r="P7339" s="867" t="s">
        <v>2882</v>
      </c>
    </row>
    <row r="7340" spans="1:17" ht="19.5" hidden="1" thickBot="1" x14ac:dyDescent="0.3">
      <c r="A7340" s="1063"/>
      <c r="B7340" s="645" t="s">
        <v>2709</v>
      </c>
      <c r="C7340" s="646" t="s">
        <v>24</v>
      </c>
      <c r="D7340" s="647">
        <v>2.4369999999999998</v>
      </c>
      <c r="E7340" s="648">
        <v>2.4369999999999998</v>
      </c>
      <c r="F7340" s="649" t="s">
        <v>30</v>
      </c>
      <c r="G7340" s="650"/>
      <c r="H7340" s="649" t="s">
        <v>2764</v>
      </c>
      <c r="I7340" s="651" t="s">
        <v>2766</v>
      </c>
      <c r="J7340" s="652"/>
      <c r="K7340" s="649" t="str">
        <f t="shared" si="224"/>
        <v>09,26</v>
      </c>
      <c r="L7340" s="649" t="s">
        <v>28</v>
      </c>
      <c r="M7340" s="649">
        <v>2437.6799999999998</v>
      </c>
      <c r="N7340" s="653">
        <v>0.41666666666666669</v>
      </c>
      <c r="O7340" s="897" t="s">
        <v>2779</v>
      </c>
      <c r="P7340" s="867" t="s">
        <v>2883</v>
      </c>
    </row>
    <row r="7341" spans="1:17" ht="19.5" hidden="1" thickBot="1" x14ac:dyDescent="0.3">
      <c r="A7341" s="1066">
        <f>MAX(A7144:A7340)+1</f>
        <v>4495</v>
      </c>
      <c r="B7341" s="531" t="s">
        <v>2709</v>
      </c>
      <c r="C7341" s="532" t="s">
        <v>587</v>
      </c>
      <c r="D7341" s="533">
        <v>9.3539999999999992</v>
      </c>
      <c r="E7341" s="534">
        <v>9.2870000000000008</v>
      </c>
      <c r="F7341" s="535" t="s">
        <v>30</v>
      </c>
      <c r="G7341" s="536" t="s">
        <v>23</v>
      </c>
      <c r="H7341" s="535" t="s">
        <v>2764</v>
      </c>
      <c r="I7341" s="537" t="s">
        <v>2766</v>
      </c>
      <c r="J7341" s="538"/>
      <c r="K7341" s="535" t="str">
        <f t="shared" si="224"/>
        <v>09,26</v>
      </c>
      <c r="L7341" s="535" t="s">
        <v>28</v>
      </c>
      <c r="M7341" s="535">
        <v>9354.24</v>
      </c>
      <c r="N7341" s="539">
        <v>0.45833333333333331</v>
      </c>
      <c r="O7341" s="897" t="s">
        <v>2790</v>
      </c>
      <c r="P7341" s="867" t="s">
        <v>2887</v>
      </c>
    </row>
    <row r="7342" spans="1:17" ht="19.5" hidden="1" thickBot="1" x14ac:dyDescent="0.3">
      <c r="A7342" s="1067"/>
      <c r="B7342" s="636" t="s">
        <v>2709</v>
      </c>
      <c r="C7342" s="637" t="s">
        <v>23</v>
      </c>
      <c r="D7342" s="638">
        <v>5.0990000000000002</v>
      </c>
      <c r="E7342" s="639">
        <v>5.0990000000000002</v>
      </c>
      <c r="F7342" s="640" t="s">
        <v>30</v>
      </c>
      <c r="G7342" s="641"/>
      <c r="H7342" s="640" t="s">
        <v>2764</v>
      </c>
      <c r="I7342" s="642" t="s">
        <v>2766</v>
      </c>
      <c r="J7342" s="643"/>
      <c r="K7342" s="640" t="str">
        <f t="shared" si="224"/>
        <v>09,26</v>
      </c>
      <c r="L7342" s="640" t="s">
        <v>28</v>
      </c>
      <c r="M7342" s="640">
        <v>5099.5200000000004</v>
      </c>
      <c r="N7342" s="644">
        <v>0.45833333333333331</v>
      </c>
      <c r="O7342" s="897" t="s">
        <v>2788</v>
      </c>
      <c r="P7342" s="867" t="s">
        <v>2888</v>
      </c>
    </row>
    <row r="7343" spans="1:17" ht="19.5" hidden="1" thickBot="1" x14ac:dyDescent="0.3">
      <c r="A7343" s="513">
        <f t="shared" ref="A7343:A7344" si="225">MAX(A7146:A7342)+1</f>
        <v>4496</v>
      </c>
      <c r="B7343" s="514" t="s">
        <v>2709</v>
      </c>
      <c r="C7343" s="515" t="s">
        <v>26</v>
      </c>
      <c r="D7343" s="516">
        <v>18.998000000000001</v>
      </c>
      <c r="E7343" s="517">
        <v>17.835999999999999</v>
      </c>
      <c r="F7343" s="518" t="s">
        <v>16</v>
      </c>
      <c r="G7343" s="519"/>
      <c r="H7343" s="518" t="s">
        <v>2766</v>
      </c>
      <c r="I7343" s="520" t="s">
        <v>2766</v>
      </c>
      <c r="J7343" s="521"/>
      <c r="K7343" s="518" t="str">
        <f t="shared" si="224"/>
        <v>09,26</v>
      </c>
      <c r="L7343" s="518" t="s">
        <v>265</v>
      </c>
      <c r="M7343" s="518">
        <v>19177.359999999997</v>
      </c>
      <c r="N7343" s="522">
        <v>4.1666666666666664E-2</v>
      </c>
      <c r="O7343" s="897" t="s">
        <v>2768</v>
      </c>
      <c r="P7343" s="867" t="s">
        <v>2848</v>
      </c>
    </row>
    <row r="7344" spans="1:17" ht="19.5" hidden="1" thickBot="1" x14ac:dyDescent="0.3">
      <c r="A7344" s="1059">
        <f t="shared" si="225"/>
        <v>4497</v>
      </c>
      <c r="B7344" s="760" t="s">
        <v>2709</v>
      </c>
      <c r="C7344" s="564" t="s">
        <v>23</v>
      </c>
      <c r="D7344" s="565">
        <v>17.602</v>
      </c>
      <c r="E7344" s="566">
        <v>17.105</v>
      </c>
      <c r="F7344" s="567" t="s">
        <v>16</v>
      </c>
      <c r="G7344" s="568"/>
      <c r="H7344" s="567" t="s">
        <v>2766</v>
      </c>
      <c r="I7344" s="569" t="s">
        <v>2766</v>
      </c>
      <c r="J7344" s="570"/>
      <c r="K7344" s="567" t="str">
        <f t="shared" si="224"/>
        <v>09,26</v>
      </c>
      <c r="L7344" s="567" t="s">
        <v>28</v>
      </c>
      <c r="M7344" s="567">
        <v>17741.260000000002</v>
      </c>
      <c r="N7344" s="571">
        <v>0.41666666666666669</v>
      </c>
      <c r="O7344" s="897" t="s">
        <v>2778</v>
      </c>
      <c r="P7344" s="867" t="s">
        <v>2880</v>
      </c>
    </row>
    <row r="7345" spans="1:18" ht="19.5" hidden="1" thickBot="1" x14ac:dyDescent="0.3">
      <c r="A7345" s="1061"/>
      <c r="B7345" s="1040" t="s">
        <v>2844</v>
      </c>
      <c r="C7345" s="1041" t="s">
        <v>23</v>
      </c>
      <c r="D7345" s="1042">
        <v>0.39</v>
      </c>
      <c r="E7345" s="1042" t="s">
        <v>1496</v>
      </c>
      <c r="F7345" s="1043" t="s">
        <v>16</v>
      </c>
      <c r="G7345" s="1044" t="s">
        <v>76</v>
      </c>
      <c r="H7345" s="1043" t="s">
        <v>2766</v>
      </c>
      <c r="I7345" s="1043" t="s">
        <v>1496</v>
      </c>
      <c r="J7345" s="1045"/>
      <c r="K7345" s="1043" t="str">
        <f t="shared" si="224"/>
        <v>тмена</v>
      </c>
      <c r="L7345" s="1043" t="s">
        <v>28</v>
      </c>
      <c r="M7345" s="1043">
        <v>390</v>
      </c>
      <c r="N7345" s="1046">
        <v>0.41666666666666669</v>
      </c>
      <c r="O7345" s="920" t="s">
        <v>2886</v>
      </c>
      <c r="P7345" s="921" t="s">
        <v>1024</v>
      </c>
    </row>
    <row r="7346" spans="1:18" ht="19.5" hidden="1" thickBot="1" x14ac:dyDescent="0.3">
      <c r="A7346" s="1073">
        <f>MAX(A7148:A7344)+1</f>
        <v>4498</v>
      </c>
      <c r="B7346" s="610" t="s">
        <v>2709</v>
      </c>
      <c r="C7346" s="480" t="s">
        <v>47</v>
      </c>
      <c r="D7346" s="481">
        <v>16.655999999999999</v>
      </c>
      <c r="E7346" s="482">
        <v>16.018999999999998</v>
      </c>
      <c r="F7346" s="483" t="s">
        <v>16</v>
      </c>
      <c r="G7346" s="1075" t="s">
        <v>1633</v>
      </c>
      <c r="H7346" s="483" t="s">
        <v>2766</v>
      </c>
      <c r="I7346" s="484" t="s">
        <v>2854</v>
      </c>
      <c r="J7346" s="485"/>
      <c r="K7346" s="483" t="str">
        <f t="shared" si="224"/>
        <v>09,26</v>
      </c>
      <c r="L7346" s="483" t="s">
        <v>28</v>
      </c>
      <c r="M7346" s="483">
        <v>16888.060000000001</v>
      </c>
      <c r="N7346" s="486">
        <v>0.45833333333333331</v>
      </c>
      <c r="O7346" s="897" t="s">
        <v>2786</v>
      </c>
      <c r="P7346" s="867" t="s">
        <v>2937</v>
      </c>
    </row>
    <row r="7347" spans="1:18" ht="19.5" hidden="1" thickBot="1" x14ac:dyDescent="0.3">
      <c r="A7347" s="1074"/>
      <c r="B7347" s="805" t="s">
        <v>2854</v>
      </c>
      <c r="C7347" s="806" t="s">
        <v>47</v>
      </c>
      <c r="D7347" s="807">
        <v>0.9</v>
      </c>
      <c r="E7347" s="807">
        <v>0.90600000000000003</v>
      </c>
      <c r="F7347" s="808" t="s">
        <v>16</v>
      </c>
      <c r="G7347" s="1076"/>
      <c r="H7347" s="808" t="s">
        <v>2766</v>
      </c>
      <c r="I7347" s="808" t="s">
        <v>2905</v>
      </c>
      <c r="J7347" s="810"/>
      <c r="K7347" s="808" t="str">
        <f t="shared" si="224"/>
        <v>09,26</v>
      </c>
      <c r="L7347" s="808" t="s">
        <v>28</v>
      </c>
      <c r="M7347" s="808">
        <v>900</v>
      </c>
      <c r="N7347" s="778">
        <v>0.45833333333333331</v>
      </c>
      <c r="O7347" s="897" t="s">
        <v>2929</v>
      </c>
      <c r="P7347" s="867" t="s">
        <v>2964</v>
      </c>
    </row>
    <row r="7348" spans="1:18" ht="38.25" hidden="1" thickBot="1" x14ac:dyDescent="0.3">
      <c r="A7348" s="503">
        <f>MAX(A7149:A7346)+1</f>
        <v>4499</v>
      </c>
      <c r="B7348" s="504" t="s">
        <v>2709</v>
      </c>
      <c r="C7348" s="505" t="s">
        <v>2772</v>
      </c>
      <c r="D7348" s="506">
        <v>18.163</v>
      </c>
      <c r="E7348" s="507">
        <v>16.058</v>
      </c>
      <c r="F7348" s="508" t="s">
        <v>16</v>
      </c>
      <c r="G7348" s="509" t="s">
        <v>2780</v>
      </c>
      <c r="H7348" s="508" t="s">
        <v>2766</v>
      </c>
      <c r="I7348" s="510" t="s">
        <v>2818</v>
      </c>
      <c r="J7348" s="511" t="s">
        <v>25</v>
      </c>
      <c r="K7348" s="508" t="str">
        <f t="shared" si="224"/>
        <v>09,26</v>
      </c>
      <c r="L7348" s="508" t="s">
        <v>265</v>
      </c>
      <c r="M7348" s="508">
        <v>18284.600000000002</v>
      </c>
      <c r="N7348" s="512">
        <v>0.5</v>
      </c>
      <c r="O7348" s="897" t="s">
        <v>2787</v>
      </c>
      <c r="P7348" s="867" t="s">
        <v>2867</v>
      </c>
    </row>
    <row r="7349" spans="1:18" ht="19.5" hidden="1" thickBot="1" x14ac:dyDescent="0.3">
      <c r="A7349" s="513">
        <f>MAX(A7150:A7348)+1</f>
        <v>4500</v>
      </c>
      <c r="B7349" s="514" t="s">
        <v>2709</v>
      </c>
      <c r="C7349" s="515" t="s">
        <v>587</v>
      </c>
      <c r="D7349" s="516">
        <v>11.188000000000001</v>
      </c>
      <c r="E7349" s="517">
        <v>11.188000000000001</v>
      </c>
      <c r="F7349" s="518" t="s">
        <v>30</v>
      </c>
      <c r="G7349" s="519" t="s">
        <v>47</v>
      </c>
      <c r="H7349" s="518" t="s">
        <v>2766</v>
      </c>
      <c r="I7349" s="520" t="s">
        <v>2818</v>
      </c>
      <c r="J7349" s="521"/>
      <c r="K7349" s="518" t="str">
        <f t="shared" si="224"/>
        <v>09,26</v>
      </c>
      <c r="L7349" s="518" t="s">
        <v>28</v>
      </c>
      <c r="M7349" s="518">
        <v>11188.800000000001</v>
      </c>
      <c r="N7349" s="522">
        <v>0.41666666666666669</v>
      </c>
      <c r="O7349" s="897" t="s">
        <v>2782</v>
      </c>
      <c r="P7349" s="867" t="s">
        <v>2875</v>
      </c>
    </row>
    <row r="7350" spans="1:18" ht="19.5" hidden="1" thickBot="1" x14ac:dyDescent="0.3">
      <c r="A7350" s="503">
        <f>MAX(A7151:A7349)+1</f>
        <v>4501</v>
      </c>
      <c r="B7350" s="504" t="s">
        <v>2764</v>
      </c>
      <c r="C7350" s="505" t="s">
        <v>32</v>
      </c>
      <c r="D7350" s="506">
        <v>17.600000000000001</v>
      </c>
      <c r="E7350" s="507">
        <v>8.4930000000000003</v>
      </c>
      <c r="F7350" s="508" t="s">
        <v>16</v>
      </c>
      <c r="G7350" s="509" t="s">
        <v>2299</v>
      </c>
      <c r="H7350" s="508" t="s">
        <v>2818</v>
      </c>
      <c r="I7350" s="510" t="s">
        <v>2970</v>
      </c>
      <c r="J7350" s="511"/>
      <c r="K7350" s="508" t="str">
        <f t="shared" si="224"/>
        <v>10,26</v>
      </c>
      <c r="L7350" s="508" t="s">
        <v>266</v>
      </c>
      <c r="M7350" s="508">
        <v>17604.599999999999</v>
      </c>
      <c r="N7350" s="512">
        <v>0.41666666666666669</v>
      </c>
      <c r="O7350" s="897" t="s">
        <v>2819</v>
      </c>
      <c r="P7350" s="867" t="s">
        <v>3010</v>
      </c>
      <c r="Q7350" s="847">
        <v>8493</v>
      </c>
      <c r="R7350" s="833" t="s">
        <v>3009</v>
      </c>
    </row>
    <row r="7351" spans="1:18" ht="19.5" hidden="1" thickBot="1" x14ac:dyDescent="0.3">
      <c r="A7351" s="1062">
        <f>MAX(A7152:A7350)+1</f>
        <v>4502</v>
      </c>
      <c r="B7351" s="479" t="s">
        <v>2764</v>
      </c>
      <c r="C7351" s="480" t="s">
        <v>55</v>
      </c>
      <c r="D7351" s="481">
        <v>2.0419999999999998</v>
      </c>
      <c r="E7351" s="482">
        <v>1.863</v>
      </c>
      <c r="F7351" s="483" t="s">
        <v>16</v>
      </c>
      <c r="G7351" s="549" t="s">
        <v>844</v>
      </c>
      <c r="H7351" s="483" t="s">
        <v>2818</v>
      </c>
      <c r="I7351" s="484" t="s">
        <v>2818</v>
      </c>
      <c r="J7351" s="485"/>
      <c r="K7351" s="483" t="str">
        <f t="shared" si="224"/>
        <v>09,26</v>
      </c>
      <c r="L7351" s="483" t="s">
        <v>266</v>
      </c>
      <c r="M7351" s="483">
        <v>2042.1699999999998</v>
      </c>
      <c r="N7351" s="486">
        <v>0.45833333333333331</v>
      </c>
      <c r="O7351" s="897" t="s">
        <v>2820</v>
      </c>
      <c r="P7351" s="867" t="s">
        <v>2871</v>
      </c>
    </row>
    <row r="7352" spans="1:18" ht="19.5" hidden="1" thickBot="1" x14ac:dyDescent="0.3">
      <c r="A7352" s="1072"/>
      <c r="B7352" s="523" t="s">
        <v>2764</v>
      </c>
      <c r="C7352" s="524" t="s">
        <v>55</v>
      </c>
      <c r="D7352" s="525">
        <v>7.2949999999999999</v>
      </c>
      <c r="E7352" s="526">
        <v>6.5309999999999997</v>
      </c>
      <c r="F7352" s="527" t="s">
        <v>16</v>
      </c>
      <c r="G7352" s="561" t="s">
        <v>845</v>
      </c>
      <c r="H7352" s="527" t="s">
        <v>2818</v>
      </c>
      <c r="I7352" s="528" t="s">
        <v>2818</v>
      </c>
      <c r="J7352" s="529"/>
      <c r="K7352" s="527" t="str">
        <f t="shared" si="224"/>
        <v>09,26</v>
      </c>
      <c r="L7352" s="527" t="s">
        <v>266</v>
      </c>
      <c r="M7352" s="527">
        <v>7295.6399999999994</v>
      </c>
      <c r="N7352" s="530">
        <v>0.45833333333333331</v>
      </c>
      <c r="O7352" s="897" t="s">
        <v>2823</v>
      </c>
      <c r="P7352" s="867" t="s">
        <v>2872</v>
      </c>
    </row>
    <row r="7353" spans="1:18" ht="19.5" hidden="1" thickBot="1" x14ac:dyDescent="0.3">
      <c r="A7353" s="1072"/>
      <c r="B7353" s="523" t="s">
        <v>2764</v>
      </c>
      <c r="C7353" s="524" t="s">
        <v>55</v>
      </c>
      <c r="D7353" s="525">
        <v>5.5060000000000002</v>
      </c>
      <c r="E7353" s="526">
        <v>5.4749999999999996</v>
      </c>
      <c r="F7353" s="527" t="s">
        <v>16</v>
      </c>
      <c r="G7353" s="561" t="s">
        <v>2299</v>
      </c>
      <c r="H7353" s="527" t="s">
        <v>2818</v>
      </c>
      <c r="I7353" s="528" t="s">
        <v>2818</v>
      </c>
      <c r="J7353" s="529"/>
      <c r="K7353" s="527" t="str">
        <f t="shared" si="224"/>
        <v>09,26</v>
      </c>
      <c r="L7353" s="527" t="s">
        <v>266</v>
      </c>
      <c r="M7353" s="527">
        <v>5506.8</v>
      </c>
      <c r="N7353" s="530">
        <v>0.45833333333333331</v>
      </c>
      <c r="O7353" s="897" t="s">
        <v>2821</v>
      </c>
      <c r="P7353" s="867" t="s">
        <v>2873</v>
      </c>
    </row>
    <row r="7354" spans="1:18" ht="19.5" hidden="1" thickBot="1" x14ac:dyDescent="0.3">
      <c r="A7354" s="1063"/>
      <c r="B7354" s="645" t="s">
        <v>2764</v>
      </c>
      <c r="C7354" s="646" t="s">
        <v>32</v>
      </c>
      <c r="D7354" s="647">
        <v>3.5019999999999998</v>
      </c>
      <c r="E7354" s="648">
        <v>3.4969999999999999</v>
      </c>
      <c r="F7354" s="649" t="s">
        <v>16</v>
      </c>
      <c r="G7354" s="650" t="s">
        <v>2585</v>
      </c>
      <c r="H7354" s="649" t="s">
        <v>2818</v>
      </c>
      <c r="I7354" s="651" t="s">
        <v>2818</v>
      </c>
      <c r="J7354" s="652"/>
      <c r="K7354" s="649" t="str">
        <f t="shared" si="224"/>
        <v>09,26</v>
      </c>
      <c r="L7354" s="649" t="s">
        <v>266</v>
      </c>
      <c r="M7354" s="649">
        <v>3502.2</v>
      </c>
      <c r="N7354" s="653">
        <v>0.45833333333333331</v>
      </c>
      <c r="O7354" s="897" t="s">
        <v>2822</v>
      </c>
      <c r="P7354" s="867" t="s">
        <v>2874</v>
      </c>
    </row>
    <row r="7355" spans="1:18" ht="19.5" hidden="1" thickBot="1" x14ac:dyDescent="0.3">
      <c r="A7355" s="503">
        <f>MAX(A7156:A7354)+1</f>
        <v>4503</v>
      </c>
      <c r="B7355" s="504" t="s">
        <v>2766</v>
      </c>
      <c r="C7355" s="505" t="s">
        <v>32</v>
      </c>
      <c r="D7355" s="506">
        <v>18.038</v>
      </c>
      <c r="E7355" s="507">
        <v>16.675000000000001</v>
      </c>
      <c r="F7355" s="508" t="s">
        <v>16</v>
      </c>
      <c r="G7355" s="509"/>
      <c r="H7355" s="508" t="s">
        <v>2844</v>
      </c>
      <c r="I7355" s="510" t="s">
        <v>2849</v>
      </c>
      <c r="J7355" s="511"/>
      <c r="K7355" s="508" t="str">
        <f t="shared" si="224"/>
        <v>09,26</v>
      </c>
      <c r="L7355" s="508" t="s">
        <v>266</v>
      </c>
      <c r="M7355" s="508">
        <v>18146.96</v>
      </c>
      <c r="N7355" s="512">
        <v>0.41666666666666669</v>
      </c>
      <c r="O7355" s="897" t="s">
        <v>2845</v>
      </c>
      <c r="P7355" s="867" t="s">
        <v>2902</v>
      </c>
    </row>
    <row r="7356" spans="1:18" ht="19.5" hidden="1" thickBot="1" x14ac:dyDescent="0.3">
      <c r="A7356" s="572">
        <f>MAX(A7157:A7355)+1</f>
        <v>4504</v>
      </c>
      <c r="B7356" s="573" t="s">
        <v>2766</v>
      </c>
      <c r="C7356" s="574" t="s">
        <v>32</v>
      </c>
      <c r="D7356" s="575">
        <v>18.001999999999999</v>
      </c>
      <c r="E7356" s="576">
        <v>17.004000000000001</v>
      </c>
      <c r="F7356" s="577" t="s">
        <v>16</v>
      </c>
      <c r="G7356" s="578"/>
      <c r="H7356" s="577" t="s">
        <v>2844</v>
      </c>
      <c r="I7356" s="579" t="s">
        <v>2854</v>
      </c>
      <c r="J7356" s="580"/>
      <c r="K7356" s="577" t="str">
        <f t="shared" si="224"/>
        <v>09,26</v>
      </c>
      <c r="L7356" s="577" t="s">
        <v>266</v>
      </c>
      <c r="M7356" s="577">
        <v>18098.380000000005</v>
      </c>
      <c r="N7356" s="581">
        <v>0.45833333333333331</v>
      </c>
      <c r="O7356" s="897" t="s">
        <v>2846</v>
      </c>
      <c r="P7356" s="867" t="s">
        <v>2936</v>
      </c>
    </row>
    <row r="7357" spans="1:18" ht="19.5" hidden="1" thickBot="1" x14ac:dyDescent="0.3">
      <c r="A7357" s="1059">
        <f t="shared" ref="A7357" si="226">MAX(A7159:A7356)+1</f>
        <v>4505</v>
      </c>
      <c r="B7357" s="759" t="s">
        <v>2818</v>
      </c>
      <c r="C7357" s="532" t="s">
        <v>26</v>
      </c>
      <c r="D7357" s="533">
        <v>17.472999999999999</v>
      </c>
      <c r="E7357" s="534">
        <f>16.174+0.213</f>
        <v>16.387</v>
      </c>
      <c r="F7357" s="535" t="s">
        <v>16</v>
      </c>
      <c r="G7357" s="536"/>
      <c r="H7357" s="535" t="s">
        <v>2849</v>
      </c>
      <c r="I7357" s="537" t="s">
        <v>2854</v>
      </c>
      <c r="J7357" s="538"/>
      <c r="K7357" s="535" t="str">
        <f t="shared" si="224"/>
        <v>09,26</v>
      </c>
      <c r="L7357" s="535" t="s">
        <v>265</v>
      </c>
      <c r="M7357" s="535">
        <v>17648.800000000003</v>
      </c>
      <c r="N7357" s="539">
        <v>4.1666666666666664E-2</v>
      </c>
      <c r="O7357" s="897" t="s">
        <v>2852</v>
      </c>
      <c r="P7357" s="867" t="s">
        <v>2932</v>
      </c>
      <c r="Q7357" s="847" t="s">
        <v>2933</v>
      </c>
    </row>
    <row r="7358" spans="1:18" ht="19.5" hidden="1" thickBot="1" x14ac:dyDescent="0.3">
      <c r="A7358" s="1060"/>
      <c r="B7358" s="852" t="s">
        <v>2854</v>
      </c>
      <c r="C7358" s="837" t="s">
        <v>26</v>
      </c>
      <c r="D7358" s="838">
        <v>0.8</v>
      </c>
      <c r="E7358" s="838">
        <v>0.82199999999999995</v>
      </c>
      <c r="F7358" s="839" t="s">
        <v>16</v>
      </c>
      <c r="G7358" s="850" t="s">
        <v>76</v>
      </c>
      <c r="H7358" s="839" t="s">
        <v>2849</v>
      </c>
      <c r="I7358" s="839" t="s">
        <v>2854</v>
      </c>
      <c r="J7358" s="840"/>
      <c r="K7358" s="839" t="str">
        <f t="shared" si="224"/>
        <v>09,26</v>
      </c>
      <c r="L7358" s="839" t="s">
        <v>265</v>
      </c>
      <c r="M7358" s="839">
        <v>825</v>
      </c>
      <c r="N7358" s="598">
        <v>4.1666666666666664E-2</v>
      </c>
      <c r="O7358" s="897" t="s">
        <v>2923</v>
      </c>
      <c r="P7358" s="867" t="s">
        <v>2946</v>
      </c>
    </row>
    <row r="7359" spans="1:18" ht="19.5" hidden="1" thickBot="1" x14ac:dyDescent="0.3">
      <c r="A7359" s="1061"/>
      <c r="B7359" s="785" t="s">
        <v>2849</v>
      </c>
      <c r="C7359" s="786" t="s">
        <v>26</v>
      </c>
      <c r="D7359" s="787">
        <v>0.3</v>
      </c>
      <c r="E7359" s="787">
        <v>0.316</v>
      </c>
      <c r="F7359" s="788" t="s">
        <v>16</v>
      </c>
      <c r="G7359" s="789" t="s">
        <v>76</v>
      </c>
      <c r="H7359" s="788" t="s">
        <v>2849</v>
      </c>
      <c r="I7359" s="788" t="s">
        <v>2854</v>
      </c>
      <c r="J7359" s="790"/>
      <c r="K7359" s="788" t="str">
        <f t="shared" si="224"/>
        <v>09,26</v>
      </c>
      <c r="L7359" s="788" t="s">
        <v>265</v>
      </c>
      <c r="M7359" s="788">
        <v>315</v>
      </c>
      <c r="N7359" s="784">
        <v>4.1666666666666664E-2</v>
      </c>
      <c r="O7359" s="897" t="s">
        <v>2903</v>
      </c>
      <c r="P7359" s="867" t="s">
        <v>2934</v>
      </c>
    </row>
    <row r="7360" spans="1:18" ht="19.5" hidden="1" thickBot="1" x14ac:dyDescent="0.3">
      <c r="A7360" s="1073">
        <f>MAX(A7160:A7357)+1</f>
        <v>4506</v>
      </c>
      <c r="B7360" s="610" t="s">
        <v>2818</v>
      </c>
      <c r="C7360" s="480" t="s">
        <v>26</v>
      </c>
      <c r="D7360" s="481">
        <v>17.004999999999999</v>
      </c>
      <c r="E7360" s="482">
        <v>13.169</v>
      </c>
      <c r="F7360" s="483" t="s">
        <v>16</v>
      </c>
      <c r="G7360" s="549"/>
      <c r="H7360" s="483" t="s">
        <v>2849</v>
      </c>
      <c r="I7360" s="484" t="s">
        <v>2854</v>
      </c>
      <c r="J7360" s="485"/>
      <c r="K7360" s="483" t="str">
        <f t="shared" si="224"/>
        <v>09,26</v>
      </c>
      <c r="L7360" s="483" t="s">
        <v>265</v>
      </c>
      <c r="M7360" s="483">
        <v>17019</v>
      </c>
      <c r="N7360" s="486">
        <v>8.3333333333333329E-2</v>
      </c>
      <c r="O7360" s="897" t="s">
        <v>2853</v>
      </c>
      <c r="P7360" s="867" t="s">
        <v>2944</v>
      </c>
    </row>
    <row r="7361" spans="1:18" ht="19.5" hidden="1" thickBot="1" x14ac:dyDescent="0.3">
      <c r="A7361" s="1077"/>
      <c r="B7361" s="792" t="s">
        <v>2854</v>
      </c>
      <c r="C7361" s="793" t="s">
        <v>26</v>
      </c>
      <c r="D7361" s="794">
        <v>1.3</v>
      </c>
      <c r="E7361" s="794">
        <v>1.302</v>
      </c>
      <c r="F7361" s="795" t="s">
        <v>16</v>
      </c>
      <c r="G7361" s="863" t="s">
        <v>76</v>
      </c>
      <c r="H7361" s="795" t="s">
        <v>2849</v>
      </c>
      <c r="I7361" s="795" t="s">
        <v>2854</v>
      </c>
      <c r="J7361" s="797"/>
      <c r="K7361" s="795" t="str">
        <f t="shared" si="224"/>
        <v>09,26</v>
      </c>
      <c r="L7361" s="795" t="s">
        <v>265</v>
      </c>
      <c r="M7361" s="795">
        <v>1302</v>
      </c>
      <c r="N7361" s="502">
        <v>8.3333333333333329E-2</v>
      </c>
      <c r="O7361" s="897" t="s">
        <v>2924</v>
      </c>
      <c r="P7361" s="867" t="s">
        <v>2935</v>
      </c>
    </row>
    <row r="7362" spans="1:18" ht="19.5" hidden="1" thickBot="1" x14ac:dyDescent="0.3">
      <c r="A7362" s="1074"/>
      <c r="B7362" s="805" t="s">
        <v>2849</v>
      </c>
      <c r="C7362" s="806" t="s">
        <v>26</v>
      </c>
      <c r="D7362" s="807">
        <v>2.58</v>
      </c>
      <c r="E7362" s="807">
        <v>2.6320000000000001</v>
      </c>
      <c r="F7362" s="808" t="s">
        <v>16</v>
      </c>
      <c r="G7362" s="857" t="s">
        <v>76</v>
      </c>
      <c r="H7362" s="808" t="s">
        <v>2849</v>
      </c>
      <c r="I7362" s="808" t="s">
        <v>2854</v>
      </c>
      <c r="J7362" s="810"/>
      <c r="K7362" s="808" t="str">
        <f t="shared" si="224"/>
        <v>09,26</v>
      </c>
      <c r="L7362" s="808" t="s">
        <v>265</v>
      </c>
      <c r="M7362" s="808">
        <v>2625</v>
      </c>
      <c r="N7362" s="778">
        <v>8.3333333333333329E-2</v>
      </c>
      <c r="O7362" s="897" t="s">
        <v>2907</v>
      </c>
      <c r="P7362" s="867" t="s">
        <v>2945</v>
      </c>
    </row>
    <row r="7363" spans="1:18" ht="19.5" hidden="1" thickBot="1" x14ac:dyDescent="0.3">
      <c r="A7363" s="503">
        <f>MAX(A7161:A7360)+1</f>
        <v>4507</v>
      </c>
      <c r="B7363" s="504" t="s">
        <v>2818</v>
      </c>
      <c r="C7363" s="505" t="s">
        <v>23</v>
      </c>
      <c r="D7363" s="506">
        <v>12.382999999999999</v>
      </c>
      <c r="E7363" s="507">
        <v>12.382999999999999</v>
      </c>
      <c r="F7363" s="508" t="s">
        <v>30</v>
      </c>
      <c r="G7363" s="509"/>
      <c r="H7363" s="508" t="s">
        <v>2849</v>
      </c>
      <c r="I7363" s="510" t="s">
        <v>2905</v>
      </c>
      <c r="J7363" s="511"/>
      <c r="K7363" s="508" t="str">
        <f t="shared" si="224"/>
        <v>09,26</v>
      </c>
      <c r="L7363" s="508" t="s">
        <v>28</v>
      </c>
      <c r="M7363" s="508">
        <v>12383.240000000002</v>
      </c>
      <c r="N7363" s="512">
        <v>0.41666666666666669</v>
      </c>
      <c r="O7363" s="897" t="s">
        <v>2851</v>
      </c>
      <c r="P7363" s="867" t="s">
        <v>2956</v>
      </c>
    </row>
    <row r="7364" spans="1:18" ht="19.5" thickBot="1" x14ac:dyDescent="0.3">
      <c r="A7364" s="513">
        <f>MAX(A7162:A7363)+1</f>
        <v>4508</v>
      </c>
      <c r="B7364" s="514" t="s">
        <v>2818</v>
      </c>
      <c r="C7364" s="515" t="s">
        <v>764</v>
      </c>
      <c r="D7364" s="516">
        <v>11.73</v>
      </c>
      <c r="E7364" s="517"/>
      <c r="F7364" s="518" t="s">
        <v>30</v>
      </c>
      <c r="G7364" s="519"/>
      <c r="H7364" s="518" t="s">
        <v>2849</v>
      </c>
      <c r="I7364" s="520"/>
      <c r="J7364" s="521"/>
      <c r="K7364" s="514"/>
      <c r="L7364" s="518" t="s">
        <v>28</v>
      </c>
      <c r="M7364" s="518">
        <v>11730.6</v>
      </c>
      <c r="N7364" s="522">
        <v>0.45833333333333331</v>
      </c>
      <c r="O7364" s="897" t="s">
        <v>2850</v>
      </c>
    </row>
    <row r="7365" spans="1:18" x14ac:dyDescent="0.25">
      <c r="A7365" s="1059">
        <f>MAX(A7163:A7364)+1</f>
        <v>4509</v>
      </c>
      <c r="B7365" s="760" t="s">
        <v>2818</v>
      </c>
      <c r="C7365" s="564" t="s">
        <v>26</v>
      </c>
      <c r="D7365" s="565">
        <v>17.542999999999999</v>
      </c>
      <c r="E7365" s="566">
        <v>16.308</v>
      </c>
      <c r="F7365" s="567" t="s">
        <v>16</v>
      </c>
      <c r="G7365" s="568"/>
      <c r="H7365" s="567" t="s">
        <v>2854</v>
      </c>
      <c r="I7365" s="569" t="s">
        <v>2905</v>
      </c>
      <c r="J7365" s="570"/>
      <c r="K7365" s="563"/>
      <c r="L7365" s="567" t="s">
        <v>265</v>
      </c>
      <c r="M7365" s="567">
        <v>17716.34</v>
      </c>
      <c r="N7365" s="571">
        <v>4.1666666666666664E-2</v>
      </c>
      <c r="O7365" s="897" t="s">
        <v>2855</v>
      </c>
      <c r="P7365" s="867" t="s">
        <v>2953</v>
      </c>
    </row>
    <row r="7366" spans="1:18" ht="19.5" thickBot="1" x14ac:dyDescent="0.3">
      <c r="A7366" s="1061"/>
      <c r="B7366" s="798" t="s">
        <v>2905</v>
      </c>
      <c r="C7366" s="799" t="s">
        <v>26</v>
      </c>
      <c r="D7366" s="800">
        <v>0.4</v>
      </c>
      <c r="E7366" s="800">
        <v>0.42299999999999999</v>
      </c>
      <c r="F7366" s="801" t="s">
        <v>16</v>
      </c>
      <c r="G7366" s="802" t="s">
        <v>76</v>
      </c>
      <c r="H7366" s="801" t="s">
        <v>2854</v>
      </c>
      <c r="I7366" s="801" t="s">
        <v>2905</v>
      </c>
      <c r="J7366" s="803"/>
      <c r="K7366" s="848"/>
      <c r="L7366" s="801" t="s">
        <v>265</v>
      </c>
      <c r="M7366" s="801">
        <v>420</v>
      </c>
      <c r="N7366" s="804">
        <v>4.1666666666666664E-2</v>
      </c>
      <c r="O7366" s="897" t="s">
        <v>2951</v>
      </c>
      <c r="P7366" s="867" t="s">
        <v>2954</v>
      </c>
    </row>
    <row r="7367" spans="1:18" x14ac:dyDescent="0.25">
      <c r="A7367" s="1073">
        <f>MAX(A7164:A7365)+1</f>
        <v>4510</v>
      </c>
      <c r="B7367" s="610" t="s">
        <v>2818</v>
      </c>
      <c r="C7367" s="480" t="s">
        <v>26</v>
      </c>
      <c r="D7367" s="481">
        <v>17.510000000000002</v>
      </c>
      <c r="E7367" s="482">
        <v>16.779</v>
      </c>
      <c r="F7367" s="483" t="s">
        <v>16</v>
      </c>
      <c r="G7367" s="549"/>
      <c r="H7367" s="483" t="s">
        <v>2854</v>
      </c>
      <c r="I7367" s="484" t="s">
        <v>2854</v>
      </c>
      <c r="J7367" s="485"/>
      <c r="K7367" s="479"/>
      <c r="L7367" s="483" t="s">
        <v>265</v>
      </c>
      <c r="M7367" s="483">
        <v>17700.18</v>
      </c>
      <c r="N7367" s="486">
        <v>8.3333333333333329E-2</v>
      </c>
      <c r="O7367" s="897" t="s">
        <v>2856</v>
      </c>
      <c r="P7367" s="867" t="s">
        <v>2939</v>
      </c>
    </row>
    <row r="7368" spans="1:18" x14ac:dyDescent="0.25">
      <c r="A7368" s="1077"/>
      <c r="B7368" s="864" t="s">
        <v>2890</v>
      </c>
      <c r="C7368" s="861" t="s">
        <v>26</v>
      </c>
      <c r="D7368" s="862">
        <v>0.4</v>
      </c>
      <c r="E7368" s="862">
        <v>0.41899999999999998</v>
      </c>
      <c r="F7368" s="860" t="s">
        <v>16</v>
      </c>
      <c r="G7368" s="863" t="s">
        <v>76</v>
      </c>
      <c r="H7368" s="860" t="s">
        <v>2854</v>
      </c>
      <c r="I7368" s="860" t="s">
        <v>2890</v>
      </c>
      <c r="J7368" s="865"/>
      <c r="K7368" s="1047"/>
      <c r="L7368" s="860" t="s">
        <v>265</v>
      </c>
      <c r="M7368" s="860">
        <v>420</v>
      </c>
      <c r="N7368" s="770">
        <v>8.3333333333333329E-2</v>
      </c>
      <c r="O7368" s="897" t="s">
        <v>2931</v>
      </c>
      <c r="P7368" s="867" t="s">
        <v>2950</v>
      </c>
    </row>
    <row r="7369" spans="1:18" ht="19.5" thickBot="1" x14ac:dyDescent="0.3">
      <c r="A7369" s="1074"/>
      <c r="B7369" s="841" t="s">
        <v>2854</v>
      </c>
      <c r="C7369" s="842" t="s">
        <v>26</v>
      </c>
      <c r="D7369" s="843">
        <v>0.5</v>
      </c>
      <c r="E7369" s="843">
        <v>0.50900000000000001</v>
      </c>
      <c r="F7369" s="844" t="s">
        <v>16</v>
      </c>
      <c r="G7369" s="851" t="s">
        <v>76</v>
      </c>
      <c r="H7369" s="844" t="s">
        <v>2854</v>
      </c>
      <c r="I7369" s="844" t="s">
        <v>2854</v>
      </c>
      <c r="J7369" s="845"/>
      <c r="K7369" s="886"/>
      <c r="L7369" s="844" t="s">
        <v>265</v>
      </c>
      <c r="M7369" s="844">
        <v>525</v>
      </c>
      <c r="N7369" s="846">
        <v>8.3333333333333329E-2</v>
      </c>
      <c r="O7369" s="897" t="s">
        <v>2925</v>
      </c>
      <c r="P7369" s="867" t="s">
        <v>2940</v>
      </c>
    </row>
    <row r="7370" spans="1:18" ht="56.25" x14ac:dyDescent="0.25">
      <c r="A7370" s="1059">
        <f>MAX(A7165:A7367)+1</f>
        <v>4511</v>
      </c>
      <c r="B7370" s="759" t="s">
        <v>2818</v>
      </c>
      <c r="C7370" s="532" t="s">
        <v>587</v>
      </c>
      <c r="D7370" s="533">
        <v>0.90400000000000003</v>
      </c>
      <c r="E7370" s="534">
        <v>0.91300000000000003</v>
      </c>
      <c r="F7370" s="535" t="s">
        <v>16</v>
      </c>
      <c r="G7370" s="536" t="s">
        <v>794</v>
      </c>
      <c r="H7370" s="535" t="s">
        <v>2854</v>
      </c>
      <c r="I7370" s="537" t="s">
        <v>2909</v>
      </c>
      <c r="J7370" s="538"/>
      <c r="K7370" s="531"/>
      <c r="L7370" s="535" t="s">
        <v>28</v>
      </c>
      <c r="M7370" s="535">
        <v>917.64</v>
      </c>
      <c r="N7370" s="539">
        <v>0.41666666666666669</v>
      </c>
      <c r="O7370" s="897" t="s">
        <v>2859</v>
      </c>
      <c r="P7370" s="867" t="s">
        <v>2981</v>
      </c>
    </row>
    <row r="7371" spans="1:18" x14ac:dyDescent="0.25">
      <c r="A7371" s="1060"/>
      <c r="B7371" s="824" t="s">
        <v>2818</v>
      </c>
      <c r="C7371" s="820" t="s">
        <v>587</v>
      </c>
      <c r="D7371" s="821">
        <v>8.1349999999999998</v>
      </c>
      <c r="E7371" s="822">
        <v>7.4359999999999999</v>
      </c>
      <c r="F7371" s="819" t="s">
        <v>16</v>
      </c>
      <c r="G7371" s="823" t="s">
        <v>47</v>
      </c>
      <c r="H7371" s="819" t="s">
        <v>2854</v>
      </c>
      <c r="I7371" s="782" t="s">
        <v>2909</v>
      </c>
      <c r="J7371" s="825"/>
      <c r="K7371" s="849"/>
      <c r="L7371" s="819" t="s">
        <v>28</v>
      </c>
      <c r="M7371" s="819">
        <v>8135.2799999999988</v>
      </c>
      <c r="N7371" s="811">
        <v>0.41666666666666669</v>
      </c>
      <c r="O7371" s="897" t="s">
        <v>2860</v>
      </c>
      <c r="P7371" s="867" t="s">
        <v>2982</v>
      </c>
    </row>
    <row r="7372" spans="1:18" x14ac:dyDescent="0.25">
      <c r="A7372" s="1060"/>
      <c r="B7372" s="824" t="s">
        <v>2818</v>
      </c>
      <c r="C7372" s="820" t="s">
        <v>47</v>
      </c>
      <c r="D7372" s="821">
        <v>8.4789999999999992</v>
      </c>
      <c r="E7372" s="822">
        <v>8.1329999999999991</v>
      </c>
      <c r="F7372" s="819" t="s">
        <v>16</v>
      </c>
      <c r="G7372" s="823"/>
      <c r="H7372" s="819" t="s">
        <v>2854</v>
      </c>
      <c r="I7372" s="782" t="s">
        <v>2909</v>
      </c>
      <c r="J7372" s="825"/>
      <c r="K7372" s="849"/>
      <c r="L7372" s="819" t="s">
        <v>28</v>
      </c>
      <c r="M7372" s="819">
        <v>8702.58</v>
      </c>
      <c r="N7372" s="811">
        <v>0.41666666666666669</v>
      </c>
      <c r="O7372" s="897" t="s">
        <v>2857</v>
      </c>
      <c r="P7372" s="867" t="s">
        <v>2984</v>
      </c>
    </row>
    <row r="7373" spans="1:18" x14ac:dyDescent="0.25">
      <c r="A7373" s="1060"/>
      <c r="B7373" s="813" t="s">
        <v>2909</v>
      </c>
      <c r="C7373" s="814" t="s">
        <v>47</v>
      </c>
      <c r="D7373" s="815">
        <v>0.6</v>
      </c>
      <c r="E7373" s="815">
        <v>0.61299999999999999</v>
      </c>
      <c r="F7373" s="816" t="s">
        <v>16</v>
      </c>
      <c r="G7373" s="817" t="s">
        <v>76</v>
      </c>
      <c r="H7373" s="816" t="s">
        <v>2854</v>
      </c>
      <c r="I7373" s="816" t="s">
        <v>2909</v>
      </c>
      <c r="J7373" s="818"/>
      <c r="K7373" s="1050"/>
      <c r="L7373" s="816" t="s">
        <v>28</v>
      </c>
      <c r="M7373" s="816">
        <v>600</v>
      </c>
      <c r="N7373" s="811">
        <v>0.41666666666666669</v>
      </c>
      <c r="O7373" s="897" t="s">
        <v>2969</v>
      </c>
      <c r="P7373" s="867" t="s">
        <v>2985</v>
      </c>
    </row>
    <row r="7374" spans="1:18" ht="19.5" thickBot="1" x14ac:dyDescent="0.3">
      <c r="A7374" s="1061"/>
      <c r="B7374" s="785" t="s">
        <v>2854</v>
      </c>
      <c r="C7374" s="786" t="s">
        <v>47</v>
      </c>
      <c r="D7374" s="787">
        <v>0.96</v>
      </c>
      <c r="E7374" s="787">
        <v>0.96299999999999997</v>
      </c>
      <c r="F7374" s="788" t="s">
        <v>16</v>
      </c>
      <c r="G7374" s="789" t="s">
        <v>76</v>
      </c>
      <c r="H7374" s="788" t="s">
        <v>2854</v>
      </c>
      <c r="I7374" s="788" t="s">
        <v>2854</v>
      </c>
      <c r="J7374" s="790"/>
      <c r="K7374" s="877"/>
      <c r="L7374" s="788" t="s">
        <v>28</v>
      </c>
      <c r="M7374" s="788">
        <v>960</v>
      </c>
      <c r="N7374" s="784">
        <v>0.41666666666666669</v>
      </c>
      <c r="O7374" s="897" t="s">
        <v>2928</v>
      </c>
      <c r="P7374" s="867" t="s">
        <v>2938</v>
      </c>
    </row>
    <row r="7375" spans="1:18" x14ac:dyDescent="0.25">
      <c r="A7375" s="1062">
        <f>MAX(A7168:A7374)+1</f>
        <v>4512</v>
      </c>
      <c r="B7375" s="523" t="s">
        <v>2818</v>
      </c>
      <c r="C7375" s="524" t="s">
        <v>913</v>
      </c>
      <c r="D7375" s="525">
        <v>0.91500000000000004</v>
      </c>
      <c r="E7375" s="526">
        <v>0.92</v>
      </c>
      <c r="F7375" s="527" t="s">
        <v>16</v>
      </c>
      <c r="G7375" s="1088" t="s">
        <v>2904</v>
      </c>
      <c r="H7375" s="527" t="s">
        <v>2854</v>
      </c>
      <c r="I7375" s="528" t="s">
        <v>2970</v>
      </c>
      <c r="J7375" s="529"/>
      <c r="K7375" s="523"/>
      <c r="L7375" s="527" t="s">
        <v>266</v>
      </c>
      <c r="M7375" s="527">
        <v>920.1</v>
      </c>
      <c r="N7375" s="530">
        <v>0.45833333333333331</v>
      </c>
      <c r="O7375" s="897" t="s">
        <v>2863</v>
      </c>
      <c r="P7375" s="867" t="s">
        <v>3024</v>
      </c>
      <c r="Q7375" s="847">
        <v>920</v>
      </c>
      <c r="R7375" s="833" t="s">
        <v>3009</v>
      </c>
    </row>
    <row r="7376" spans="1:18" x14ac:dyDescent="0.25">
      <c r="A7376" s="1072"/>
      <c r="B7376" s="523" t="s">
        <v>2818</v>
      </c>
      <c r="C7376" s="524" t="s">
        <v>839</v>
      </c>
      <c r="D7376" s="525">
        <v>2.2000000000000002</v>
      </c>
      <c r="E7376" s="526">
        <v>2.2200000000000002</v>
      </c>
      <c r="F7376" s="527" t="s">
        <v>16</v>
      </c>
      <c r="G7376" s="1088"/>
      <c r="H7376" s="527" t="s">
        <v>2854</v>
      </c>
      <c r="I7376" s="528" t="s">
        <v>2970</v>
      </c>
      <c r="J7376" s="529"/>
      <c r="K7376" s="523"/>
      <c r="L7376" s="527" t="s">
        <v>28</v>
      </c>
      <c r="M7376" s="527">
        <v>2218.1999999999998</v>
      </c>
      <c r="N7376" s="530">
        <v>0.45833333333333331</v>
      </c>
      <c r="O7376" s="897" t="s">
        <v>2861</v>
      </c>
      <c r="P7376" s="867" t="s">
        <v>3025</v>
      </c>
      <c r="Q7376" s="847">
        <v>2220</v>
      </c>
      <c r="R7376" s="833" t="s">
        <v>3009</v>
      </c>
    </row>
    <row r="7377" spans="1:18" x14ac:dyDescent="0.25">
      <c r="A7377" s="1072"/>
      <c r="B7377" s="523" t="s">
        <v>2818</v>
      </c>
      <c r="C7377" s="524" t="s">
        <v>23</v>
      </c>
      <c r="D7377" s="525">
        <v>10.568</v>
      </c>
      <c r="E7377" s="526">
        <v>9.9109999999999996</v>
      </c>
      <c r="F7377" s="527" t="s">
        <v>16</v>
      </c>
      <c r="G7377" s="1088"/>
      <c r="H7377" s="527" t="s">
        <v>2854</v>
      </c>
      <c r="I7377" s="528" t="s">
        <v>2970</v>
      </c>
      <c r="J7377" s="529"/>
      <c r="K7377" s="523"/>
      <c r="L7377" s="527" t="s">
        <v>28</v>
      </c>
      <c r="M7377" s="527">
        <v>10736.63</v>
      </c>
      <c r="N7377" s="530">
        <v>0.45833333333333331</v>
      </c>
      <c r="O7377" s="897" t="s">
        <v>2858</v>
      </c>
      <c r="P7377" s="867" t="s">
        <v>3026</v>
      </c>
      <c r="Q7377" s="847">
        <v>9912</v>
      </c>
      <c r="R7377" s="833" t="s">
        <v>3009</v>
      </c>
    </row>
    <row r="7378" spans="1:18" x14ac:dyDescent="0.25">
      <c r="A7378" s="1072"/>
      <c r="B7378" s="944" t="s">
        <v>2854</v>
      </c>
      <c r="C7378" s="945" t="s">
        <v>23</v>
      </c>
      <c r="D7378" s="946">
        <v>0.81</v>
      </c>
      <c r="E7378" s="946">
        <v>0.81100000000000005</v>
      </c>
      <c r="F7378" s="947" t="s">
        <v>16</v>
      </c>
      <c r="G7378" s="1088"/>
      <c r="H7378" s="947" t="s">
        <v>2854</v>
      </c>
      <c r="I7378" s="947" t="s">
        <v>2970</v>
      </c>
      <c r="J7378" s="949"/>
      <c r="K7378" s="944"/>
      <c r="L7378" s="947" t="s">
        <v>28</v>
      </c>
      <c r="M7378" s="947">
        <v>810</v>
      </c>
      <c r="N7378" s="530">
        <v>0.45833333333333331</v>
      </c>
      <c r="O7378" s="897" t="s">
        <v>2926</v>
      </c>
      <c r="P7378" s="867" t="s">
        <v>3027</v>
      </c>
      <c r="Q7378" s="847">
        <v>811</v>
      </c>
      <c r="R7378" s="833" t="s">
        <v>3009</v>
      </c>
    </row>
    <row r="7379" spans="1:18" ht="19.5" thickBot="1" x14ac:dyDescent="0.3">
      <c r="A7379" s="1063"/>
      <c r="B7379" s="1031" t="s">
        <v>2849</v>
      </c>
      <c r="C7379" s="1032" t="s">
        <v>840</v>
      </c>
      <c r="D7379" s="1033">
        <v>3.75</v>
      </c>
      <c r="E7379" s="1034">
        <v>3.7530000000000001</v>
      </c>
      <c r="F7379" s="1035" t="s">
        <v>16</v>
      </c>
      <c r="G7379" s="1089"/>
      <c r="H7379" s="1035" t="s">
        <v>2890</v>
      </c>
      <c r="I7379" s="1036" t="s">
        <v>2970</v>
      </c>
      <c r="J7379" s="1037"/>
      <c r="K7379" s="1031"/>
      <c r="L7379" s="1035" t="s">
        <v>266</v>
      </c>
      <c r="M7379" s="1035">
        <v>3755.04</v>
      </c>
      <c r="N7379" s="1038">
        <v>0.45833333333333331</v>
      </c>
      <c r="O7379" s="897" t="s">
        <v>2908</v>
      </c>
      <c r="P7379" s="867" t="s">
        <v>3023</v>
      </c>
      <c r="Q7379" s="847">
        <v>3753</v>
      </c>
      <c r="R7379" s="833" t="s">
        <v>3009</v>
      </c>
    </row>
    <row r="7380" spans="1:18" ht="19.5" thickBot="1" x14ac:dyDescent="0.3">
      <c r="A7380" s="503">
        <f>MAX(A7171:A7379)+1</f>
        <v>4513</v>
      </c>
      <c r="B7380" s="504" t="s">
        <v>2818</v>
      </c>
      <c r="C7380" s="505" t="s">
        <v>840</v>
      </c>
      <c r="D7380" s="506">
        <v>17.908000000000001</v>
      </c>
      <c r="E7380" s="507">
        <v>17.52</v>
      </c>
      <c r="F7380" s="508" t="s">
        <v>16</v>
      </c>
      <c r="G7380" s="509"/>
      <c r="H7380" s="508" t="s">
        <v>2854</v>
      </c>
      <c r="I7380" s="510" t="s">
        <v>2905</v>
      </c>
      <c r="J7380" s="511"/>
      <c r="K7380" s="504"/>
      <c r="L7380" s="508" t="s">
        <v>266</v>
      </c>
      <c r="M7380" s="508">
        <v>18018.059999999998</v>
      </c>
      <c r="N7380" s="512">
        <v>0.5</v>
      </c>
      <c r="O7380" s="897" t="s">
        <v>2862</v>
      </c>
      <c r="P7380" s="867" t="s">
        <v>2959</v>
      </c>
    </row>
    <row r="7381" spans="1:18" x14ac:dyDescent="0.25">
      <c r="A7381" s="1062">
        <f>MAX(A7172:A7380)+1</f>
        <v>4514</v>
      </c>
      <c r="B7381" s="479" t="s">
        <v>2818</v>
      </c>
      <c r="C7381" s="480" t="s">
        <v>981</v>
      </c>
      <c r="D7381" s="481">
        <v>2.5</v>
      </c>
      <c r="E7381" s="482">
        <v>2.5</v>
      </c>
      <c r="F7381" s="483" t="s">
        <v>16</v>
      </c>
      <c r="G7381" s="549" t="s">
        <v>2299</v>
      </c>
      <c r="H7381" s="483" t="s">
        <v>2854</v>
      </c>
      <c r="I7381" s="484" t="s">
        <v>2905</v>
      </c>
      <c r="J7381" s="485"/>
      <c r="K7381" s="479"/>
      <c r="L7381" s="483" t="s">
        <v>266</v>
      </c>
      <c r="M7381" s="483">
        <v>2503.7999999999997</v>
      </c>
      <c r="N7381" s="486">
        <v>0.54166666666666663</v>
      </c>
      <c r="O7381" s="897" t="s">
        <v>2865</v>
      </c>
      <c r="P7381" s="867" t="s">
        <v>2962</v>
      </c>
    </row>
    <row r="7382" spans="1:18" x14ac:dyDescent="0.25">
      <c r="A7382" s="1072"/>
      <c r="B7382" s="523" t="s">
        <v>2818</v>
      </c>
      <c r="C7382" s="524" t="s">
        <v>32</v>
      </c>
      <c r="D7382" s="525">
        <v>5.7220000000000004</v>
      </c>
      <c r="E7382" s="526">
        <v>5.601</v>
      </c>
      <c r="F7382" s="527" t="s">
        <v>16</v>
      </c>
      <c r="G7382" s="561" t="s">
        <v>1702</v>
      </c>
      <c r="H7382" s="527" t="s">
        <v>2854</v>
      </c>
      <c r="I7382" s="528" t="s">
        <v>2905</v>
      </c>
      <c r="J7382" s="529"/>
      <c r="K7382" s="523"/>
      <c r="L7382" s="527" t="s">
        <v>266</v>
      </c>
      <c r="M7382" s="527">
        <v>5722.3</v>
      </c>
      <c r="N7382" s="530">
        <v>0.54166666666666663</v>
      </c>
      <c r="O7382" s="897" t="s">
        <v>2866</v>
      </c>
      <c r="P7382" s="867" t="s">
        <v>2961</v>
      </c>
    </row>
    <row r="7383" spans="1:18" x14ac:dyDescent="0.25">
      <c r="A7383" s="1072"/>
      <c r="B7383" s="523" t="s">
        <v>2818</v>
      </c>
      <c r="C7383" s="524" t="s">
        <v>47</v>
      </c>
      <c r="D7383" s="525">
        <v>9.3130000000000006</v>
      </c>
      <c r="E7383" s="526">
        <v>8.923</v>
      </c>
      <c r="F7383" s="527" t="s">
        <v>16</v>
      </c>
      <c r="G7383" s="561"/>
      <c r="H7383" s="527" t="s">
        <v>2854</v>
      </c>
      <c r="I7383" s="528" t="s">
        <v>2905</v>
      </c>
      <c r="J7383" s="529"/>
      <c r="K7383" s="523"/>
      <c r="L7383" s="527" t="s">
        <v>28</v>
      </c>
      <c r="M7383" s="527">
        <v>9429.26</v>
      </c>
      <c r="N7383" s="530">
        <v>0.54166666666666663</v>
      </c>
      <c r="O7383" s="897" t="s">
        <v>2864</v>
      </c>
      <c r="P7383" s="867" t="s">
        <v>2963</v>
      </c>
    </row>
    <row r="7384" spans="1:18" ht="19.5" thickBot="1" x14ac:dyDescent="0.3">
      <c r="A7384" s="1072"/>
      <c r="B7384" s="1039" t="s">
        <v>2854</v>
      </c>
      <c r="C7384" s="793" t="s">
        <v>47</v>
      </c>
      <c r="D7384" s="794">
        <v>0.6</v>
      </c>
      <c r="E7384" s="794">
        <v>0.60199999999999998</v>
      </c>
      <c r="F7384" s="795" t="s">
        <v>16</v>
      </c>
      <c r="G7384" s="796" t="s">
        <v>76</v>
      </c>
      <c r="H7384" s="795" t="s">
        <v>2854</v>
      </c>
      <c r="I7384" s="795" t="s">
        <v>2909</v>
      </c>
      <c r="J7384" s="797"/>
      <c r="K7384" s="1039"/>
      <c r="L7384" s="795" t="s">
        <v>28</v>
      </c>
      <c r="M7384" s="795">
        <v>600</v>
      </c>
      <c r="N7384" s="502">
        <v>0.54166666666666663</v>
      </c>
      <c r="O7384" s="897" t="s">
        <v>2927</v>
      </c>
      <c r="P7384" s="867" t="s">
        <v>2983</v>
      </c>
    </row>
    <row r="7385" spans="1:18" ht="19.5" thickBot="1" x14ac:dyDescent="0.3">
      <c r="A7385" s="503">
        <f>MAX(A7175:A7384)+1</f>
        <v>4515</v>
      </c>
      <c r="B7385" s="504" t="s">
        <v>2844</v>
      </c>
      <c r="C7385" s="505" t="s">
        <v>26</v>
      </c>
      <c r="D7385" s="506">
        <v>13.975</v>
      </c>
      <c r="E7385" s="507">
        <v>13.975</v>
      </c>
      <c r="F7385" s="508" t="s">
        <v>30</v>
      </c>
      <c r="G7385" s="509"/>
      <c r="H7385" s="508" t="s">
        <v>2854</v>
      </c>
      <c r="I7385" s="510" t="s">
        <v>2905</v>
      </c>
      <c r="J7385" s="511"/>
      <c r="K7385" s="504"/>
      <c r="L7385" s="508" t="s">
        <v>265</v>
      </c>
      <c r="M7385" s="508">
        <v>13975.440000000002</v>
      </c>
      <c r="N7385" s="512">
        <v>4.1666666666666664E-2</v>
      </c>
      <c r="O7385" s="897" t="s">
        <v>2889</v>
      </c>
      <c r="P7385" s="867" t="s">
        <v>2941</v>
      </c>
    </row>
    <row r="7386" spans="1:18" x14ac:dyDescent="0.25">
      <c r="A7386" s="1062">
        <f>MAX(A7176:A7385)+1</f>
        <v>4516</v>
      </c>
      <c r="B7386" s="479" t="s">
        <v>2844</v>
      </c>
      <c r="C7386" s="480" t="s">
        <v>26</v>
      </c>
      <c r="D7386" s="481">
        <v>15.369</v>
      </c>
      <c r="E7386" s="482">
        <v>13.154</v>
      </c>
      <c r="F7386" s="483" t="s">
        <v>16</v>
      </c>
      <c r="G7386" s="549"/>
      <c r="H7386" s="483" t="s">
        <v>2890</v>
      </c>
      <c r="I7386" s="484" t="s">
        <v>2890</v>
      </c>
      <c r="J7386" s="485"/>
      <c r="K7386" s="479"/>
      <c r="L7386" s="483" t="s">
        <v>265</v>
      </c>
      <c r="M7386" s="483">
        <v>15524.040000000003</v>
      </c>
      <c r="N7386" s="486">
        <v>4.1666666666666664E-2</v>
      </c>
      <c r="O7386" s="897" t="s">
        <v>2891</v>
      </c>
      <c r="P7386" s="867" t="s">
        <v>2948</v>
      </c>
    </row>
    <row r="7387" spans="1:18" x14ac:dyDescent="0.25">
      <c r="A7387" s="1072"/>
      <c r="B7387" s="523" t="s">
        <v>2844</v>
      </c>
      <c r="C7387" s="524" t="s">
        <v>952</v>
      </c>
      <c r="D7387" s="525">
        <v>2.3119999999999998</v>
      </c>
      <c r="E7387" s="526">
        <v>2.1150000000000002</v>
      </c>
      <c r="F7387" s="527" t="s">
        <v>16</v>
      </c>
      <c r="G7387" s="561"/>
      <c r="H7387" s="527" t="s">
        <v>2890</v>
      </c>
      <c r="I7387" s="528" t="s">
        <v>2890</v>
      </c>
      <c r="J7387" s="529"/>
      <c r="K7387" s="523"/>
      <c r="L7387" s="527" t="s">
        <v>265</v>
      </c>
      <c r="M7387" s="527">
        <v>2391.2400000000002</v>
      </c>
      <c r="N7387" s="530">
        <v>4.1666666666666664E-2</v>
      </c>
      <c r="O7387" s="897" t="s">
        <v>2892</v>
      </c>
      <c r="P7387" s="867" t="s">
        <v>2947</v>
      </c>
    </row>
    <row r="7388" spans="1:18" ht="19.5" thickBot="1" x14ac:dyDescent="0.3">
      <c r="A7388" s="1063"/>
      <c r="B7388" s="859" t="s">
        <v>2854</v>
      </c>
      <c r="C7388" s="854" t="s">
        <v>26</v>
      </c>
      <c r="D7388" s="855">
        <v>2.5</v>
      </c>
      <c r="E7388" s="855">
        <v>1.786</v>
      </c>
      <c r="F7388" s="856" t="s">
        <v>16</v>
      </c>
      <c r="G7388" s="857" t="s">
        <v>76</v>
      </c>
      <c r="H7388" s="856" t="s">
        <v>2890</v>
      </c>
      <c r="I7388" s="856" t="s">
        <v>2890</v>
      </c>
      <c r="J7388" s="858"/>
      <c r="K7388" s="859"/>
      <c r="L7388" s="856" t="s">
        <v>265</v>
      </c>
      <c r="M7388" s="856">
        <v>2520</v>
      </c>
      <c r="N7388" s="653">
        <v>4.1666666666666664E-2</v>
      </c>
      <c r="O7388" s="897" t="s">
        <v>2930</v>
      </c>
      <c r="P7388" s="867" t="s">
        <v>2949</v>
      </c>
    </row>
    <row r="7389" spans="1:18" x14ac:dyDescent="0.25">
      <c r="A7389" s="1066">
        <f>MAX(A7178:A7388)+1</f>
        <v>4517</v>
      </c>
      <c r="B7389" s="531" t="s">
        <v>2844</v>
      </c>
      <c r="C7389" s="532" t="s">
        <v>24</v>
      </c>
      <c r="D7389" s="533">
        <v>13.776999999999999</v>
      </c>
      <c r="E7389" s="534">
        <v>13.282999999999999</v>
      </c>
      <c r="F7389" s="535" t="s">
        <v>16</v>
      </c>
      <c r="G7389" s="536"/>
      <c r="H7389" s="535" t="s">
        <v>2890</v>
      </c>
      <c r="I7389" s="537" t="s">
        <v>2909</v>
      </c>
      <c r="J7389" s="538"/>
      <c r="K7389" s="531"/>
      <c r="L7389" s="535" t="s">
        <v>28</v>
      </c>
      <c r="M7389" s="535">
        <v>13937.400000000001</v>
      </c>
      <c r="N7389" s="539">
        <v>0.41666666666666669</v>
      </c>
      <c r="O7389" s="897" t="s">
        <v>2894</v>
      </c>
      <c r="P7389" s="867" t="s">
        <v>2977</v>
      </c>
    </row>
    <row r="7390" spans="1:18" x14ac:dyDescent="0.25">
      <c r="A7390" s="1068"/>
      <c r="B7390" s="563" t="s">
        <v>2844</v>
      </c>
      <c r="C7390" s="564" t="s">
        <v>20</v>
      </c>
      <c r="D7390" s="565">
        <v>3.7589999999999999</v>
      </c>
      <c r="E7390" s="566">
        <v>3.6989999999999998</v>
      </c>
      <c r="F7390" s="567" t="s">
        <v>16</v>
      </c>
      <c r="G7390" s="568"/>
      <c r="H7390" s="567" t="s">
        <v>2890</v>
      </c>
      <c r="I7390" s="569" t="s">
        <v>2909</v>
      </c>
      <c r="J7390" s="570"/>
      <c r="K7390" s="563"/>
      <c r="L7390" s="567" t="s">
        <v>28</v>
      </c>
      <c r="M7390" s="567">
        <v>3941.5599999999995</v>
      </c>
      <c r="N7390" s="571">
        <v>0.41666666666666669</v>
      </c>
      <c r="O7390" s="897" t="s">
        <v>2895</v>
      </c>
      <c r="P7390" s="867" t="s">
        <v>2986</v>
      </c>
    </row>
    <row r="7391" spans="1:18" ht="19.5" thickBot="1" x14ac:dyDescent="0.3">
      <c r="A7391" s="1067"/>
      <c r="B7391" s="832" t="s">
        <v>2909</v>
      </c>
      <c r="C7391" s="827" t="s">
        <v>24</v>
      </c>
      <c r="D7391" s="828">
        <v>0.8</v>
      </c>
      <c r="E7391" s="828">
        <v>0.82299999999999995</v>
      </c>
      <c r="F7391" s="829" t="s">
        <v>16</v>
      </c>
      <c r="G7391" s="830" t="s">
        <v>76</v>
      </c>
      <c r="H7391" s="829" t="s">
        <v>2890</v>
      </c>
      <c r="I7391" s="829" t="s">
        <v>2909</v>
      </c>
      <c r="J7391" s="831"/>
      <c r="K7391" s="832"/>
      <c r="L7391" s="829" t="s">
        <v>28</v>
      </c>
      <c r="M7391" s="829">
        <v>810</v>
      </c>
      <c r="N7391" s="644">
        <v>0.41666666666666669</v>
      </c>
      <c r="O7391" s="897" t="s">
        <v>2968</v>
      </c>
      <c r="P7391" s="867" t="s">
        <v>3008</v>
      </c>
    </row>
    <row r="7392" spans="1:18" x14ac:dyDescent="0.25">
      <c r="A7392" s="1062">
        <f>MAX(A7180:A7391)+1</f>
        <v>4518</v>
      </c>
      <c r="B7392" s="479" t="s">
        <v>2844</v>
      </c>
      <c r="C7392" s="480" t="s">
        <v>2714</v>
      </c>
      <c r="D7392" s="481">
        <v>12.05</v>
      </c>
      <c r="E7392" s="482">
        <v>11.643000000000001</v>
      </c>
      <c r="F7392" s="483" t="s">
        <v>16</v>
      </c>
      <c r="G7392" s="549"/>
      <c r="H7392" s="483" t="s">
        <v>2890</v>
      </c>
      <c r="I7392" s="484" t="s">
        <v>2987</v>
      </c>
      <c r="J7392" s="485"/>
      <c r="K7392" s="479"/>
      <c r="L7392" s="483" t="s">
        <v>265</v>
      </c>
      <c r="M7392" s="483">
        <v>12165.6</v>
      </c>
      <c r="N7392" s="486">
        <v>0.45833333333333331</v>
      </c>
      <c r="O7392" s="897" t="s">
        <v>2893</v>
      </c>
      <c r="P7392" s="867" t="s">
        <v>3004</v>
      </c>
    </row>
    <row r="7393" spans="1:16" x14ac:dyDescent="0.25">
      <c r="A7393" s="1072"/>
      <c r="B7393" s="523" t="s">
        <v>2844</v>
      </c>
      <c r="C7393" s="524" t="s">
        <v>15</v>
      </c>
      <c r="D7393" s="525">
        <v>5.3390000000000004</v>
      </c>
      <c r="E7393" s="526">
        <v>4.984</v>
      </c>
      <c r="F7393" s="527" t="s">
        <v>16</v>
      </c>
      <c r="G7393" s="561"/>
      <c r="H7393" s="527" t="s">
        <v>2890</v>
      </c>
      <c r="I7393" s="528" t="s">
        <v>2987</v>
      </c>
      <c r="J7393" s="529"/>
      <c r="K7393" s="523"/>
      <c r="L7393" s="527" t="s">
        <v>28</v>
      </c>
      <c r="M7393" s="527">
        <v>5486.38</v>
      </c>
      <c r="N7393" s="530">
        <v>0.45833333333333331</v>
      </c>
      <c r="O7393" s="897" t="s">
        <v>2896</v>
      </c>
      <c r="P7393" s="867" t="s">
        <v>3005</v>
      </c>
    </row>
    <row r="7394" spans="1:16" x14ac:dyDescent="0.25">
      <c r="A7394" s="1072"/>
      <c r="B7394" s="864" t="s">
        <v>2987</v>
      </c>
      <c r="C7394" s="861" t="s">
        <v>15</v>
      </c>
      <c r="D7394" s="862">
        <v>0.40500000000000003</v>
      </c>
      <c r="E7394" s="862">
        <v>0.40500000000000003</v>
      </c>
      <c r="F7394" s="860" t="s">
        <v>16</v>
      </c>
      <c r="G7394" s="863" t="s">
        <v>76</v>
      </c>
      <c r="H7394" s="860" t="s">
        <v>2890</v>
      </c>
      <c r="I7394" s="860" t="s">
        <v>2987</v>
      </c>
      <c r="J7394" s="865"/>
      <c r="K7394" s="1047"/>
      <c r="L7394" s="860" t="s">
        <v>28</v>
      </c>
      <c r="M7394" s="860">
        <v>405</v>
      </c>
      <c r="N7394" s="770">
        <v>0.45833333333333331</v>
      </c>
      <c r="O7394" s="897" t="s">
        <v>2994</v>
      </c>
      <c r="P7394" s="867" t="s">
        <v>3007</v>
      </c>
    </row>
    <row r="7395" spans="1:16" ht="19.5" thickBot="1" x14ac:dyDescent="0.3">
      <c r="A7395" s="1063"/>
      <c r="B7395" s="859" t="s">
        <v>2909</v>
      </c>
      <c r="C7395" s="854" t="s">
        <v>15</v>
      </c>
      <c r="D7395" s="855">
        <v>0.6</v>
      </c>
      <c r="E7395" s="855">
        <v>0.60399999999999998</v>
      </c>
      <c r="F7395" s="856" t="s">
        <v>16</v>
      </c>
      <c r="G7395" s="857" t="s">
        <v>76</v>
      </c>
      <c r="H7395" s="856" t="s">
        <v>2890</v>
      </c>
      <c r="I7395" s="856" t="s">
        <v>2987</v>
      </c>
      <c r="J7395" s="858"/>
      <c r="K7395" s="859"/>
      <c r="L7395" s="856" t="s">
        <v>28</v>
      </c>
      <c r="M7395" s="856">
        <v>600</v>
      </c>
      <c r="N7395" s="653">
        <v>0.45833333333333331</v>
      </c>
      <c r="O7395" s="897" t="s">
        <v>2973</v>
      </c>
      <c r="P7395" s="867" t="s">
        <v>3006</v>
      </c>
    </row>
    <row r="7396" spans="1:16" ht="19.5" thickBot="1" x14ac:dyDescent="0.3">
      <c r="A7396" s="551">
        <f>MAX(A7182:A7395)+1</f>
        <v>4519</v>
      </c>
      <c r="B7396" s="552" t="s">
        <v>2844</v>
      </c>
      <c r="C7396" s="553" t="s">
        <v>23</v>
      </c>
      <c r="D7396" s="554">
        <v>17.504999999999999</v>
      </c>
      <c r="E7396" s="555">
        <v>17.408999999999999</v>
      </c>
      <c r="F7396" s="556" t="s">
        <v>16</v>
      </c>
      <c r="G7396" s="557"/>
      <c r="H7396" s="556" t="s">
        <v>2890</v>
      </c>
      <c r="I7396" s="558" t="s">
        <v>2905</v>
      </c>
      <c r="J7396" s="559"/>
      <c r="K7396" s="552"/>
      <c r="L7396" s="556" t="s">
        <v>28</v>
      </c>
      <c r="M7396" s="556">
        <v>17596.78</v>
      </c>
      <c r="N7396" s="560">
        <v>0.5</v>
      </c>
      <c r="O7396" s="897" t="s">
        <v>2897</v>
      </c>
      <c r="P7396" s="867" t="s">
        <v>2965</v>
      </c>
    </row>
    <row r="7397" spans="1:16" ht="19.5" thickBot="1" x14ac:dyDescent="0.3">
      <c r="A7397" s="1048">
        <f>MAX(A7183:A7396)+1</f>
        <v>4520</v>
      </c>
      <c r="B7397" s="1049" t="s">
        <v>2849</v>
      </c>
      <c r="C7397" s="515" t="s">
        <v>26</v>
      </c>
      <c r="D7397" s="516">
        <v>14.704000000000001</v>
      </c>
      <c r="E7397" s="517">
        <v>14.704000000000001</v>
      </c>
      <c r="F7397" s="518" t="s">
        <v>30</v>
      </c>
      <c r="G7397" s="519"/>
      <c r="H7397" s="518" t="s">
        <v>2905</v>
      </c>
      <c r="I7397" s="520" t="s">
        <v>2905</v>
      </c>
      <c r="J7397" s="521"/>
      <c r="K7397" s="514"/>
      <c r="L7397" s="518" t="s">
        <v>265</v>
      </c>
      <c r="M7397" s="518">
        <v>14704.919999999998</v>
      </c>
      <c r="N7397" s="522">
        <v>4.1666666666666664E-2</v>
      </c>
      <c r="O7397" s="897" t="s">
        <v>2906</v>
      </c>
      <c r="P7397" s="867" t="s">
        <v>2960</v>
      </c>
    </row>
    <row r="7398" spans="1:16" x14ac:dyDescent="0.25">
      <c r="A7398" s="1060">
        <f>MAX(A7184:A7397)+1</f>
        <v>4521</v>
      </c>
      <c r="B7398" s="760" t="s">
        <v>2849</v>
      </c>
      <c r="C7398" s="564" t="s">
        <v>26</v>
      </c>
      <c r="D7398" s="565">
        <v>17.597000000000001</v>
      </c>
      <c r="E7398" s="566">
        <v>16.018999999999998</v>
      </c>
      <c r="F7398" s="567" t="s">
        <v>16</v>
      </c>
      <c r="G7398" s="568"/>
      <c r="H7398" s="567" t="s">
        <v>2905</v>
      </c>
      <c r="I7398" s="569" t="s">
        <v>2909</v>
      </c>
      <c r="J7398" s="570"/>
      <c r="K7398" s="563"/>
      <c r="L7398" s="567" t="s">
        <v>265</v>
      </c>
      <c r="M7398" s="567">
        <v>17766.599999999999</v>
      </c>
      <c r="N7398" s="571">
        <v>4.1666666666666664E-2</v>
      </c>
      <c r="O7398" s="897" t="s">
        <v>2915</v>
      </c>
      <c r="P7398" s="867" t="s">
        <v>3012</v>
      </c>
    </row>
    <row r="7399" spans="1:16" x14ac:dyDescent="0.25">
      <c r="A7399" s="1060"/>
      <c r="B7399" s="852" t="s">
        <v>2909</v>
      </c>
      <c r="C7399" s="837" t="s">
        <v>26</v>
      </c>
      <c r="D7399" s="838">
        <v>1.2</v>
      </c>
      <c r="E7399" s="838">
        <v>1.2350000000000001</v>
      </c>
      <c r="F7399" s="839" t="s">
        <v>16</v>
      </c>
      <c r="G7399" s="850" t="s">
        <v>76</v>
      </c>
      <c r="H7399" s="839" t="s">
        <v>2905</v>
      </c>
      <c r="I7399" s="839" t="s">
        <v>2909</v>
      </c>
      <c r="J7399" s="840"/>
      <c r="K7399" s="836"/>
      <c r="L7399" s="839" t="s">
        <v>265</v>
      </c>
      <c r="M7399" s="839">
        <v>1230</v>
      </c>
      <c r="N7399" s="598">
        <v>4.1666666666666664E-2</v>
      </c>
      <c r="O7399" s="897" t="s">
        <v>2966</v>
      </c>
      <c r="P7399" s="867" t="s">
        <v>2978</v>
      </c>
    </row>
    <row r="7400" spans="1:16" ht="19.5" thickBot="1" x14ac:dyDescent="0.3">
      <c r="A7400" s="1061"/>
      <c r="B7400" s="798" t="s">
        <v>2905</v>
      </c>
      <c r="C7400" s="799" t="s">
        <v>26</v>
      </c>
      <c r="D7400" s="800">
        <v>1.1499999999999999</v>
      </c>
      <c r="E7400" s="800">
        <v>0.82599999999999996</v>
      </c>
      <c r="F7400" s="801" t="s">
        <v>16</v>
      </c>
      <c r="G7400" s="802" t="s">
        <v>76</v>
      </c>
      <c r="H7400" s="801" t="s">
        <v>2905</v>
      </c>
      <c r="I7400" s="801" t="s">
        <v>2905</v>
      </c>
      <c r="J7400" s="803"/>
      <c r="K7400" s="848"/>
      <c r="L7400" s="801" t="s">
        <v>265</v>
      </c>
      <c r="M7400" s="801">
        <v>1185</v>
      </c>
      <c r="N7400" s="804">
        <v>4.1666666666666664E-2</v>
      </c>
      <c r="O7400" s="897" t="s">
        <v>2952</v>
      </c>
      <c r="P7400" s="867" t="s">
        <v>2955</v>
      </c>
    </row>
    <row r="7401" spans="1:16" x14ac:dyDescent="0.25">
      <c r="A7401" s="1073">
        <f>MAX(A7185:A7398)+1</f>
        <v>4522</v>
      </c>
      <c r="B7401" s="610" t="s">
        <v>2849</v>
      </c>
      <c r="C7401" s="480" t="s">
        <v>47</v>
      </c>
      <c r="D7401" s="481">
        <v>17.055</v>
      </c>
      <c r="E7401" s="482"/>
      <c r="F7401" s="483" t="s">
        <v>16</v>
      </c>
      <c r="G7401" s="1075" t="s">
        <v>1634</v>
      </c>
      <c r="H7401" s="483" t="s">
        <v>2905</v>
      </c>
      <c r="I7401" s="484"/>
      <c r="J7401" s="485"/>
      <c r="K7401" s="479"/>
      <c r="L7401" s="483" t="s">
        <v>28</v>
      </c>
      <c r="M7401" s="483">
        <v>17258.82</v>
      </c>
      <c r="N7401" s="486">
        <v>0.41666666666666669</v>
      </c>
      <c r="O7401" s="897" t="s">
        <v>2916</v>
      </c>
      <c r="P7401" s="867">
        <v>6321445</v>
      </c>
    </row>
    <row r="7402" spans="1:16" ht="19.5" thickBot="1" x14ac:dyDescent="0.3">
      <c r="A7402" s="1074"/>
      <c r="B7402" s="841" t="s">
        <v>2909</v>
      </c>
      <c r="C7402" s="842" t="s">
        <v>47</v>
      </c>
      <c r="D7402" s="843">
        <v>0.40500000000000003</v>
      </c>
      <c r="E7402" s="843"/>
      <c r="F7402" s="844" t="s">
        <v>16</v>
      </c>
      <c r="G7402" s="1079"/>
      <c r="H7402" s="844" t="s">
        <v>2905</v>
      </c>
      <c r="I7402" s="844"/>
      <c r="J7402" s="845"/>
      <c r="K7402" s="886"/>
      <c r="L7402" s="844" t="s">
        <v>28</v>
      </c>
      <c r="M7402" s="844">
        <v>405</v>
      </c>
      <c r="N7402" s="846">
        <v>0.41666666666666669</v>
      </c>
      <c r="O7402" s="897" t="s">
        <v>2972</v>
      </c>
    </row>
    <row r="7403" spans="1:16" x14ac:dyDescent="0.25">
      <c r="A7403" s="1059">
        <f>MAX(A7186:A7401)+1</f>
        <v>4523</v>
      </c>
      <c r="B7403" s="759" t="s">
        <v>2849</v>
      </c>
      <c r="C7403" s="532" t="s">
        <v>23</v>
      </c>
      <c r="D7403" s="533">
        <v>16.55</v>
      </c>
      <c r="E7403" s="534"/>
      <c r="F7403" s="535" t="s">
        <v>16</v>
      </c>
      <c r="G7403" s="1080" t="s">
        <v>1633</v>
      </c>
      <c r="H7403" s="535" t="s">
        <v>2905</v>
      </c>
      <c r="I7403" s="537"/>
      <c r="J7403" s="538"/>
      <c r="K7403" s="531"/>
      <c r="L7403" s="535" t="s">
        <v>28</v>
      </c>
      <c r="M7403" s="535">
        <v>16703.240000000002</v>
      </c>
      <c r="N7403" s="539">
        <v>0.45833333333333331</v>
      </c>
      <c r="O7403" s="897" t="s">
        <v>2917</v>
      </c>
      <c r="P7403" s="867">
        <v>6321496</v>
      </c>
    </row>
    <row r="7404" spans="1:16" ht="19.5" thickBot="1" x14ac:dyDescent="0.3">
      <c r="A7404" s="1061"/>
      <c r="B7404" s="785" t="s">
        <v>2909</v>
      </c>
      <c r="C7404" s="786" t="s">
        <v>23</v>
      </c>
      <c r="D7404" s="787">
        <v>0.51</v>
      </c>
      <c r="E7404" s="787"/>
      <c r="F7404" s="788" t="s">
        <v>16</v>
      </c>
      <c r="G7404" s="1081"/>
      <c r="H7404" s="788" t="s">
        <v>2905</v>
      </c>
      <c r="I7404" s="788"/>
      <c r="J7404" s="790"/>
      <c r="K7404" s="877"/>
      <c r="L7404" s="788" t="s">
        <v>28</v>
      </c>
      <c r="M7404" s="788">
        <v>510</v>
      </c>
      <c r="N7404" s="784">
        <v>0.45833333333333331</v>
      </c>
      <c r="O7404" s="897" t="s">
        <v>2975</v>
      </c>
    </row>
    <row r="7405" spans="1:16" x14ac:dyDescent="0.25">
      <c r="A7405" s="1062">
        <f>MAX(A7187:A7403)+1</f>
        <v>4524</v>
      </c>
      <c r="B7405" s="523" t="s">
        <v>2849</v>
      </c>
      <c r="C7405" s="524" t="s">
        <v>587</v>
      </c>
      <c r="D7405" s="525">
        <v>11.419</v>
      </c>
      <c r="E7405" s="526">
        <v>11.419</v>
      </c>
      <c r="F7405" s="527" t="s">
        <v>30</v>
      </c>
      <c r="G7405" s="561"/>
      <c r="H7405" s="527" t="s">
        <v>2905</v>
      </c>
      <c r="I7405" s="528" t="s">
        <v>2909</v>
      </c>
      <c r="J7405" s="529"/>
      <c r="K7405" s="523"/>
      <c r="L7405" s="527" t="s">
        <v>28</v>
      </c>
      <c r="M7405" s="527">
        <v>11419.76</v>
      </c>
      <c r="N7405" s="530">
        <v>0.41666666666666669</v>
      </c>
      <c r="O7405" s="897" t="s">
        <v>2913</v>
      </c>
      <c r="P7405" s="867" t="s">
        <v>2957</v>
      </c>
    </row>
    <row r="7406" spans="1:16" ht="19.5" thickBot="1" x14ac:dyDescent="0.3">
      <c r="A7406" s="1063"/>
      <c r="B7406" s="645" t="s">
        <v>2849</v>
      </c>
      <c r="C7406" s="646" t="s">
        <v>23</v>
      </c>
      <c r="D7406" s="647">
        <v>1.982</v>
      </c>
      <c r="E7406" s="648">
        <v>1.982</v>
      </c>
      <c r="F7406" s="649" t="s">
        <v>30</v>
      </c>
      <c r="G7406" s="650"/>
      <c r="H7406" s="649" t="s">
        <v>2905</v>
      </c>
      <c r="I7406" s="651" t="s">
        <v>2909</v>
      </c>
      <c r="J7406" s="652"/>
      <c r="K7406" s="645"/>
      <c r="L7406" s="649" t="s">
        <v>28</v>
      </c>
      <c r="M7406" s="649">
        <v>1982.72</v>
      </c>
      <c r="N7406" s="653">
        <v>0.41666666666666669</v>
      </c>
      <c r="O7406" s="897" t="s">
        <v>2911</v>
      </c>
      <c r="P7406" s="867" t="s">
        <v>2958</v>
      </c>
    </row>
    <row r="7407" spans="1:16" x14ac:dyDescent="0.25">
      <c r="A7407" s="1060">
        <f>MAX(A7189:A7406)+1</f>
        <v>4525</v>
      </c>
      <c r="B7407" s="760" t="s">
        <v>2849</v>
      </c>
      <c r="C7407" s="564" t="s">
        <v>26</v>
      </c>
      <c r="D7407" s="565">
        <v>17.548999999999999</v>
      </c>
      <c r="E7407" s="566">
        <v>16.632999999999999</v>
      </c>
      <c r="F7407" s="567" t="s">
        <v>16</v>
      </c>
      <c r="G7407" s="568"/>
      <c r="H7407" s="567" t="s">
        <v>2909</v>
      </c>
      <c r="I7407" s="569" t="s">
        <v>2987</v>
      </c>
      <c r="J7407" s="570"/>
      <c r="K7407" s="563"/>
      <c r="L7407" s="567" t="s">
        <v>265</v>
      </c>
      <c r="M7407" s="567">
        <v>17744.580000000002</v>
      </c>
      <c r="N7407" s="571">
        <v>4.1666666666666664E-2</v>
      </c>
      <c r="O7407" s="897" t="s">
        <v>2918</v>
      </c>
      <c r="P7407" s="867" t="s">
        <v>3003</v>
      </c>
    </row>
    <row r="7408" spans="1:16" ht="19.5" thickBot="1" x14ac:dyDescent="0.3">
      <c r="A7408" s="1061"/>
      <c r="B7408" s="798" t="s">
        <v>2909</v>
      </c>
      <c r="C7408" s="799" t="s">
        <v>26</v>
      </c>
      <c r="D7408" s="800">
        <v>0.5</v>
      </c>
      <c r="E7408" s="800">
        <v>0.54</v>
      </c>
      <c r="F7408" s="801" t="s">
        <v>16</v>
      </c>
      <c r="G7408" s="802" t="s">
        <v>76</v>
      </c>
      <c r="H7408" s="801" t="s">
        <v>2909</v>
      </c>
      <c r="I7408" s="801" t="s">
        <v>2987</v>
      </c>
      <c r="J7408" s="803"/>
      <c r="K7408" s="848"/>
      <c r="L7408" s="801" t="s">
        <v>265</v>
      </c>
      <c r="M7408" s="801">
        <v>525</v>
      </c>
      <c r="N7408" s="804">
        <v>4.1666666666666664E-2</v>
      </c>
      <c r="O7408" s="897" t="s">
        <v>2967</v>
      </c>
      <c r="P7408" s="867" t="s">
        <v>3011</v>
      </c>
    </row>
    <row r="7409" spans="1:18" x14ac:dyDescent="0.25">
      <c r="A7409" s="1073">
        <f>MAX(A7190:A7407)+1</f>
        <v>4526</v>
      </c>
      <c r="B7409" s="610" t="s">
        <v>2849</v>
      </c>
      <c r="C7409" s="480" t="s">
        <v>15</v>
      </c>
      <c r="D7409" s="481">
        <v>10.916</v>
      </c>
      <c r="E7409" s="482"/>
      <c r="F7409" s="483" t="s">
        <v>16</v>
      </c>
      <c r="G7409" s="1075" t="s">
        <v>2910</v>
      </c>
      <c r="H7409" s="483" t="s">
        <v>2909</v>
      </c>
      <c r="I7409" s="484"/>
      <c r="J7409" s="485"/>
      <c r="K7409" s="479"/>
      <c r="L7409" s="483" t="s">
        <v>28</v>
      </c>
      <c r="M7409" s="483">
        <v>11063.15</v>
      </c>
      <c r="N7409" s="486">
        <v>0.41666666666666669</v>
      </c>
      <c r="O7409" s="897" t="s">
        <v>2919</v>
      </c>
      <c r="P7409" s="867">
        <v>6321571</v>
      </c>
    </row>
    <row r="7410" spans="1:18" x14ac:dyDescent="0.25">
      <c r="A7410" s="1077"/>
      <c r="B7410" s="769" t="s">
        <v>2849</v>
      </c>
      <c r="C7410" s="764" t="s">
        <v>20</v>
      </c>
      <c r="D7410" s="765">
        <v>4.0220000000000002</v>
      </c>
      <c r="E7410" s="766"/>
      <c r="F7410" s="763" t="s">
        <v>16</v>
      </c>
      <c r="G7410" s="1078"/>
      <c r="H7410" s="763" t="s">
        <v>2909</v>
      </c>
      <c r="I7410" s="768"/>
      <c r="J7410" s="779"/>
      <c r="K7410" s="791"/>
      <c r="L7410" s="763" t="s">
        <v>28</v>
      </c>
      <c r="M7410" s="763">
        <v>4115.1400000000003</v>
      </c>
      <c r="N7410" s="770">
        <v>0.41666666666666669</v>
      </c>
      <c r="O7410" s="897" t="s">
        <v>2920</v>
      </c>
      <c r="P7410" s="867">
        <v>6321570</v>
      </c>
    </row>
    <row r="7411" spans="1:18" ht="19.5" thickBot="1" x14ac:dyDescent="0.3">
      <c r="A7411" s="1074"/>
      <c r="B7411" s="805" t="s">
        <v>2909</v>
      </c>
      <c r="C7411" s="806" t="s">
        <v>15</v>
      </c>
      <c r="D7411" s="807">
        <v>0.45</v>
      </c>
      <c r="E7411" s="807"/>
      <c r="F7411" s="808" t="s">
        <v>16</v>
      </c>
      <c r="G7411" s="1076"/>
      <c r="H7411" s="808" t="s">
        <v>2909</v>
      </c>
      <c r="I7411" s="808"/>
      <c r="J7411" s="810"/>
      <c r="K7411" s="887"/>
      <c r="L7411" s="808" t="s">
        <v>28</v>
      </c>
      <c r="M7411" s="808">
        <v>450</v>
      </c>
      <c r="N7411" s="778">
        <v>0.41666666666666669</v>
      </c>
      <c r="O7411" s="897" t="s">
        <v>2974</v>
      </c>
    </row>
    <row r="7412" spans="1:18" x14ac:dyDescent="0.25">
      <c r="A7412" s="1059">
        <f>MAX(A7192:A7411)+1</f>
        <v>4527</v>
      </c>
      <c r="B7412" s="759" t="s">
        <v>2849</v>
      </c>
      <c r="C7412" s="532" t="s">
        <v>24</v>
      </c>
      <c r="D7412" s="533">
        <v>16.771000000000001</v>
      </c>
      <c r="E7412" s="534"/>
      <c r="F7412" s="535" t="s">
        <v>16</v>
      </c>
      <c r="G7412" s="1080" t="s">
        <v>1633</v>
      </c>
      <c r="H7412" s="535" t="s">
        <v>2909</v>
      </c>
      <c r="I7412" s="537"/>
      <c r="J7412" s="538"/>
      <c r="K7412" s="531"/>
      <c r="L7412" s="535" t="s">
        <v>28</v>
      </c>
      <c r="M7412" s="535">
        <v>16905.98</v>
      </c>
      <c r="N7412" s="539">
        <v>0.45833333333333331</v>
      </c>
      <c r="O7412" s="897" t="s">
        <v>2921</v>
      </c>
      <c r="P7412" s="867">
        <v>6321609</v>
      </c>
    </row>
    <row r="7413" spans="1:18" ht="19.5" thickBot="1" x14ac:dyDescent="0.3">
      <c r="A7413" s="1061"/>
      <c r="B7413" s="785" t="s">
        <v>2909</v>
      </c>
      <c r="C7413" s="786" t="s">
        <v>24</v>
      </c>
      <c r="D7413" s="787">
        <v>0.24</v>
      </c>
      <c r="E7413" s="787"/>
      <c r="F7413" s="788" t="s">
        <v>16</v>
      </c>
      <c r="G7413" s="1081"/>
      <c r="H7413" s="788" t="s">
        <v>2909</v>
      </c>
      <c r="I7413" s="788"/>
      <c r="J7413" s="790"/>
      <c r="K7413" s="877"/>
      <c r="L7413" s="788" t="s">
        <v>28</v>
      </c>
      <c r="M7413" s="788">
        <v>240</v>
      </c>
      <c r="N7413" s="784">
        <v>0.45833333333333331</v>
      </c>
      <c r="O7413" s="897" t="s">
        <v>2976</v>
      </c>
    </row>
    <row r="7414" spans="1:18" ht="19.5" thickBot="1" x14ac:dyDescent="0.3">
      <c r="A7414" s="513">
        <f>MAX(A7193:A7412)+1</f>
        <v>4528</v>
      </c>
      <c r="B7414" s="514" t="s">
        <v>2849</v>
      </c>
      <c r="C7414" s="515" t="s">
        <v>25</v>
      </c>
      <c r="D7414" s="516">
        <v>18.077000000000002</v>
      </c>
      <c r="E7414" s="517"/>
      <c r="F7414" s="518" t="s">
        <v>16</v>
      </c>
      <c r="G7414" s="519"/>
      <c r="H7414" s="518" t="s">
        <v>2909</v>
      </c>
      <c r="I7414" s="520"/>
      <c r="J7414" s="521"/>
      <c r="K7414" s="514"/>
      <c r="L7414" s="518" t="s">
        <v>265</v>
      </c>
      <c r="M7414" s="518">
        <v>18187.610000000004</v>
      </c>
      <c r="N7414" s="522">
        <v>0.5</v>
      </c>
      <c r="O7414" s="897" t="s">
        <v>2922</v>
      </c>
      <c r="P7414" s="867">
        <v>6321612</v>
      </c>
    </row>
    <row r="7415" spans="1:18" x14ac:dyDescent="0.25">
      <c r="A7415" s="1066">
        <f>MAX(A7194:A7414)+1</f>
        <v>4529</v>
      </c>
      <c r="B7415" s="531" t="s">
        <v>2849</v>
      </c>
      <c r="C7415" s="532" t="s">
        <v>320</v>
      </c>
      <c r="D7415" s="533">
        <v>2.75</v>
      </c>
      <c r="E7415" s="534">
        <v>2.75</v>
      </c>
      <c r="F7415" s="535" t="s">
        <v>30</v>
      </c>
      <c r="G7415" s="536"/>
      <c r="H7415" s="535" t="s">
        <v>2909</v>
      </c>
      <c r="I7415" s="537" t="s">
        <v>2909</v>
      </c>
      <c r="J7415" s="538"/>
      <c r="K7415" s="531"/>
      <c r="L7415" s="535" t="s">
        <v>266</v>
      </c>
      <c r="M7415" s="535">
        <v>2750.16</v>
      </c>
      <c r="N7415" s="539">
        <v>0.41666666666666669</v>
      </c>
      <c r="O7415" s="897" t="s">
        <v>2912</v>
      </c>
      <c r="P7415" s="867" t="s">
        <v>2979</v>
      </c>
    </row>
    <row r="7416" spans="1:18" ht="19.5" thickBot="1" x14ac:dyDescent="0.3">
      <c r="A7416" s="1067"/>
      <c r="B7416" s="636" t="s">
        <v>2849</v>
      </c>
      <c r="C7416" s="637" t="s">
        <v>47</v>
      </c>
      <c r="D7416" s="638">
        <v>9.5500000000000007</v>
      </c>
      <c r="E7416" s="639">
        <v>9.5500000000000007</v>
      </c>
      <c r="F7416" s="640" t="s">
        <v>30</v>
      </c>
      <c r="G7416" s="641"/>
      <c r="H7416" s="640" t="s">
        <v>2909</v>
      </c>
      <c r="I7416" s="642" t="s">
        <v>2909</v>
      </c>
      <c r="J7416" s="643"/>
      <c r="K7416" s="636"/>
      <c r="L7416" s="640" t="s">
        <v>28</v>
      </c>
      <c r="M7416" s="640">
        <v>9550.6400000000012</v>
      </c>
      <c r="N7416" s="644">
        <v>0.41666666666666669</v>
      </c>
      <c r="O7416" s="897" t="s">
        <v>2914</v>
      </c>
      <c r="P7416" s="867" t="s">
        <v>2980</v>
      </c>
    </row>
    <row r="7417" spans="1:18" ht="19.5" thickBot="1" x14ac:dyDescent="0.3">
      <c r="A7417" s="572">
        <f>MAX(A7196:A7416)+1</f>
        <v>4530</v>
      </c>
      <c r="B7417" s="573" t="s">
        <v>2909</v>
      </c>
      <c r="C7417" s="574" t="s">
        <v>32</v>
      </c>
      <c r="D7417" s="575">
        <v>18.062000000000001</v>
      </c>
      <c r="E7417" s="576"/>
      <c r="F7417" s="577" t="s">
        <v>16</v>
      </c>
      <c r="G7417" s="578"/>
      <c r="H7417" s="577" t="s">
        <v>2970</v>
      </c>
      <c r="I7417" s="579"/>
      <c r="J7417" s="580"/>
      <c r="K7417" s="573"/>
      <c r="L7417" s="577" t="s">
        <v>266</v>
      </c>
      <c r="M7417" s="577">
        <v>18138.23</v>
      </c>
      <c r="N7417" s="581">
        <v>0.41666666666666669</v>
      </c>
      <c r="O7417" s="897" t="s">
        <v>2971</v>
      </c>
    </row>
    <row r="7418" spans="1:18" x14ac:dyDescent="0.25">
      <c r="A7418" s="1059">
        <f>MAX(A7197:A7417)+1</f>
        <v>4531</v>
      </c>
      <c r="B7418" s="759" t="s">
        <v>2987</v>
      </c>
      <c r="C7418" s="532" t="s">
        <v>26</v>
      </c>
      <c r="D7418" s="533">
        <v>17.568999999999999</v>
      </c>
      <c r="E7418" s="534"/>
      <c r="F7418" s="535" t="s">
        <v>16</v>
      </c>
      <c r="G7418" s="1051"/>
      <c r="H7418" s="535" t="s">
        <v>2988</v>
      </c>
      <c r="I7418" s="537"/>
      <c r="J7418" s="538"/>
      <c r="K7418" s="531"/>
      <c r="L7418" s="535" t="s">
        <v>265</v>
      </c>
      <c r="M7418" s="535">
        <v>17700.500000000004</v>
      </c>
      <c r="N7418" s="539">
        <v>4.1666666666666664E-2</v>
      </c>
      <c r="O7418" s="897" t="s">
        <v>2993</v>
      </c>
      <c r="P7418" s="867">
        <v>6324362</v>
      </c>
    </row>
    <row r="7419" spans="1:18" x14ac:dyDescent="0.25">
      <c r="A7419" s="1060"/>
      <c r="B7419" s="852" t="s">
        <v>2988</v>
      </c>
      <c r="C7419" s="837" t="s">
        <v>26</v>
      </c>
      <c r="D7419" s="838">
        <v>0.5</v>
      </c>
      <c r="E7419" s="838"/>
      <c r="F7419" s="839" t="s">
        <v>16</v>
      </c>
      <c r="G7419" s="850"/>
      <c r="H7419" s="839" t="s">
        <v>2988</v>
      </c>
      <c r="I7419" s="839"/>
      <c r="J7419" s="840"/>
      <c r="K7419" s="836"/>
      <c r="L7419" s="839" t="s">
        <v>265</v>
      </c>
      <c r="M7419" s="839">
        <v>525</v>
      </c>
      <c r="N7419" s="598">
        <v>4.1666666666666664E-2</v>
      </c>
      <c r="O7419" s="897" t="s">
        <v>3030</v>
      </c>
    </row>
    <row r="7420" spans="1:18" ht="19.5" thickBot="1" x14ac:dyDescent="0.3">
      <c r="A7420" s="1061"/>
      <c r="B7420" s="785" t="s">
        <v>2988</v>
      </c>
      <c r="C7420" s="786" t="s">
        <v>26</v>
      </c>
      <c r="D7420" s="787">
        <v>0.52</v>
      </c>
      <c r="E7420" s="787"/>
      <c r="F7420" s="788" t="s">
        <v>16</v>
      </c>
      <c r="G7420" s="789"/>
      <c r="H7420" s="788" t="s">
        <v>2988</v>
      </c>
      <c r="I7420" s="788"/>
      <c r="J7420" s="790"/>
      <c r="K7420" s="877"/>
      <c r="L7420" s="788" t="s">
        <v>265</v>
      </c>
      <c r="M7420" s="788">
        <v>540</v>
      </c>
      <c r="N7420" s="784">
        <v>4.1666666666666664E-2</v>
      </c>
      <c r="O7420" s="897" t="s">
        <v>3028</v>
      </c>
    </row>
    <row r="7421" spans="1:18" x14ac:dyDescent="0.25">
      <c r="A7421" s="1062">
        <f>MAX(A7198:A7418)+1</f>
        <v>4532</v>
      </c>
      <c r="B7421" s="523" t="s">
        <v>2987</v>
      </c>
      <c r="C7421" s="524" t="s">
        <v>26</v>
      </c>
      <c r="D7421" s="525">
        <v>17.094999999999999</v>
      </c>
      <c r="E7421" s="526"/>
      <c r="F7421" s="527" t="s">
        <v>16</v>
      </c>
      <c r="G7421" s="561"/>
      <c r="H7421" s="527" t="s">
        <v>2988</v>
      </c>
      <c r="I7421" s="528"/>
      <c r="J7421" s="529"/>
      <c r="K7421" s="523"/>
      <c r="L7421" s="527" t="s">
        <v>265</v>
      </c>
      <c r="M7421" s="527">
        <v>17119.800000000003</v>
      </c>
      <c r="N7421" s="530">
        <v>8.3333333333333329E-2</v>
      </c>
      <c r="O7421" s="897" t="s">
        <v>2995</v>
      </c>
      <c r="P7421" s="867">
        <v>6324401</v>
      </c>
    </row>
    <row r="7422" spans="1:18" ht="19.5" thickBot="1" x14ac:dyDescent="0.3">
      <c r="A7422" s="1063"/>
      <c r="B7422" s="859" t="s">
        <v>2988</v>
      </c>
      <c r="C7422" s="854" t="s">
        <v>26</v>
      </c>
      <c r="D7422" s="855">
        <v>0.18</v>
      </c>
      <c r="E7422" s="855"/>
      <c r="F7422" s="856" t="s">
        <v>16</v>
      </c>
      <c r="G7422" s="857"/>
      <c r="H7422" s="856" t="s">
        <v>2988</v>
      </c>
      <c r="I7422" s="856"/>
      <c r="J7422" s="858"/>
      <c r="K7422" s="859"/>
      <c r="L7422" s="856" t="s">
        <v>265</v>
      </c>
      <c r="M7422" s="856">
        <v>180</v>
      </c>
      <c r="N7422" s="653">
        <v>8.3333333333333329E-2</v>
      </c>
      <c r="O7422" s="897" t="s">
        <v>3029</v>
      </c>
    </row>
    <row r="7423" spans="1:18" x14ac:dyDescent="0.25">
      <c r="A7423" s="1066">
        <f>MAX(A7199:A7421)+1</f>
        <v>4533</v>
      </c>
      <c r="B7423" s="531" t="s">
        <v>2987</v>
      </c>
      <c r="C7423" s="532" t="s">
        <v>15</v>
      </c>
      <c r="D7423" s="533">
        <v>4.6390000000000002</v>
      </c>
      <c r="E7423" s="534"/>
      <c r="F7423" s="535" t="s">
        <v>30</v>
      </c>
      <c r="G7423" s="536"/>
      <c r="H7423" s="535" t="s">
        <v>2988</v>
      </c>
      <c r="I7423" s="537"/>
      <c r="J7423" s="538"/>
      <c r="K7423" s="531"/>
      <c r="L7423" s="535" t="s">
        <v>28</v>
      </c>
      <c r="M7423" s="535">
        <v>4639.88</v>
      </c>
      <c r="N7423" s="539">
        <v>0.41666666666666669</v>
      </c>
      <c r="O7423" s="897" t="s">
        <v>2991</v>
      </c>
      <c r="P7423" s="867">
        <v>6324724</v>
      </c>
      <c r="Q7423"/>
      <c r="R7423"/>
    </row>
    <row r="7424" spans="1:18" x14ac:dyDescent="0.25">
      <c r="A7424" s="1068"/>
      <c r="B7424" s="563" t="s">
        <v>2987</v>
      </c>
      <c r="C7424" s="564" t="s">
        <v>24</v>
      </c>
      <c r="D7424" s="565">
        <v>5.6150000000000002</v>
      </c>
      <c r="E7424" s="566"/>
      <c r="F7424" s="567" t="s">
        <v>30</v>
      </c>
      <c r="G7424" s="568"/>
      <c r="H7424" s="567" t="s">
        <v>2988</v>
      </c>
      <c r="I7424" s="569"/>
      <c r="J7424" s="570"/>
      <c r="K7424" s="563"/>
      <c r="L7424" s="567" t="s">
        <v>28</v>
      </c>
      <c r="M7424" s="567">
        <v>5615.6400000000012</v>
      </c>
      <c r="N7424" s="571">
        <v>0.41666666666666669</v>
      </c>
      <c r="O7424" s="897" t="s">
        <v>2990</v>
      </c>
      <c r="P7424" s="867">
        <v>6324714</v>
      </c>
      <c r="Q7424"/>
      <c r="R7424"/>
    </row>
    <row r="7425" spans="1:18" ht="19.5" thickBot="1" x14ac:dyDescent="0.3">
      <c r="A7425" s="1067"/>
      <c r="B7425" s="636" t="s">
        <v>2987</v>
      </c>
      <c r="C7425" s="637" t="s">
        <v>20</v>
      </c>
      <c r="D7425" s="638">
        <v>5.7270000000000003</v>
      </c>
      <c r="E7425" s="639"/>
      <c r="F7425" s="640" t="s">
        <v>30</v>
      </c>
      <c r="G7425" s="641"/>
      <c r="H7425" s="640" t="s">
        <v>2988</v>
      </c>
      <c r="I7425" s="642"/>
      <c r="J7425" s="643"/>
      <c r="K7425" s="636"/>
      <c r="L7425" s="640" t="s">
        <v>28</v>
      </c>
      <c r="M7425" s="640">
        <v>5727.1200000000008</v>
      </c>
      <c r="N7425" s="644">
        <v>0.41666666666666669</v>
      </c>
      <c r="O7425" s="897" t="s">
        <v>2992</v>
      </c>
      <c r="P7425" s="867">
        <v>6324398</v>
      </c>
      <c r="Q7425"/>
      <c r="R7425"/>
    </row>
    <row r="7426" spans="1:18" ht="19.5" thickBot="1" x14ac:dyDescent="0.3">
      <c r="A7426" s="513">
        <f>MAX(A7202:A7425)+1</f>
        <v>4534</v>
      </c>
      <c r="B7426" s="514" t="s">
        <v>2987</v>
      </c>
      <c r="C7426" s="515" t="s">
        <v>26</v>
      </c>
      <c r="D7426" s="516">
        <v>14.672000000000001</v>
      </c>
      <c r="E7426" s="517"/>
      <c r="F7426" s="518" t="s">
        <v>30</v>
      </c>
      <c r="G7426" s="519"/>
      <c r="H7426" s="518" t="s">
        <v>2988</v>
      </c>
      <c r="I7426" s="520"/>
      <c r="J7426" s="521"/>
      <c r="K7426" s="514"/>
      <c r="L7426" s="518" t="s">
        <v>265</v>
      </c>
      <c r="M7426" s="518">
        <v>14672.52</v>
      </c>
      <c r="N7426" s="522">
        <v>4.1666666666666664E-2</v>
      </c>
      <c r="O7426" s="897" t="s">
        <v>2997</v>
      </c>
    </row>
    <row r="7427" spans="1:18" ht="19.5" thickBot="1" x14ac:dyDescent="0.3">
      <c r="A7427" s="503">
        <f>MAX(A7203:A7426)+1</f>
        <v>4535</v>
      </c>
      <c r="B7427" s="504" t="s">
        <v>2987</v>
      </c>
      <c r="C7427" s="505" t="s">
        <v>26</v>
      </c>
      <c r="D7427" s="506">
        <v>17.728999999999999</v>
      </c>
      <c r="E7427" s="507"/>
      <c r="F7427" s="508" t="s">
        <v>16</v>
      </c>
      <c r="G7427" s="509"/>
      <c r="H7427" s="508" t="s">
        <v>2989</v>
      </c>
      <c r="I7427" s="510"/>
      <c r="J7427" s="511"/>
      <c r="K7427" s="504"/>
      <c r="L7427" s="508" t="s">
        <v>265</v>
      </c>
      <c r="M7427" s="508">
        <v>17889.14</v>
      </c>
      <c r="N7427" s="512">
        <v>4.1666666666666664E-2</v>
      </c>
      <c r="O7427" s="897" t="s">
        <v>2996</v>
      </c>
      <c r="P7427" s="867">
        <v>6324962</v>
      </c>
    </row>
    <row r="7428" spans="1:18" x14ac:dyDescent="0.25">
      <c r="A7428" s="1062">
        <f>MAX(A7204:A7427)+1</f>
        <v>4536</v>
      </c>
      <c r="B7428" s="479" t="s">
        <v>2987</v>
      </c>
      <c r="C7428" s="480" t="s">
        <v>23</v>
      </c>
      <c r="D7428" s="481">
        <v>14.750999999999999</v>
      </c>
      <c r="E7428" s="482"/>
      <c r="F7428" s="483" t="s">
        <v>16</v>
      </c>
      <c r="G7428" s="549"/>
      <c r="H7428" s="483" t="s">
        <v>2989</v>
      </c>
      <c r="I7428" s="484"/>
      <c r="J7428" s="485"/>
      <c r="K7428" s="479"/>
      <c r="L7428" s="483" t="s">
        <v>28</v>
      </c>
      <c r="M7428" s="483">
        <v>14923.7</v>
      </c>
      <c r="N7428" s="486">
        <v>0.41666666666666669</v>
      </c>
      <c r="O7428" s="897" t="s">
        <v>2999</v>
      </c>
      <c r="P7428" s="867">
        <v>6324553</v>
      </c>
      <c r="Q7428"/>
      <c r="R7428"/>
    </row>
    <row r="7429" spans="1:18" ht="19.5" thickBot="1" x14ac:dyDescent="0.3">
      <c r="A7429" s="1063"/>
      <c r="B7429" s="645" t="s">
        <v>2987</v>
      </c>
      <c r="C7429" s="646" t="s">
        <v>20</v>
      </c>
      <c r="D7429" s="647">
        <v>2.7170000000000001</v>
      </c>
      <c r="E7429" s="648"/>
      <c r="F7429" s="649" t="s">
        <v>16</v>
      </c>
      <c r="G7429" s="650"/>
      <c r="H7429" s="649" t="s">
        <v>2989</v>
      </c>
      <c r="I7429" s="651"/>
      <c r="J7429" s="652"/>
      <c r="K7429" s="645"/>
      <c r="L7429" s="649" t="s">
        <v>28</v>
      </c>
      <c r="M7429" s="649">
        <v>2809.78</v>
      </c>
      <c r="N7429" s="653">
        <v>0.41666666666666669</v>
      </c>
      <c r="O7429" s="897" t="s">
        <v>2998</v>
      </c>
      <c r="P7429" s="867">
        <v>6324547</v>
      </c>
      <c r="Q7429"/>
      <c r="R7429"/>
    </row>
    <row r="7430" spans="1:18" ht="56.25" x14ac:dyDescent="0.25">
      <c r="A7430" s="1066">
        <f>MAX(A7206:A7429)+1</f>
        <v>4537</v>
      </c>
      <c r="B7430" s="531" t="s">
        <v>2987</v>
      </c>
      <c r="C7430" s="532" t="s">
        <v>587</v>
      </c>
      <c r="D7430" s="533">
        <v>1.075</v>
      </c>
      <c r="E7430" s="534"/>
      <c r="F7430" s="535" t="s">
        <v>16</v>
      </c>
      <c r="G7430" s="536" t="s">
        <v>794</v>
      </c>
      <c r="H7430" s="535" t="s">
        <v>2989</v>
      </c>
      <c r="I7430" s="537"/>
      <c r="J7430" s="538"/>
      <c r="K7430" s="531"/>
      <c r="L7430" s="535" t="s">
        <v>28</v>
      </c>
      <c r="M7430" s="535">
        <v>1075.04</v>
      </c>
      <c r="N7430" s="539">
        <v>0.45833333333333331</v>
      </c>
      <c r="O7430" s="897" t="s">
        <v>3001</v>
      </c>
      <c r="P7430" s="867">
        <v>6324559</v>
      </c>
      <c r="Q7430"/>
      <c r="R7430"/>
    </row>
    <row r="7431" spans="1:18" x14ac:dyDescent="0.25">
      <c r="A7431" s="1068"/>
      <c r="B7431" s="563" t="s">
        <v>2987</v>
      </c>
      <c r="C7431" s="564" t="s">
        <v>587</v>
      </c>
      <c r="D7431" s="565">
        <v>7.423</v>
      </c>
      <c r="E7431" s="566"/>
      <c r="F7431" s="567" t="s">
        <v>16</v>
      </c>
      <c r="G7431" s="568" t="s">
        <v>47</v>
      </c>
      <c r="H7431" s="567" t="s">
        <v>2989</v>
      </c>
      <c r="I7431" s="569"/>
      <c r="J7431" s="570"/>
      <c r="K7431" s="563"/>
      <c r="L7431" s="567" t="s">
        <v>28</v>
      </c>
      <c r="M7431" s="567">
        <v>7423.5599999999995</v>
      </c>
      <c r="N7431" s="571">
        <v>0.45833333333333331</v>
      </c>
      <c r="O7431" s="897" t="s">
        <v>3002</v>
      </c>
      <c r="P7431" s="867">
        <v>6324564</v>
      </c>
      <c r="Q7431"/>
      <c r="R7431"/>
    </row>
    <row r="7432" spans="1:18" ht="19.5" thickBot="1" x14ac:dyDescent="0.3">
      <c r="A7432" s="1068"/>
      <c r="B7432" s="590" t="s">
        <v>2987</v>
      </c>
      <c r="C7432" s="591" t="s">
        <v>47</v>
      </c>
      <c r="D7432" s="592">
        <v>9.1080000000000005</v>
      </c>
      <c r="E7432" s="593"/>
      <c r="F7432" s="594" t="s">
        <v>16</v>
      </c>
      <c r="G7432" s="595"/>
      <c r="H7432" s="594" t="s">
        <v>2989</v>
      </c>
      <c r="I7432" s="596"/>
      <c r="J7432" s="597"/>
      <c r="K7432" s="590"/>
      <c r="L7432" s="594" t="s">
        <v>28</v>
      </c>
      <c r="M7432" s="594">
        <v>9340.3799999999992</v>
      </c>
      <c r="N7432" s="598">
        <v>0.45833333333333331</v>
      </c>
      <c r="O7432" s="897" t="s">
        <v>3000</v>
      </c>
      <c r="P7432" s="867">
        <v>6324561</v>
      </c>
      <c r="Q7432"/>
      <c r="R7432"/>
    </row>
    <row r="7433" spans="1:18" x14ac:dyDescent="0.25">
      <c r="A7433" s="1062">
        <f>MAX(A7209:A7432)+1</f>
        <v>4538</v>
      </c>
      <c r="B7433" s="479" t="s">
        <v>2970</v>
      </c>
      <c r="C7433" s="480" t="s">
        <v>480</v>
      </c>
      <c r="D7433" s="481">
        <v>4.0999999999999996</v>
      </c>
      <c r="E7433" s="482"/>
      <c r="F7433" s="483" t="s">
        <v>16</v>
      </c>
      <c r="G7433" s="549"/>
      <c r="H7433" s="483" t="s">
        <v>2989</v>
      </c>
      <c r="I7433" s="484"/>
      <c r="J7433" s="485"/>
      <c r="K7433" s="479"/>
      <c r="L7433" s="483" t="s">
        <v>266</v>
      </c>
      <c r="M7433" s="483">
        <v>4163.92</v>
      </c>
      <c r="N7433" s="486">
        <v>0.5</v>
      </c>
      <c r="O7433" s="897" t="s">
        <v>3021</v>
      </c>
    </row>
    <row r="7434" spans="1:18" x14ac:dyDescent="0.25">
      <c r="A7434" s="1072"/>
      <c r="B7434" s="523" t="s">
        <v>2970</v>
      </c>
      <c r="C7434" s="524" t="s">
        <v>981</v>
      </c>
      <c r="D7434" s="525">
        <v>6.2190000000000003</v>
      </c>
      <c r="E7434" s="526"/>
      <c r="F7434" s="527" t="s">
        <v>16</v>
      </c>
      <c r="G7434" s="561"/>
      <c r="H7434" s="527" t="s">
        <v>2989</v>
      </c>
      <c r="I7434" s="528"/>
      <c r="J7434" s="529"/>
      <c r="K7434" s="523"/>
      <c r="L7434" s="527" t="s">
        <v>266</v>
      </c>
      <c r="M7434" s="527">
        <v>6222.5400000000009</v>
      </c>
      <c r="N7434" s="530">
        <v>0.5</v>
      </c>
      <c r="O7434" s="897" t="s">
        <v>3018</v>
      </c>
    </row>
    <row r="7435" spans="1:18" x14ac:dyDescent="0.25">
      <c r="A7435" s="1072"/>
      <c r="B7435" s="523" t="s">
        <v>2970</v>
      </c>
      <c r="C7435" s="524" t="s">
        <v>32</v>
      </c>
      <c r="D7435" s="525">
        <v>5.59</v>
      </c>
      <c r="E7435" s="526"/>
      <c r="F7435" s="527" t="s">
        <v>16</v>
      </c>
      <c r="G7435" s="561" t="s">
        <v>1702</v>
      </c>
      <c r="H7435" s="527" t="s">
        <v>2989</v>
      </c>
      <c r="I7435" s="528"/>
      <c r="J7435" s="529"/>
      <c r="K7435" s="523"/>
      <c r="L7435" s="527" t="s">
        <v>266</v>
      </c>
      <c r="M7435" s="527">
        <v>5593.7000000000007</v>
      </c>
      <c r="N7435" s="530">
        <v>0.5</v>
      </c>
      <c r="O7435" s="897" t="s">
        <v>3019</v>
      </c>
    </row>
    <row r="7436" spans="1:18" ht="19.5" thickBot="1" x14ac:dyDescent="0.3">
      <c r="A7436" s="1063"/>
      <c r="B7436" s="645" t="s">
        <v>2970</v>
      </c>
      <c r="C7436" s="646" t="s">
        <v>913</v>
      </c>
      <c r="D7436" s="647">
        <v>1.8380000000000001</v>
      </c>
      <c r="E7436" s="648"/>
      <c r="F7436" s="649" t="s">
        <v>16</v>
      </c>
      <c r="G7436" s="650"/>
      <c r="H7436" s="649" t="s">
        <v>2989</v>
      </c>
      <c r="I7436" s="651"/>
      <c r="J7436" s="652"/>
      <c r="K7436" s="645"/>
      <c r="L7436" s="649" t="s">
        <v>266</v>
      </c>
      <c r="M7436" s="649">
        <v>1846.2</v>
      </c>
      <c r="N7436" s="653">
        <v>0.5</v>
      </c>
      <c r="O7436" s="897" t="s">
        <v>3020</v>
      </c>
    </row>
    <row r="7437" spans="1:18" x14ac:dyDescent="0.25">
      <c r="A7437" s="1066">
        <f>MAX(A7213:A7436)+1</f>
        <v>4539</v>
      </c>
      <c r="B7437" s="531" t="s">
        <v>2970</v>
      </c>
      <c r="C7437" s="532" t="s">
        <v>26</v>
      </c>
      <c r="D7437" s="533">
        <v>15.757999999999999</v>
      </c>
      <c r="E7437" s="534"/>
      <c r="F7437" s="535" t="s">
        <v>16</v>
      </c>
      <c r="G7437" s="536"/>
      <c r="H7437" s="535" t="s">
        <v>3013</v>
      </c>
      <c r="I7437" s="537"/>
      <c r="J7437" s="538"/>
      <c r="K7437" s="531"/>
      <c r="L7437" s="535" t="s">
        <v>265</v>
      </c>
      <c r="M7437" s="535">
        <v>15933.300000000001</v>
      </c>
      <c r="N7437" s="539">
        <v>4.1666666666666664E-2</v>
      </c>
      <c r="O7437" s="897" t="s">
        <v>3016</v>
      </c>
      <c r="P7437" s="867">
        <v>6325058</v>
      </c>
    </row>
    <row r="7438" spans="1:18" ht="19.5" thickBot="1" x14ac:dyDescent="0.3">
      <c r="A7438" s="1067"/>
      <c r="B7438" s="636" t="s">
        <v>2970</v>
      </c>
      <c r="C7438" s="637" t="s">
        <v>952</v>
      </c>
      <c r="D7438" s="638">
        <v>1.9990000000000001</v>
      </c>
      <c r="E7438" s="639"/>
      <c r="F7438" s="640" t="s">
        <v>16</v>
      </c>
      <c r="G7438" s="641"/>
      <c r="H7438" s="640" t="s">
        <v>3013</v>
      </c>
      <c r="I7438" s="642"/>
      <c r="J7438" s="643"/>
      <c r="K7438" s="636"/>
      <c r="L7438" s="640" t="s">
        <v>265</v>
      </c>
      <c r="M7438" s="640">
        <v>2066.52</v>
      </c>
      <c r="N7438" s="644">
        <v>4.1666666666666664E-2</v>
      </c>
      <c r="O7438" s="897" t="s">
        <v>3017</v>
      </c>
      <c r="P7438" s="867">
        <v>6325061</v>
      </c>
    </row>
    <row r="7439" spans="1:18" x14ac:dyDescent="0.25">
      <c r="A7439" s="1062">
        <f>MAX(A7215:A7438)+1</f>
        <v>4540</v>
      </c>
      <c r="B7439" s="479" t="s">
        <v>2970</v>
      </c>
      <c r="C7439" s="480" t="s">
        <v>839</v>
      </c>
      <c r="D7439" s="481">
        <v>2.2000000000000002</v>
      </c>
      <c r="E7439" s="482"/>
      <c r="F7439" s="483" t="s">
        <v>16</v>
      </c>
      <c r="G7439" s="549"/>
      <c r="H7439" s="483" t="s">
        <v>3013</v>
      </c>
      <c r="I7439" s="484"/>
      <c r="J7439" s="485"/>
      <c r="K7439" s="479"/>
      <c r="L7439" s="483" t="s">
        <v>28</v>
      </c>
      <c r="M7439" s="483">
        <v>2218.1999999999998</v>
      </c>
      <c r="N7439" s="486">
        <v>0.41666666666666669</v>
      </c>
      <c r="O7439" s="897" t="s">
        <v>3014</v>
      </c>
      <c r="P7439" s="867">
        <v>6325092</v>
      </c>
    </row>
    <row r="7440" spans="1:18" ht="19.5" thickBot="1" x14ac:dyDescent="0.3">
      <c r="A7440" s="1063"/>
      <c r="B7440" s="645" t="s">
        <v>2970</v>
      </c>
      <c r="C7440" s="646" t="s">
        <v>23</v>
      </c>
      <c r="D7440" s="647">
        <v>15.404999999999999</v>
      </c>
      <c r="E7440" s="648"/>
      <c r="F7440" s="649" t="s">
        <v>16</v>
      </c>
      <c r="G7440" s="650"/>
      <c r="H7440" s="649" t="s">
        <v>3013</v>
      </c>
      <c r="I7440" s="651"/>
      <c r="J7440" s="652"/>
      <c r="K7440" s="645"/>
      <c r="L7440" s="649" t="s">
        <v>28</v>
      </c>
      <c r="M7440" s="649">
        <v>15542.44</v>
      </c>
      <c r="N7440" s="653">
        <v>0.41666666666666669</v>
      </c>
      <c r="O7440" s="897" t="s">
        <v>3015</v>
      </c>
      <c r="P7440" s="867">
        <v>6325094</v>
      </c>
    </row>
    <row r="7441" spans="1:16" ht="19.5" thickBot="1" x14ac:dyDescent="0.3">
      <c r="A7441" s="1053">
        <f>MAX(A7217:A7440)+1</f>
        <v>4541</v>
      </c>
      <c r="B7441" s="552" t="s">
        <v>2970</v>
      </c>
      <c r="C7441" s="553" t="s">
        <v>21</v>
      </c>
      <c r="D7441" s="554">
        <v>17.045999999999999</v>
      </c>
      <c r="E7441" s="555"/>
      <c r="F7441" s="556" t="s">
        <v>16</v>
      </c>
      <c r="G7441" s="1056"/>
      <c r="H7441" s="556" t="s">
        <v>3013</v>
      </c>
      <c r="I7441" s="558"/>
      <c r="J7441" s="559"/>
      <c r="K7441" s="552"/>
      <c r="L7441" s="556" t="s">
        <v>265</v>
      </c>
      <c r="M7441" s="556">
        <v>17098.8</v>
      </c>
      <c r="N7441" s="560">
        <v>0.45833333333333331</v>
      </c>
      <c r="O7441" s="897" t="s">
        <v>3022</v>
      </c>
      <c r="P7441" s="867">
        <v>6325097</v>
      </c>
    </row>
    <row r="7442" spans="1:16" ht="19.5" thickBot="1" x14ac:dyDescent="0.3">
      <c r="A7442" s="513">
        <f>MAX(A7218:A7441)+1</f>
        <v>4542</v>
      </c>
      <c r="B7442" s="514" t="s">
        <v>2988</v>
      </c>
      <c r="C7442" s="515" t="s">
        <v>26</v>
      </c>
      <c r="D7442" s="516">
        <v>17.558</v>
      </c>
      <c r="E7442" s="517"/>
      <c r="F7442" s="518" t="s">
        <v>16</v>
      </c>
      <c r="G7442" s="519"/>
      <c r="H7442" s="518" t="s">
        <v>3031</v>
      </c>
      <c r="I7442" s="520"/>
      <c r="J7442" s="521"/>
      <c r="K7442" s="514"/>
      <c r="L7442" s="518" t="s">
        <v>265</v>
      </c>
      <c r="M7442" s="518">
        <v>17716.500000000004</v>
      </c>
      <c r="N7442" s="522">
        <v>4.1666666666666664E-2</v>
      </c>
      <c r="O7442" s="897" t="s">
        <v>3034</v>
      </c>
    </row>
    <row r="7443" spans="1:16" ht="19.5" thickBot="1" x14ac:dyDescent="0.3">
      <c r="A7443" s="503">
        <f>MAX(A7219:A7442)+1</f>
        <v>4543</v>
      </c>
      <c r="B7443" s="504" t="s">
        <v>2988</v>
      </c>
      <c r="C7443" s="505" t="s">
        <v>26</v>
      </c>
      <c r="D7443" s="506">
        <v>15.004</v>
      </c>
      <c r="E7443" s="507"/>
      <c r="F7443" s="508" t="s">
        <v>30</v>
      </c>
      <c r="G7443" s="509"/>
      <c r="H7443" s="508" t="s">
        <v>3031</v>
      </c>
      <c r="I7443" s="510"/>
      <c r="J7443" s="511"/>
      <c r="K7443" s="504"/>
      <c r="L7443" s="508" t="s">
        <v>265</v>
      </c>
      <c r="M7443" s="508">
        <v>15004.08</v>
      </c>
      <c r="N7443" s="512">
        <v>4.1666666666666664E-2</v>
      </c>
    </row>
    <row r="7444" spans="1:16" x14ac:dyDescent="0.25">
      <c r="A7444" s="1062">
        <f>MAX(A7220:A7443)+1</f>
        <v>4544</v>
      </c>
      <c r="B7444" s="479" t="s">
        <v>2988</v>
      </c>
      <c r="C7444" s="480" t="s">
        <v>23</v>
      </c>
      <c r="D7444" s="481">
        <v>12.334</v>
      </c>
      <c r="E7444" s="482"/>
      <c r="F7444" s="483" t="s">
        <v>16</v>
      </c>
      <c r="G7444" s="1064" t="s">
        <v>3032</v>
      </c>
      <c r="H7444" s="483" t="s">
        <v>3031</v>
      </c>
      <c r="I7444" s="484"/>
      <c r="J7444" s="485"/>
      <c r="K7444" s="479"/>
      <c r="L7444" s="483" t="s">
        <v>28</v>
      </c>
      <c r="M7444" s="483">
        <v>12474.890000000003</v>
      </c>
      <c r="N7444" s="486">
        <v>0.41666666666666669</v>
      </c>
    </row>
    <row r="7445" spans="1:16" ht="19.5" thickBot="1" x14ac:dyDescent="0.3">
      <c r="A7445" s="1063"/>
      <c r="B7445" s="645" t="s">
        <v>2988</v>
      </c>
      <c r="C7445" s="646" t="s">
        <v>20</v>
      </c>
      <c r="D7445" s="647">
        <v>2.67</v>
      </c>
      <c r="E7445" s="648"/>
      <c r="F7445" s="649" t="s">
        <v>16</v>
      </c>
      <c r="G7445" s="1065"/>
      <c r="H7445" s="649" t="s">
        <v>3031</v>
      </c>
      <c r="I7445" s="651"/>
      <c r="J7445" s="652"/>
      <c r="K7445" s="645"/>
      <c r="L7445" s="649" t="s">
        <v>28</v>
      </c>
      <c r="M7445" s="649">
        <v>2770.3900000000003</v>
      </c>
      <c r="N7445" s="653">
        <v>0.41666666666666669</v>
      </c>
    </row>
    <row r="7446" spans="1:16" ht="38.25" thickBot="1" x14ac:dyDescent="0.3">
      <c r="A7446" s="503">
        <f>MAX(A7222:A7445)+1</f>
        <v>4545</v>
      </c>
      <c r="B7446" s="504" t="s">
        <v>2988</v>
      </c>
      <c r="C7446" s="505" t="s">
        <v>47</v>
      </c>
      <c r="D7446" s="506">
        <v>16.86</v>
      </c>
      <c r="E7446" s="507"/>
      <c r="F7446" s="508" t="s">
        <v>16</v>
      </c>
      <c r="G7446" s="509" t="s">
        <v>1633</v>
      </c>
      <c r="H7446" s="508" t="s">
        <v>3031</v>
      </c>
      <c r="I7446" s="510"/>
      <c r="J7446" s="511"/>
      <c r="K7446" s="504"/>
      <c r="L7446" s="508" t="s">
        <v>28</v>
      </c>
      <c r="M7446" s="508">
        <v>17039.13</v>
      </c>
      <c r="N7446" s="512">
        <v>0.45833333333333331</v>
      </c>
    </row>
    <row r="7447" spans="1:16" x14ac:dyDescent="0.25">
      <c r="A7447" s="1062">
        <f>MAX(A7223:A7446)+1</f>
        <v>4546</v>
      </c>
      <c r="B7447" s="479" t="s">
        <v>2988</v>
      </c>
      <c r="C7447" s="480" t="s">
        <v>587</v>
      </c>
      <c r="D7447" s="481">
        <v>7.5279999999999996</v>
      </c>
      <c r="E7447" s="482"/>
      <c r="F7447" s="483" t="s">
        <v>30</v>
      </c>
      <c r="G7447" s="1054" t="s">
        <v>23</v>
      </c>
      <c r="H7447" s="483" t="s">
        <v>3031</v>
      </c>
      <c r="I7447" s="484"/>
      <c r="J7447" s="485"/>
      <c r="K7447" s="479"/>
      <c r="L7447" s="483" t="s">
        <v>28</v>
      </c>
      <c r="M7447" s="483">
        <v>7528.88</v>
      </c>
      <c r="N7447" s="486">
        <v>0.41666666666666669</v>
      </c>
    </row>
    <row r="7448" spans="1:16" ht="19.5" thickBot="1" x14ac:dyDescent="0.3">
      <c r="A7448" s="1063"/>
      <c r="B7448" s="645" t="s">
        <v>2988</v>
      </c>
      <c r="C7448" s="646" t="s">
        <v>23</v>
      </c>
      <c r="D7448" s="647">
        <v>5.7789999999999999</v>
      </c>
      <c r="E7448" s="648"/>
      <c r="F7448" s="649" t="s">
        <v>30</v>
      </c>
      <c r="G7448" s="1058"/>
      <c r="H7448" s="649" t="s">
        <v>3031</v>
      </c>
      <c r="I7448" s="651"/>
      <c r="J7448" s="652"/>
      <c r="K7448" s="645"/>
      <c r="L7448" s="649" t="s">
        <v>28</v>
      </c>
      <c r="M7448" s="649">
        <v>5779.5199999999995</v>
      </c>
      <c r="N7448" s="653">
        <v>0.41666666666666669</v>
      </c>
    </row>
    <row r="7449" spans="1:16" x14ac:dyDescent="0.25">
      <c r="A7449" s="1066">
        <f>MAX(A7225:A7448)+1</f>
        <v>4547</v>
      </c>
      <c r="B7449" s="531" t="s">
        <v>2988</v>
      </c>
      <c r="C7449" s="532" t="s">
        <v>587</v>
      </c>
      <c r="D7449" s="533">
        <v>7.641</v>
      </c>
      <c r="E7449" s="534"/>
      <c r="F7449" s="535" t="s">
        <v>30</v>
      </c>
      <c r="G7449" s="1055" t="s">
        <v>47</v>
      </c>
      <c r="H7449" s="535" t="s">
        <v>3031</v>
      </c>
      <c r="I7449" s="537"/>
      <c r="J7449" s="538"/>
      <c r="K7449" s="531"/>
      <c r="L7449" s="535" t="s">
        <v>28</v>
      </c>
      <c r="M7449" s="535">
        <v>7641.4800000000005</v>
      </c>
      <c r="N7449" s="539">
        <v>0.45833333333333331</v>
      </c>
    </row>
    <row r="7450" spans="1:16" ht="19.5" thickBot="1" x14ac:dyDescent="0.3">
      <c r="A7450" s="1067"/>
      <c r="B7450" s="636" t="s">
        <v>2988</v>
      </c>
      <c r="C7450" s="637" t="s">
        <v>47</v>
      </c>
      <c r="D7450" s="638">
        <v>5.8040000000000003</v>
      </c>
      <c r="E7450" s="639"/>
      <c r="F7450" s="640" t="s">
        <v>30</v>
      </c>
      <c r="G7450" s="1057"/>
      <c r="H7450" s="640" t="s">
        <v>3031</v>
      </c>
      <c r="I7450" s="642"/>
      <c r="J7450" s="643"/>
      <c r="K7450" s="636"/>
      <c r="L7450" s="640" t="s">
        <v>28</v>
      </c>
      <c r="M7450" s="640">
        <v>5804.4</v>
      </c>
      <c r="N7450" s="644">
        <v>0.45833333333333331</v>
      </c>
    </row>
    <row r="7451" spans="1:16" ht="19.5" thickBot="1" x14ac:dyDescent="0.3">
      <c r="A7451" s="513">
        <f>MAX(A7227:A7450)+1</f>
        <v>4548</v>
      </c>
      <c r="B7451" s="514" t="s">
        <v>2988</v>
      </c>
      <c r="C7451" s="515" t="s">
        <v>26</v>
      </c>
      <c r="D7451" s="516">
        <v>17.600999999999999</v>
      </c>
      <c r="E7451" s="517"/>
      <c r="F7451" s="518" t="s">
        <v>16</v>
      </c>
      <c r="G7451" s="519"/>
      <c r="H7451" s="518" t="s">
        <v>3033</v>
      </c>
      <c r="I7451" s="520"/>
      <c r="J7451" s="521"/>
      <c r="K7451" s="514"/>
      <c r="L7451" s="518" t="s">
        <v>265</v>
      </c>
      <c r="M7451" s="518">
        <v>17798.7</v>
      </c>
      <c r="N7451" s="522">
        <v>4.1666666666666664E-2</v>
      </c>
    </row>
    <row r="7452" spans="1:16" x14ac:dyDescent="0.25">
      <c r="A7452" s="1066">
        <f>MAX(A7228:A7451)+1</f>
        <v>4549</v>
      </c>
      <c r="B7452" s="531" t="s">
        <v>2988</v>
      </c>
      <c r="C7452" s="532" t="s">
        <v>2714</v>
      </c>
      <c r="D7452" s="533">
        <v>5.0339999999999998</v>
      </c>
      <c r="E7452" s="534"/>
      <c r="F7452" s="535" t="s">
        <v>16</v>
      </c>
      <c r="G7452" s="1069" t="s">
        <v>2910</v>
      </c>
      <c r="H7452" s="535" t="s">
        <v>3033</v>
      </c>
      <c r="I7452" s="537"/>
      <c r="J7452" s="538"/>
      <c r="K7452" s="531"/>
      <c r="L7452" s="535" t="s">
        <v>265</v>
      </c>
      <c r="M7452" s="535">
        <v>5082.3600000000006</v>
      </c>
      <c r="N7452" s="539">
        <v>0.41666666666666669</v>
      </c>
    </row>
    <row r="7453" spans="1:16" x14ac:dyDescent="0.25">
      <c r="A7453" s="1068"/>
      <c r="B7453" s="563" t="s">
        <v>2988</v>
      </c>
      <c r="C7453" s="564" t="s">
        <v>15</v>
      </c>
      <c r="D7453" s="565">
        <v>3.8580000000000001</v>
      </c>
      <c r="E7453" s="566"/>
      <c r="F7453" s="567" t="s">
        <v>16</v>
      </c>
      <c r="G7453" s="1070"/>
      <c r="H7453" s="567" t="s">
        <v>3033</v>
      </c>
      <c r="I7453" s="569"/>
      <c r="J7453" s="570"/>
      <c r="K7453" s="563"/>
      <c r="L7453" s="567" t="s">
        <v>28</v>
      </c>
      <c r="M7453" s="567">
        <v>4000.5099999999998</v>
      </c>
      <c r="N7453" s="571">
        <v>0.41666666666666669</v>
      </c>
    </row>
    <row r="7454" spans="1:16" ht="19.5" thickBot="1" x14ac:dyDescent="0.3">
      <c r="A7454" s="1067"/>
      <c r="B7454" s="636" t="s">
        <v>2988</v>
      </c>
      <c r="C7454" s="637" t="s">
        <v>24</v>
      </c>
      <c r="D7454" s="638">
        <v>5.8319999999999999</v>
      </c>
      <c r="E7454" s="639"/>
      <c r="F7454" s="640" t="s">
        <v>16</v>
      </c>
      <c r="G7454" s="1071"/>
      <c r="H7454" s="640" t="s">
        <v>3033</v>
      </c>
      <c r="I7454" s="642"/>
      <c r="J7454" s="643"/>
      <c r="K7454" s="636"/>
      <c r="L7454" s="640" t="s">
        <v>28</v>
      </c>
      <c r="M7454" s="640">
        <v>5923.8099999999995</v>
      </c>
      <c r="N7454" s="644">
        <v>0.41666666666666669</v>
      </c>
    </row>
    <row r="7455" spans="1:16" ht="19.5" thickBot="1" x14ac:dyDescent="0.3">
      <c r="A7455" s="513">
        <f>MAX(A7231:A7454)+1</f>
        <v>4550</v>
      </c>
      <c r="B7455" s="514" t="s">
        <v>2988</v>
      </c>
      <c r="C7455" s="515" t="s">
        <v>25</v>
      </c>
      <c r="D7455" s="516">
        <v>16.893000000000001</v>
      </c>
      <c r="E7455" s="517"/>
      <c r="F7455" s="518" t="s">
        <v>16</v>
      </c>
      <c r="G7455" s="519"/>
      <c r="H7455" s="518" t="s">
        <v>3033</v>
      </c>
      <c r="I7455" s="520"/>
      <c r="J7455" s="521"/>
      <c r="K7455" s="514"/>
      <c r="L7455" s="518" t="s">
        <v>265</v>
      </c>
      <c r="M7455" s="518">
        <v>17023.750000000004</v>
      </c>
      <c r="N7455" s="522">
        <v>0.5</v>
      </c>
    </row>
    <row r="7456" spans="1:16" x14ac:dyDescent="0.25">
      <c r="A7456" s="1066">
        <f>MAX(A7232:A7455)+1</f>
        <v>4551</v>
      </c>
      <c r="B7456" s="531" t="s">
        <v>2988</v>
      </c>
      <c r="C7456" s="532" t="s">
        <v>20</v>
      </c>
      <c r="D7456" s="533">
        <v>6.6379999999999999</v>
      </c>
      <c r="E7456" s="534"/>
      <c r="F7456" s="535" t="s">
        <v>30</v>
      </c>
      <c r="G7456" s="1055"/>
      <c r="H7456" s="535" t="s">
        <v>3033</v>
      </c>
      <c r="I7456" s="537"/>
      <c r="J7456" s="538"/>
      <c r="K7456" s="531"/>
      <c r="L7456" s="535" t="s">
        <v>28</v>
      </c>
      <c r="M7456" s="535">
        <v>6638.9600000000009</v>
      </c>
      <c r="N7456" s="539">
        <v>0.41666666666666669</v>
      </c>
    </row>
    <row r="7457" spans="1:14" ht="19.5" thickBot="1" x14ac:dyDescent="0.3">
      <c r="A7457" s="1067"/>
      <c r="B7457" s="636" t="s">
        <v>2988</v>
      </c>
      <c r="C7457" s="637" t="s">
        <v>23</v>
      </c>
      <c r="D7457" s="638">
        <v>7.1879999999999997</v>
      </c>
      <c r="E7457" s="639"/>
      <c r="F7457" s="640" t="s">
        <v>30</v>
      </c>
      <c r="G7457" s="1057"/>
      <c r="H7457" s="640" t="s">
        <v>3033</v>
      </c>
      <c r="I7457" s="642"/>
      <c r="J7457" s="643"/>
      <c r="K7457" s="636"/>
      <c r="L7457" s="640" t="s">
        <v>28</v>
      </c>
      <c r="M7457" s="640">
        <v>7188.24</v>
      </c>
      <c r="N7457" s="644">
        <v>0.41666666666666669</v>
      </c>
    </row>
    <row r="7458" spans="1:14" x14ac:dyDescent="0.25">
      <c r="A7458" s="676">
        <f t="shared" ref="A7458:A7466" si="227">MAX(A7234:A7457)+1</f>
        <v>4552</v>
      </c>
      <c r="B7458" s="676"/>
      <c r="C7458" s="473"/>
      <c r="D7458" s="474"/>
      <c r="E7458" s="475"/>
      <c r="F7458" s="676"/>
      <c r="G7458" s="476"/>
      <c r="H7458" s="676"/>
      <c r="I7458" s="477"/>
      <c r="J7458" s="1052"/>
      <c r="K7458" s="676"/>
      <c r="L7458" s="676"/>
      <c r="M7458" s="676"/>
      <c r="N7458" s="676"/>
    </row>
    <row r="7459" spans="1:14" x14ac:dyDescent="0.25">
      <c r="A7459" s="676">
        <f t="shared" si="227"/>
        <v>4553</v>
      </c>
      <c r="B7459" s="676"/>
      <c r="C7459" s="473"/>
      <c r="D7459" s="474"/>
      <c r="E7459" s="475"/>
      <c r="F7459" s="676"/>
      <c r="G7459" s="476"/>
      <c r="H7459" s="676"/>
      <c r="I7459" s="477"/>
      <c r="J7459" s="1052"/>
      <c r="K7459" s="676"/>
      <c r="L7459" s="676"/>
      <c r="M7459" s="676"/>
      <c r="N7459" s="676"/>
    </row>
    <row r="7460" spans="1:14" x14ac:dyDescent="0.25">
      <c r="A7460" s="676">
        <f t="shared" si="227"/>
        <v>4554</v>
      </c>
      <c r="B7460" s="676"/>
      <c r="C7460" s="473"/>
      <c r="D7460" s="474"/>
      <c r="E7460" s="475"/>
      <c r="F7460" s="676"/>
      <c r="G7460" s="476"/>
      <c r="H7460" s="676"/>
      <c r="I7460" s="477"/>
      <c r="J7460" s="1052"/>
      <c r="K7460" s="676"/>
      <c r="L7460" s="676"/>
      <c r="M7460" s="676"/>
      <c r="N7460" s="676"/>
    </row>
    <row r="7461" spans="1:14" x14ac:dyDescent="0.25">
      <c r="A7461" s="676">
        <f t="shared" si="227"/>
        <v>4555</v>
      </c>
      <c r="B7461" s="676"/>
      <c r="C7461" s="473"/>
      <c r="D7461" s="474"/>
      <c r="E7461" s="475"/>
      <c r="F7461" s="676"/>
      <c r="G7461" s="476"/>
      <c r="H7461" s="676"/>
      <c r="I7461" s="477"/>
      <c r="J7461" s="1052"/>
      <c r="K7461" s="676"/>
      <c r="L7461" s="676"/>
      <c r="M7461" s="676"/>
      <c r="N7461" s="676"/>
    </row>
    <row r="7462" spans="1:14" x14ac:dyDescent="0.25">
      <c r="A7462" s="676">
        <f t="shared" si="227"/>
        <v>4556</v>
      </c>
      <c r="B7462" s="676"/>
      <c r="C7462" s="473"/>
      <c r="D7462" s="474"/>
      <c r="E7462" s="475"/>
      <c r="F7462" s="676"/>
      <c r="G7462" s="476"/>
      <c r="H7462" s="676"/>
      <c r="I7462" s="477"/>
      <c r="J7462" s="1052"/>
      <c r="K7462" s="676"/>
      <c r="L7462" s="676"/>
      <c r="M7462" s="676"/>
      <c r="N7462" s="676"/>
    </row>
    <row r="7463" spans="1:14" x14ac:dyDescent="0.25">
      <c r="A7463" s="676">
        <f t="shared" si="227"/>
        <v>4557</v>
      </c>
      <c r="B7463" s="676"/>
      <c r="C7463" s="473"/>
      <c r="D7463" s="474"/>
      <c r="E7463" s="475"/>
      <c r="F7463" s="676"/>
      <c r="G7463" s="476"/>
      <c r="H7463" s="676"/>
      <c r="I7463" s="477"/>
      <c r="J7463" s="1052"/>
      <c r="K7463" s="676"/>
      <c r="L7463" s="676"/>
      <c r="M7463" s="676"/>
      <c r="N7463" s="676"/>
    </row>
    <row r="7464" spans="1:14" x14ac:dyDescent="0.25">
      <c r="A7464" s="676">
        <f t="shared" si="227"/>
        <v>4558</v>
      </c>
      <c r="B7464" s="676"/>
      <c r="C7464" s="473"/>
      <c r="D7464" s="474"/>
      <c r="E7464" s="475"/>
      <c r="F7464" s="676"/>
      <c r="G7464" s="476"/>
      <c r="H7464" s="676"/>
      <c r="I7464" s="477"/>
      <c r="J7464" s="1052"/>
      <c r="K7464" s="676"/>
      <c r="L7464" s="676"/>
      <c r="M7464" s="676"/>
      <c r="N7464" s="676"/>
    </row>
    <row r="7465" spans="1:14" x14ac:dyDescent="0.25">
      <c r="A7465" s="676">
        <f t="shared" si="227"/>
        <v>4559</v>
      </c>
      <c r="B7465" s="676"/>
      <c r="C7465" s="473"/>
      <c r="D7465" s="474"/>
      <c r="E7465" s="475"/>
      <c r="F7465" s="676"/>
      <c r="G7465" s="476"/>
      <c r="H7465" s="676"/>
      <c r="I7465" s="477"/>
      <c r="J7465" s="1052"/>
      <c r="K7465" s="676"/>
      <c r="L7465" s="676"/>
      <c r="M7465" s="676"/>
      <c r="N7465" s="676"/>
    </row>
    <row r="7466" spans="1:14" x14ac:dyDescent="0.25">
      <c r="A7466" s="676">
        <f t="shared" si="227"/>
        <v>4560</v>
      </c>
      <c r="B7466" s="676"/>
      <c r="C7466" s="473"/>
      <c r="D7466" s="474"/>
      <c r="E7466" s="475"/>
      <c r="F7466" s="676"/>
      <c r="G7466" s="476"/>
      <c r="H7466" s="676"/>
      <c r="I7466" s="477"/>
      <c r="J7466" s="1052"/>
      <c r="K7466" s="676"/>
      <c r="L7466" s="676"/>
      <c r="M7466" s="676"/>
      <c r="N7466" s="676"/>
    </row>
  </sheetData>
  <autoFilter ref="A2:R7457" xr:uid="{9E4C531E-AD50-422A-AC7C-8C5AF4C19268}">
    <filterColumn colId="10">
      <filters blank="1"/>
    </filterColumn>
  </autoFilter>
  <mergeCells count="1993">
    <mergeCell ref="A7080:A7081"/>
    <mergeCell ref="G7080:G7081"/>
    <mergeCell ref="A6985:A6986"/>
    <mergeCell ref="A6987:A6988"/>
    <mergeCell ref="A7058:A7061"/>
    <mergeCell ref="A6968:A6969"/>
    <mergeCell ref="A6948:A6950"/>
    <mergeCell ref="G6948:G6950"/>
    <mergeCell ref="A7456:A7457"/>
    <mergeCell ref="G6878:G6879"/>
    <mergeCell ref="G6861:G6863"/>
    <mergeCell ref="A6870:A6872"/>
    <mergeCell ref="A7138:A7139"/>
    <mergeCell ref="A7097:A7102"/>
    <mergeCell ref="A7106:A7109"/>
    <mergeCell ref="A7086:A7087"/>
    <mergeCell ref="A7067:A7068"/>
    <mergeCell ref="G7067:G7068"/>
    <mergeCell ref="A7063:A7066"/>
    <mergeCell ref="G7063:G7066"/>
    <mergeCell ref="A7069:A7072"/>
    <mergeCell ref="A7074:A7075"/>
    <mergeCell ref="A7082:A7083"/>
    <mergeCell ref="A7084:A7085"/>
    <mergeCell ref="A7042:A7046"/>
    <mergeCell ref="A7047:A7049"/>
    <mergeCell ref="A7050:A7053"/>
    <mergeCell ref="A7011:A7013"/>
    <mergeCell ref="A7135:A7137"/>
    <mergeCell ref="G7135:G7137"/>
    <mergeCell ref="A7104:A7105"/>
    <mergeCell ref="A6999:A7003"/>
    <mergeCell ref="G6999:G7003"/>
    <mergeCell ref="A7004:A7005"/>
    <mergeCell ref="A7076:A7077"/>
    <mergeCell ref="A7078:A7079"/>
    <mergeCell ref="A6775:A6777"/>
    <mergeCell ref="A6864:A6865"/>
    <mergeCell ref="A6866:A6867"/>
    <mergeCell ref="A6878:A6879"/>
    <mergeCell ref="A6989:A6991"/>
    <mergeCell ref="A7032:A7034"/>
    <mergeCell ref="A7035:A7036"/>
    <mergeCell ref="A7037:A7038"/>
    <mergeCell ref="A7039:A7040"/>
    <mergeCell ref="A7054:A7055"/>
    <mergeCell ref="A7056:A7057"/>
    <mergeCell ref="A6958:A6960"/>
    <mergeCell ref="A6961:A6962"/>
    <mergeCell ref="A6981:A6984"/>
    <mergeCell ref="A6963:A6967"/>
    <mergeCell ref="A6970:A6974"/>
    <mergeCell ref="A6975:A6978"/>
    <mergeCell ref="A6695:A6697"/>
    <mergeCell ref="A6700:A6702"/>
    <mergeCell ref="G6721:G6722"/>
    <mergeCell ref="A5623:A5624"/>
    <mergeCell ref="G6932:G6935"/>
    <mergeCell ref="A6928:A6931"/>
    <mergeCell ref="A6932:A6935"/>
    <mergeCell ref="A6951:A6952"/>
    <mergeCell ref="A6924:A6925"/>
    <mergeCell ref="A6926:A6927"/>
    <mergeCell ref="A6936:A6937"/>
    <mergeCell ref="A6943:A6947"/>
    <mergeCell ref="G6943:G6947"/>
    <mergeCell ref="A6941:A6942"/>
    <mergeCell ref="A7017:A7019"/>
    <mergeCell ref="A6920:A6922"/>
    <mergeCell ref="G6785:G6786"/>
    <mergeCell ref="G6787:G6788"/>
    <mergeCell ref="A6801:A6802"/>
    <mergeCell ref="A6769:A6770"/>
    <mergeCell ref="A6915:A6919"/>
    <mergeCell ref="A6887:A6888"/>
    <mergeCell ref="A6854:A6855"/>
    <mergeCell ref="A6852:A6853"/>
    <mergeCell ref="A6896:A6898"/>
    <mergeCell ref="A6899:A6901"/>
    <mergeCell ref="A6812:A6815"/>
    <mergeCell ref="A6902:A6905"/>
    <mergeCell ref="G6876:G6877"/>
    <mergeCell ref="A6808:A6811"/>
    <mergeCell ref="A6797:A6800"/>
    <mergeCell ref="A6787:A6788"/>
    <mergeCell ref="A6595:A6599"/>
    <mergeCell ref="G6718:G6720"/>
    <mergeCell ref="A6604:A6605"/>
    <mergeCell ref="A6673:A6674"/>
    <mergeCell ref="A6856:A6859"/>
    <mergeCell ref="A6817:A6821"/>
    <mergeCell ref="A6891:A6892"/>
    <mergeCell ref="A6881:A6882"/>
    <mergeCell ref="A6861:A6863"/>
    <mergeCell ref="A6889:A6890"/>
    <mergeCell ref="A6785:A6786"/>
    <mergeCell ref="A6780:A6781"/>
    <mergeCell ref="A6908:A6911"/>
    <mergeCell ref="A6912:A6913"/>
    <mergeCell ref="A6893:A6895"/>
    <mergeCell ref="A5606:A5607"/>
    <mergeCell ref="A6617:A6618"/>
    <mergeCell ref="A6678:A6679"/>
    <mergeCell ref="G6604:G6605"/>
    <mergeCell ref="A6840:A6843"/>
    <mergeCell ref="A6844:A6846"/>
    <mergeCell ref="A6847:A6851"/>
    <mergeCell ref="A6727:A6728"/>
    <mergeCell ref="A6723:A6724"/>
    <mergeCell ref="G6723:G6724"/>
    <mergeCell ref="A6725:A6726"/>
    <mergeCell ref="A6718:A6720"/>
    <mergeCell ref="A6693:A6694"/>
    <mergeCell ref="A6873:A6875"/>
    <mergeCell ref="A6876:A6877"/>
    <mergeCell ref="A6829:A6832"/>
    <mergeCell ref="A6688:A6690"/>
    <mergeCell ref="A5625:A5626"/>
    <mergeCell ref="A6822:A6828"/>
    <mergeCell ref="A6791:A6793"/>
    <mergeCell ref="A6789:A6790"/>
    <mergeCell ref="A6836:A6838"/>
    <mergeCell ref="A6833:A6835"/>
    <mergeCell ref="A6729:A6730"/>
    <mergeCell ref="A6731:A6732"/>
    <mergeCell ref="A6680:A6681"/>
    <mergeCell ref="A6682:A6683"/>
    <mergeCell ref="A6635:A6637"/>
    <mergeCell ref="A6709:A6712"/>
    <mergeCell ref="A6698:A6699"/>
    <mergeCell ref="A6611:A6612"/>
    <mergeCell ref="G6560:G6561"/>
    <mergeCell ref="A6763:A6765"/>
    <mergeCell ref="A6771:A6774"/>
    <mergeCell ref="A6640:A6642"/>
    <mergeCell ref="A6675:A6676"/>
    <mergeCell ref="G6660:G6661"/>
    <mergeCell ref="A6759:A6762"/>
    <mergeCell ref="G6080:G6081"/>
    <mergeCell ref="A6782:A6784"/>
    <mergeCell ref="A6750:A6752"/>
    <mergeCell ref="A6756:A6758"/>
    <mergeCell ref="A6738:A6739"/>
    <mergeCell ref="A6766:A6767"/>
    <mergeCell ref="A6741:A6743"/>
    <mergeCell ref="A6744:A6746"/>
    <mergeCell ref="A6747:A6749"/>
    <mergeCell ref="A6589:A6590"/>
    <mergeCell ref="A6668:A6669"/>
    <mergeCell ref="A1401:A1404"/>
    <mergeCell ref="A1286:A1287"/>
    <mergeCell ref="A1289:A1290"/>
    <mergeCell ref="A1291:A1292"/>
    <mergeCell ref="A1374:A1375"/>
    <mergeCell ref="A1377:A1378"/>
    <mergeCell ref="A6614:A6616"/>
    <mergeCell ref="A6684:A6687"/>
    <mergeCell ref="A6632:A6634"/>
    <mergeCell ref="A5351:A5353"/>
    <mergeCell ref="A5355:A5357"/>
    <mergeCell ref="A5408:A5409"/>
    <mergeCell ref="A5551:A5552"/>
    <mergeCell ref="A5553:A5555"/>
    <mergeCell ref="A5584:A5587"/>
    <mergeCell ref="A5564:A5565"/>
    <mergeCell ref="A5570:A5572"/>
    <mergeCell ref="A5561:A5562"/>
    <mergeCell ref="A6670:A6672"/>
    <mergeCell ref="A5527:A5528"/>
    <mergeCell ref="A6608:A6609"/>
    <mergeCell ref="A5472:A5474"/>
    <mergeCell ref="A5489:A5490"/>
    <mergeCell ref="A6624:A6625"/>
    <mergeCell ref="A6629:A6631"/>
    <mergeCell ref="A5400:A5401"/>
    <mergeCell ref="A5501:A5502"/>
    <mergeCell ref="A6585:A6586"/>
    <mergeCell ref="A6649:A6651"/>
    <mergeCell ref="A5609:A5610"/>
    <mergeCell ref="A5619:A5620"/>
    <mergeCell ref="A5621:A5622"/>
    <mergeCell ref="G1401:G1404"/>
    <mergeCell ref="A1409:A1410"/>
    <mergeCell ref="A1412:A1413"/>
    <mergeCell ref="A1415:A1416"/>
    <mergeCell ref="A1418:A1419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330:A1331"/>
    <mergeCell ref="A1380:A1381"/>
    <mergeCell ref="A1382:A1383"/>
    <mergeCell ref="A1384:A1385"/>
    <mergeCell ref="A1388:A1389"/>
    <mergeCell ref="A1390:A1391"/>
    <mergeCell ref="A1395:A1396"/>
    <mergeCell ref="A1397:A1398"/>
    <mergeCell ref="G1250:G1251"/>
    <mergeCell ref="A1244:A1245"/>
    <mergeCell ref="A1299:A1300"/>
    <mergeCell ref="A1301:A1302"/>
    <mergeCell ref="G1291:G1292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G1377:G1378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A1318:A1322"/>
    <mergeCell ref="A1324:A1325"/>
    <mergeCell ref="A1328:A1329"/>
    <mergeCell ref="A1407:A1408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G1418:G1419"/>
    <mergeCell ref="A1421:A1422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231:A4232"/>
    <mergeCell ref="A4209:A4210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6:A4200"/>
    <mergeCell ref="A4202:A4203"/>
    <mergeCell ref="A4329:A4330"/>
    <mergeCell ref="A4331:A4332"/>
    <mergeCell ref="A4345:A4346"/>
    <mergeCell ref="A4393:A4395"/>
    <mergeCell ref="A4414:A4415"/>
    <mergeCell ref="A4311:A4314"/>
    <mergeCell ref="A4501:A4502"/>
    <mergeCell ref="A4169:A4170"/>
    <mergeCell ref="A4245:A4246"/>
    <mergeCell ref="A4445:A4448"/>
    <mergeCell ref="A4473:A4475"/>
    <mergeCell ref="A4503:A4504"/>
    <mergeCell ref="A4317:A4318"/>
    <mergeCell ref="A4334:A4335"/>
    <mergeCell ref="A4298:A4299"/>
    <mergeCell ref="A4324:A4326"/>
    <mergeCell ref="A4315:A4316"/>
    <mergeCell ref="A4214:A4216"/>
    <mergeCell ref="A4357:A4359"/>
    <mergeCell ref="A4384:A4386"/>
    <mergeCell ref="A4374:A4375"/>
    <mergeCell ref="A4370:A4372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406:A4407"/>
    <mergeCell ref="A4429:A4430"/>
    <mergeCell ref="A4489:A4492"/>
    <mergeCell ref="A4582:A4584"/>
    <mergeCell ref="A4524:A4526"/>
    <mergeCell ref="A4517:A4518"/>
    <mergeCell ref="A4437:A4440"/>
    <mergeCell ref="A4579:A4581"/>
    <mergeCell ref="A4521:A4523"/>
    <mergeCell ref="A4543:A4544"/>
    <mergeCell ref="A4539:A4541"/>
    <mergeCell ref="A4480:A4481"/>
    <mergeCell ref="A4402:A4405"/>
    <mergeCell ref="A4507:A4508"/>
    <mergeCell ref="A4512:A4514"/>
    <mergeCell ref="A4597:A4598"/>
    <mergeCell ref="A4499:A4500"/>
    <mergeCell ref="A4591:A4592"/>
    <mergeCell ref="A4593:A4595"/>
    <mergeCell ref="A4505:A4506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G4615:G4616"/>
    <mergeCell ref="A4640:A4641"/>
    <mergeCell ref="A4643:A4645"/>
    <mergeCell ref="A4646:A4648"/>
    <mergeCell ref="A4679:A4680"/>
    <mergeCell ref="A4653:A4655"/>
    <mergeCell ref="A4635:A4636"/>
    <mergeCell ref="A4649:A4650"/>
    <mergeCell ref="A4627:A4628"/>
    <mergeCell ref="A4629:A4632"/>
    <mergeCell ref="A4633:A4634"/>
    <mergeCell ref="A4515:A4516"/>
    <mergeCell ref="A4387:A4390"/>
    <mergeCell ref="A4601:A4602"/>
    <mergeCell ref="A4622:A4623"/>
    <mergeCell ref="A4605:A4608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745:A4747"/>
    <mergeCell ref="A4748:A4750"/>
    <mergeCell ref="A4751:A4752"/>
    <mergeCell ref="A4700:A4701"/>
    <mergeCell ref="A4687:A4690"/>
    <mergeCell ref="A4706:A4708"/>
    <mergeCell ref="A4703:A4705"/>
    <mergeCell ref="A4738:A4739"/>
    <mergeCell ref="A4740:A4741"/>
    <mergeCell ref="A4714:A4715"/>
    <mergeCell ref="A4761:A4764"/>
    <mergeCell ref="A4765:A4766"/>
    <mergeCell ref="G4738:G4739"/>
    <mergeCell ref="A4846:A4847"/>
    <mergeCell ref="A4776:A4777"/>
    <mergeCell ref="G4776:G4777"/>
    <mergeCell ref="A4723:A4724"/>
    <mergeCell ref="A4727:A4728"/>
    <mergeCell ref="A4772:A4773"/>
    <mergeCell ref="G4854:G4855"/>
    <mergeCell ref="A4866:A4867"/>
    <mergeCell ref="A4729:A4732"/>
    <mergeCell ref="A4734:A4736"/>
    <mergeCell ref="A4770:A4771"/>
    <mergeCell ref="G4700:G4701"/>
    <mergeCell ref="A4721:A4722"/>
    <mergeCell ref="A4774:A4775"/>
    <mergeCell ref="G4729:G4732"/>
    <mergeCell ref="A4889:A4890"/>
    <mergeCell ref="A4868:A4871"/>
    <mergeCell ref="A4872:A4873"/>
    <mergeCell ref="A4859:A4860"/>
    <mergeCell ref="A4854:A4855"/>
    <mergeCell ref="A4785:A4787"/>
    <mergeCell ref="A4756:A4757"/>
    <mergeCell ref="A4754:A4755"/>
    <mergeCell ref="G4765:G4766"/>
    <mergeCell ref="G4996:G4997"/>
    <mergeCell ref="A4996:A4997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806:A4807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A4903:A4904"/>
    <mergeCell ref="A4834:A4837"/>
    <mergeCell ref="A4930:A4931"/>
    <mergeCell ref="A5054:A5055"/>
    <mergeCell ref="A4948:A4949"/>
    <mergeCell ref="A4950:A4951"/>
    <mergeCell ref="A4911:A4913"/>
    <mergeCell ref="G4960:G4961"/>
    <mergeCell ref="G4935:G4936"/>
    <mergeCell ref="G4950:G4951"/>
    <mergeCell ref="G4838:G4839"/>
    <mergeCell ref="A4840:A4841"/>
    <mergeCell ref="G4751:G4752"/>
    <mergeCell ref="A4812:A4813"/>
    <mergeCell ref="A4808:A4811"/>
    <mergeCell ref="A4799:A4800"/>
    <mergeCell ref="A4788:A4790"/>
    <mergeCell ref="A4842:A4843"/>
    <mergeCell ref="A4905:A4906"/>
    <mergeCell ref="A4844:A4845"/>
    <mergeCell ref="A4887:A4888"/>
    <mergeCell ref="A4838:A4839"/>
    <mergeCell ref="A4924:A4925"/>
    <mergeCell ref="G4830:G4831"/>
    <mergeCell ref="A4830:A4831"/>
    <mergeCell ref="A4891:A4892"/>
    <mergeCell ref="G4820:G4822"/>
    <mergeCell ref="A4933:A4934"/>
    <mergeCell ref="A4935:A4936"/>
    <mergeCell ref="A4832:A4833"/>
    <mergeCell ref="A4926:A4929"/>
    <mergeCell ref="G4866:G4867"/>
    <mergeCell ref="A4964:A4965"/>
    <mergeCell ref="A4960:A4961"/>
    <mergeCell ref="G4977:G4978"/>
    <mergeCell ref="A5153:A5154"/>
    <mergeCell ref="A5001:A5002"/>
    <mergeCell ref="A5014:A5015"/>
    <mergeCell ref="G5110:G5113"/>
    <mergeCell ref="A5099:A5101"/>
    <mergeCell ref="A5116:A5117"/>
    <mergeCell ref="A5037:A5038"/>
    <mergeCell ref="A5114:A5115"/>
    <mergeCell ref="G5035:G5036"/>
    <mergeCell ref="G5065:G5066"/>
    <mergeCell ref="A5019:A5020"/>
    <mergeCell ref="A4956:A4957"/>
    <mergeCell ref="A5035:A5036"/>
    <mergeCell ref="G5047:G5048"/>
    <mergeCell ref="A5029:A5030"/>
    <mergeCell ref="A5059:A5060"/>
    <mergeCell ref="A5063:A5064"/>
    <mergeCell ref="A5065:A5069"/>
    <mergeCell ref="A5084:A5086"/>
    <mergeCell ref="A5087:A5088"/>
    <mergeCell ref="G5084:G5086"/>
    <mergeCell ref="A5082:A5083"/>
    <mergeCell ref="A4986:A4987"/>
    <mergeCell ref="A4966:A4968"/>
    <mergeCell ref="A4983:A4985"/>
    <mergeCell ref="A4999:A5000"/>
    <mergeCell ref="G4999:G5000"/>
    <mergeCell ref="A4989:A4991"/>
    <mergeCell ref="A4992:A4994"/>
    <mergeCell ref="A5006:A5008"/>
    <mergeCell ref="A5009:A5011"/>
    <mergeCell ref="A5012:A5013"/>
    <mergeCell ref="A5234:A5235"/>
    <mergeCell ref="A5042:A5044"/>
    <mergeCell ref="G5042:G5044"/>
    <mergeCell ref="A5047:A5048"/>
    <mergeCell ref="G5019:G5020"/>
    <mergeCell ref="A5026:A5028"/>
    <mergeCell ref="A5049:A5052"/>
    <mergeCell ref="A5232:A5233"/>
    <mergeCell ref="G5216:G5217"/>
    <mergeCell ref="A5222:A5225"/>
    <mergeCell ref="G5188:G5189"/>
    <mergeCell ref="G5196:G5197"/>
    <mergeCell ref="A5142:A5144"/>
    <mergeCell ref="A5150:A5152"/>
    <mergeCell ref="A5146:A5147"/>
    <mergeCell ref="G5202:G5203"/>
    <mergeCell ref="G5232:G5233"/>
    <mergeCell ref="A5172:A5175"/>
    <mergeCell ref="A5183:A5184"/>
    <mergeCell ref="A5181:A5182"/>
    <mergeCell ref="A5164:A5165"/>
    <mergeCell ref="A5070:A5071"/>
    <mergeCell ref="A5074:A5076"/>
    <mergeCell ref="A5079:A5080"/>
    <mergeCell ref="A5077:A5078"/>
    <mergeCell ref="A5039:A5041"/>
    <mergeCell ref="A5110:A5113"/>
    <mergeCell ref="A5202:A5203"/>
    <mergeCell ref="A5196:A5197"/>
    <mergeCell ref="A5188:A5189"/>
    <mergeCell ref="A5176:A5178"/>
    <mergeCell ref="A5121:A5122"/>
    <mergeCell ref="G5091:G5092"/>
    <mergeCell ref="A5102:A5104"/>
    <mergeCell ref="G5116:G5117"/>
    <mergeCell ref="A5298:A5299"/>
    <mergeCell ref="A5126:A5127"/>
    <mergeCell ref="A5286:A5289"/>
    <mergeCell ref="A5275:A5276"/>
    <mergeCell ref="G5275:G5276"/>
    <mergeCell ref="A5205:A5207"/>
    <mergeCell ref="A5226:A5228"/>
    <mergeCell ref="A5192:A5195"/>
    <mergeCell ref="A5212:A5213"/>
    <mergeCell ref="A5485:A5486"/>
    <mergeCell ref="A5476:A5478"/>
    <mergeCell ref="A5479:A5481"/>
    <mergeCell ref="A5482:A5484"/>
    <mergeCell ref="A5467:A5468"/>
    <mergeCell ref="A5470:A5471"/>
    <mergeCell ref="A5128:A5129"/>
    <mergeCell ref="A5216:A5217"/>
    <mergeCell ref="A5123:A5125"/>
    <mergeCell ref="A5260:A5261"/>
    <mergeCell ref="A5254:A5255"/>
    <mergeCell ref="A5250:A5251"/>
    <mergeCell ref="A5240:A5242"/>
    <mergeCell ref="A5229:A5230"/>
    <mergeCell ref="A5270:A5271"/>
    <mergeCell ref="A5443:A5444"/>
    <mergeCell ref="A5305:A5308"/>
    <mergeCell ref="A5267:A5269"/>
    <mergeCell ref="A5311:A5312"/>
    <mergeCell ref="A5296:A5297"/>
    <mergeCell ref="A5282:A5283"/>
    <mergeCell ref="A5523:A5525"/>
    <mergeCell ref="A5140:A5141"/>
    <mergeCell ref="G5408:G5409"/>
    <mergeCell ref="A5428:A5429"/>
    <mergeCell ref="A5272:A5273"/>
    <mergeCell ref="G5531:G5532"/>
    <mergeCell ref="A5504:A5505"/>
    <mergeCell ref="A5593:A5594"/>
    <mergeCell ref="A6581:A6583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A5199:A5200"/>
    <mergeCell ref="A5219:A5221"/>
    <mergeCell ref="G5416:G5417"/>
    <mergeCell ref="A5394:A5397"/>
    <mergeCell ref="A5398:A5399"/>
    <mergeCell ref="A5430:A5431"/>
    <mergeCell ref="A5432:A5433"/>
    <mergeCell ref="A6555:A6556"/>
    <mergeCell ref="A5290:A5292"/>
    <mergeCell ref="A5418:A5419"/>
    <mergeCell ref="A5513:A5514"/>
    <mergeCell ref="A5326:A5327"/>
    <mergeCell ref="A5452:A5453"/>
    <mergeCell ref="A5243:A5244"/>
    <mergeCell ref="A5321:A5325"/>
    <mergeCell ref="A5515:A5516"/>
    <mergeCell ref="A5588:A5589"/>
    <mergeCell ref="A5590:A5592"/>
    <mergeCell ref="G5363:G5364"/>
    <mergeCell ref="A5416:A5417"/>
    <mergeCell ref="A5380:A5381"/>
    <mergeCell ref="A5378:A5379"/>
    <mergeCell ref="A5302:A5304"/>
    <mergeCell ref="A5449:A5451"/>
    <mergeCell ref="A5420:A5421"/>
    <mergeCell ref="A5374:A5375"/>
    <mergeCell ref="A5507:A5508"/>
    <mergeCell ref="A5338:A5341"/>
    <mergeCell ref="A5531:A5532"/>
    <mergeCell ref="A5436:A5437"/>
    <mergeCell ref="A5331:A5334"/>
    <mergeCell ref="A5539:A5541"/>
    <mergeCell ref="A5412:A5413"/>
    <mergeCell ref="A5534:A5538"/>
    <mergeCell ref="A5358:A5359"/>
    <mergeCell ref="A5441:A5442"/>
    <mergeCell ref="A5385:A5386"/>
    <mergeCell ref="A5387:A5388"/>
    <mergeCell ref="A5577:A5578"/>
    <mergeCell ref="A5342:A5343"/>
    <mergeCell ref="A5542:A5546"/>
    <mergeCell ref="G5489:G5490"/>
    <mergeCell ref="G5534:G5538"/>
    <mergeCell ref="A5575:A5576"/>
    <mergeCell ref="G5549:G5550"/>
    <mergeCell ref="A5518:A5522"/>
    <mergeCell ref="A5348:A5350"/>
    <mergeCell ref="A6660:A6661"/>
    <mergeCell ref="A6638:A6639"/>
    <mergeCell ref="A6754:A6755"/>
    <mergeCell ref="A6691:A6692"/>
    <mergeCell ref="A6735:A6736"/>
    <mergeCell ref="A7093:A7094"/>
    <mergeCell ref="G7115:G7118"/>
    <mergeCell ref="A7095:A7096"/>
    <mergeCell ref="A6721:A6722"/>
    <mergeCell ref="A6992:A6995"/>
    <mergeCell ref="A6703:A6706"/>
    <mergeCell ref="G5599:G5600"/>
    <mergeCell ref="A5602:A5603"/>
    <mergeCell ref="A6578:A6580"/>
    <mergeCell ref="G5623:G5624"/>
    <mergeCell ref="A5612:A5615"/>
    <mergeCell ref="A5617:A5618"/>
    <mergeCell ref="A6592:A6593"/>
    <mergeCell ref="A6713:A6714"/>
    <mergeCell ref="A6733:A6734"/>
    <mergeCell ref="A6654:A6655"/>
    <mergeCell ref="A6559:A6561"/>
    <mergeCell ref="A6567:A6568"/>
    <mergeCell ref="A5402:A5403"/>
    <mergeCell ref="A5497:A5498"/>
    <mergeCell ref="A5499:A5500"/>
    <mergeCell ref="A5599:A5600"/>
    <mergeCell ref="A6601:A6602"/>
    <mergeCell ref="A6552:A6554"/>
    <mergeCell ref="A6663:A6664"/>
    <mergeCell ref="A6644:A6647"/>
    <mergeCell ref="G5126:G5127"/>
    <mergeCell ref="G5140:G5141"/>
    <mergeCell ref="G5321:G5325"/>
    <mergeCell ref="A5309:A5310"/>
    <mergeCell ref="A5156:A5159"/>
    <mergeCell ref="A5161:A5162"/>
    <mergeCell ref="A5138:A5139"/>
    <mergeCell ref="A5134:A5137"/>
    <mergeCell ref="A5210:A5211"/>
    <mergeCell ref="A5179:A5180"/>
    <mergeCell ref="A7026:A7027"/>
    <mergeCell ref="A7028:A7030"/>
    <mergeCell ref="A7014:A7015"/>
    <mergeCell ref="G7014:G7015"/>
    <mergeCell ref="A7006:A7007"/>
    <mergeCell ref="A6996:A6998"/>
    <mergeCell ref="G5504:G5505"/>
    <mergeCell ref="A5549:A5550"/>
    <mergeCell ref="G5436:G5437"/>
    <mergeCell ref="G5370:G5373"/>
    <mergeCell ref="A6939:A6940"/>
    <mergeCell ref="A5279:A5281"/>
    <mergeCell ref="A5262:A5263"/>
    <mergeCell ref="A5265:A5266"/>
    <mergeCell ref="A5316:A5317"/>
    <mergeCell ref="A5363:A5364"/>
    <mergeCell ref="A5511:A5512"/>
    <mergeCell ref="A5370:A5373"/>
    <mergeCell ref="A5445:A5446"/>
    <mergeCell ref="A5493:A5495"/>
    <mergeCell ref="A5595:A5596"/>
    <mergeCell ref="G5515:G5516"/>
    <mergeCell ref="A7167:A7168"/>
    <mergeCell ref="A7185:A7187"/>
    <mergeCell ref="A7188:A7190"/>
    <mergeCell ref="G7173:G7176"/>
    <mergeCell ref="A7196:A7198"/>
    <mergeCell ref="A7161:A7162"/>
    <mergeCell ref="A7163:A7164"/>
    <mergeCell ref="A7129:A7130"/>
    <mergeCell ref="G7129:G7130"/>
    <mergeCell ref="G7127:G7128"/>
    <mergeCell ref="A7127:A7128"/>
    <mergeCell ref="A7209:A7210"/>
    <mergeCell ref="A7110:A7111"/>
    <mergeCell ref="A7144:A7147"/>
    <mergeCell ref="A7148:A7150"/>
    <mergeCell ref="G7148:G7150"/>
    <mergeCell ref="A7151:A7153"/>
    <mergeCell ref="A7131:A7134"/>
    <mergeCell ref="A7112:A7114"/>
    <mergeCell ref="A7115:A7118"/>
    <mergeCell ref="A7120:A7123"/>
    <mergeCell ref="A7191:A7194"/>
    <mergeCell ref="G7191:G7194"/>
    <mergeCell ref="A7173:A7176"/>
    <mergeCell ref="A7177:A7179"/>
    <mergeCell ref="A7180:A7182"/>
    <mergeCell ref="A7165:A7166"/>
    <mergeCell ref="A7169:A7171"/>
    <mergeCell ref="A7142:A7143"/>
    <mergeCell ref="G7204:G7205"/>
    <mergeCell ref="A7206:A7207"/>
    <mergeCell ref="G7206:G7207"/>
    <mergeCell ref="A7199:A7200"/>
    <mergeCell ref="A7201:A7203"/>
    <mergeCell ref="A7262:A7266"/>
    <mergeCell ref="A7216:A7217"/>
    <mergeCell ref="A7225:A7226"/>
    <mergeCell ref="A7223:A7224"/>
    <mergeCell ref="A7227:A7228"/>
    <mergeCell ref="A7256:A7257"/>
    <mergeCell ref="A7221:A7222"/>
    <mergeCell ref="A7242:A7243"/>
    <mergeCell ref="A7259:A7261"/>
    <mergeCell ref="A7273:A7274"/>
    <mergeCell ref="A7271:A7272"/>
    <mergeCell ref="A7278:A7279"/>
    <mergeCell ref="A7318:A7320"/>
    <mergeCell ref="A7311:A7317"/>
    <mergeCell ref="A7290:A7292"/>
    <mergeCell ref="A7301:A7305"/>
    <mergeCell ref="A7306:A7308"/>
    <mergeCell ref="A7298:A7300"/>
    <mergeCell ref="A7293:A7295"/>
    <mergeCell ref="A7230:A7231"/>
    <mergeCell ref="A7232:A7234"/>
    <mergeCell ref="A7235:A7236"/>
    <mergeCell ref="A7237:A7241"/>
    <mergeCell ref="A7244:A7247"/>
    <mergeCell ref="A7248:A7251"/>
    <mergeCell ref="A7252:A7255"/>
    <mergeCell ref="A7218:A7219"/>
    <mergeCell ref="A7204:A7205"/>
    <mergeCell ref="A7330:A7331"/>
    <mergeCell ref="A7332:A7334"/>
    <mergeCell ref="G7332:G7334"/>
    <mergeCell ref="A7321:A7324"/>
    <mergeCell ref="A7325:A7327"/>
    <mergeCell ref="A7285:A7286"/>
    <mergeCell ref="A7267:A7270"/>
    <mergeCell ref="A7275:A7276"/>
    <mergeCell ref="A7283:A7284"/>
    <mergeCell ref="A7386:A7388"/>
    <mergeCell ref="A7389:A7391"/>
    <mergeCell ref="A7392:A7395"/>
    <mergeCell ref="A7381:A7384"/>
    <mergeCell ref="G7281:G7282"/>
    <mergeCell ref="A7338:A7340"/>
    <mergeCell ref="A7341:A7342"/>
    <mergeCell ref="A7344:A7345"/>
    <mergeCell ref="A7357:A7359"/>
    <mergeCell ref="G7375:G7379"/>
    <mergeCell ref="A7360:A7362"/>
    <mergeCell ref="A7281:A7282"/>
    <mergeCell ref="A7296:A7297"/>
    <mergeCell ref="A7328:A7329"/>
    <mergeCell ref="A7365:A7366"/>
    <mergeCell ref="A7346:A7347"/>
    <mergeCell ref="G7346:G7347"/>
    <mergeCell ref="A7367:A7369"/>
    <mergeCell ref="A7418:A7420"/>
    <mergeCell ref="A7421:A7422"/>
    <mergeCell ref="A7444:A7445"/>
    <mergeCell ref="G7444:G7445"/>
    <mergeCell ref="A7447:A7448"/>
    <mergeCell ref="A7449:A7450"/>
    <mergeCell ref="A7452:A7454"/>
    <mergeCell ref="G7452:G7454"/>
    <mergeCell ref="A7423:A7425"/>
    <mergeCell ref="A7428:A7429"/>
    <mergeCell ref="A7430:A7432"/>
    <mergeCell ref="A7407:A7408"/>
    <mergeCell ref="A7415:A7416"/>
    <mergeCell ref="A7370:A7374"/>
    <mergeCell ref="A7375:A7379"/>
    <mergeCell ref="A7351:A7354"/>
    <mergeCell ref="A7335:A7336"/>
    <mergeCell ref="G7335:G7336"/>
    <mergeCell ref="A7405:A7406"/>
    <mergeCell ref="A7409:A7411"/>
    <mergeCell ref="G7409:G7411"/>
    <mergeCell ref="A7433:A7436"/>
    <mergeCell ref="A7437:A7438"/>
    <mergeCell ref="A7439:A7440"/>
    <mergeCell ref="A7401:A7402"/>
    <mergeCell ref="G7401:G7402"/>
    <mergeCell ref="A7403:A7404"/>
    <mergeCell ref="G7403:G7404"/>
    <mergeCell ref="A7412:A7413"/>
    <mergeCell ref="G7412:G7413"/>
    <mergeCell ref="A7398:A7400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2026-10-02T12:54:56Z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