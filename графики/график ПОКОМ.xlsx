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C4F2D183-82AD-47EB-9A88-42D0086E3A5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Лист1!$A$2:$R$7236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s="1"/>
  <c r="A7088" i="1" s="1"/>
  <c r="A7089" i="1" s="1"/>
  <c r="A7090" i="1" s="1"/>
  <c r="A7091" i="1" s="1"/>
  <c r="A7092" i="1" s="1"/>
  <c r="A7093" i="1" s="1"/>
  <c r="A7095" i="1" s="1"/>
  <c r="A7097" i="1" s="1"/>
  <c r="A7103" i="1" s="1"/>
  <c r="A7104" i="1" s="1"/>
  <c r="A7106" i="1" s="1"/>
  <c r="A7110" i="1" s="1"/>
  <c r="A7112" i="1" s="1"/>
  <c r="A7115" i="1" s="1"/>
  <c r="A7119" i="1" s="1"/>
  <c r="A7120" i="1" s="1"/>
  <c r="A7124" i="1" s="1"/>
  <c r="A7125" i="1" s="1"/>
  <c r="A7126" i="1" s="1"/>
  <c r="A7127" i="1" s="1"/>
  <c r="A7129" i="1" l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l="1"/>
  <c r="A7196" i="1" s="1"/>
  <c r="A7199" i="1" l="1"/>
  <c r="A7201" i="1" l="1"/>
  <c r="A7204" i="1" l="1"/>
  <c r="A7206" i="1" s="1"/>
  <c r="A7208" i="1" l="1"/>
  <c r="A7209" i="1" s="1"/>
  <c r="A7211" i="1" l="1"/>
  <c r="A7212" i="1" l="1"/>
  <c r="A7213" i="1" s="1"/>
  <c r="A7214" i="1" s="1"/>
  <c r="A7215" i="1" s="1"/>
  <c r="A7216" i="1" l="1"/>
  <c r="A7217" i="1" s="1"/>
  <c r="A7219" i="1" s="1"/>
  <c r="A7220" i="1" s="1"/>
  <c r="A7221" i="1" s="1"/>
  <c r="A7222" i="1" s="1"/>
  <c r="A7223" i="1" l="1"/>
  <c r="A7224" i="1" s="1"/>
  <c r="A7225" i="1" s="1"/>
  <c r="A7227" i="1" s="1"/>
  <c r="A7230" i="1" l="1"/>
  <c r="A7232" i="1" s="1"/>
  <c r="A7237" i="1" l="1"/>
  <c r="A7238" i="1" s="1"/>
  <c r="A7240" i="1" s="1"/>
  <c r="A7243" i="1" l="1"/>
  <c r="A7245" i="1" l="1"/>
  <c r="A7246" i="1" s="1"/>
  <c r="A7247" i="1" s="1"/>
  <c r="A7248" i="1" l="1"/>
  <c r="A7249" i="1" s="1"/>
  <c r="A7250" i="1" l="1"/>
  <c r="A7251" i="1" s="1"/>
</calcChain>
</file>

<file path=xl/sharedStrings.xml><?xml version="1.0" encoding="utf-8"?>
<sst xmlns="http://schemas.openxmlformats.org/spreadsheetml/2006/main" count="46630" uniqueCount="2612">
  <si>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</si>
  <si>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</si>
  <si>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</si>
  <si>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</si>
  <si>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</si>
  <si>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</si>
  <si>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</si>
  <si>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</si>
  <si>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</si>
  <si>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</si>
  <si>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</si>
  <si>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</si>
  <si>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</si>
  <si>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</si>
  <si>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</si>
  <si>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</si>
  <si>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</si>
  <si>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</si>
  <si>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</si>
  <si>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</si>
  <si>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</si>
  <si>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</si>
  <si>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</si>
  <si>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</si>
  <si>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</si>
  <si>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</si>
  <si>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</si>
  <si>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</si>
  <si>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</si>
  <si>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</si>
  <si>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</si>
  <si>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</si>
  <si>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</si>
  <si>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</si>
  <si>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</si>
  <si>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</si>
  <si>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</si>
  <si>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</si>
  <si>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</si>
  <si>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</si>
  <si>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</si>
  <si>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</si>
  <si>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</si>
  <si>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</si>
  <si>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</si>
  <si>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</si>
  <si>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</si>
  <si>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</si>
  <si>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</si>
  <si>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</si>
  <si>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</si>
  <si>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</si>
  <si>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</si>
  <si>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</si>
  <si>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</si>
  <si>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</si>
  <si>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</si>
  <si>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</si>
  <si>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</si>
  <si>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</si>
  <si>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</si>
  <si>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</si>
  <si>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</si>
  <si>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</si>
  <si>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</si>
  <si>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</si>
  <si>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</si>
  <si>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</si>
  <si>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</si>
  <si>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</si>
  <si>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</si>
  <si>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</si>
  <si>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</si>
  <si>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</si>
  <si>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</si>
  <si>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</si>
  <si>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</si>
  <si>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</si>
  <si>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</si>
  <si>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</si>
  <si>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</si>
  <si>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</si>
  <si>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</si>
  <si>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</si>
  <si>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</si>
  <si>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</si>
  <si>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</si>
  <si>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</si>
  <si>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</si>
  <si>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</si>
  <si>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</si>
  <si>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</si>
  <si>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</si>
  <si>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</si>
  <si>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</si>
  <si>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</si>
  <si>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</si>
  <si>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</si>
  <si>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</si>
  <si>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</si>
  <si>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</si>
  <si>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</si>
  <si>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</si>
  <si>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</si>
  <si>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</si>
  <si>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</si>
  <si>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</si>
  <si>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</si>
  <si>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</si>
  <si>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</si>
  <si>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</si>
  <si>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</si>
  <si>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</si>
  <si>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</si>
  <si>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</si>
  <si>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</si>
  <si>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</si>
  <si>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</si>
  <si>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</si>
  <si>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</si>
  <si>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</si>
  <si>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</si>
  <si>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</si>
  <si>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</si>
  <si>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</si>
  <si>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</si>
  <si>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</si>
  <si>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</si>
  <si>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</si>
  <si>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</si>
  <si>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</si>
  <si>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</si>
  <si>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</si>
  <si>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</si>
  <si>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</si>
  <si>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</si>
  <si>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</si>
  <si>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</si>
  <si>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</si>
  <si>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</si>
  <si>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</si>
  <si>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</si>
  <si>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</si>
  <si>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</si>
  <si>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</si>
  <si>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</si>
  <si>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</si>
  <si>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</si>
  <si>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</si>
  <si>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</si>
  <si>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</si>
  <si>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</si>
  <si>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</si>
  <si>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</si>
  <si>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</si>
  <si>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</si>
  <si>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</si>
  <si>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</si>
  <si>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</si>
  <si>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</si>
  <si>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</si>
  <si>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</si>
  <si>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</si>
  <si>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</si>
  <si>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</si>
  <si>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</si>
  <si>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</si>
  <si>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</si>
  <si>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</si>
  <si>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</si>
  <si>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</si>
  <si>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</si>
  <si>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</si>
  <si>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</si>
  <si>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</si>
  <si>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</si>
  <si>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</si>
  <si>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</si>
  <si>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</si>
  <si>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</si>
  <si>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</si>
  <si>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</si>
  <si>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</si>
  <si>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</si>
  <si>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</si>
  <si>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</si>
  <si>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</si>
  <si>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</si>
  <si>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</si>
  <si>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</si>
  <si>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</si>
  <si>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</si>
  <si>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</si>
  <si>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</si>
  <si>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</si>
  <si>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</si>
  <si>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</si>
  <si>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</si>
  <si>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</si>
  <si>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</si>
  <si>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</si>
  <si>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</si>
  <si>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</si>
  <si>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</si>
  <si>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</si>
  <si>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</si>
  <si>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</si>
  <si>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</si>
  <si>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</si>
  <si>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</si>
  <si>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</si>
  <si>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</si>
  <si>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</si>
  <si>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</si>
  <si>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</si>
  <si>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</si>
  <si>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</si>
  <si>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</si>
  <si>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</si>
  <si>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</si>
  <si>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</si>
  <si>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</si>
  <si>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</si>
  <si>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</si>
  <si>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</si>
  <si>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</si>
  <si>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</si>
  <si>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</si>
  <si>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</si>
  <si>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</si>
  <si>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</si>
  <si>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</si>
  <si>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</si>
  <si>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</si>
  <si>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</si>
  <si>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</si>
  <si>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</si>
  <si>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</si>
  <si>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</si>
  <si>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</si>
  <si>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</si>
  <si>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</si>
  <si>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</si>
  <si>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</si>
  <si>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</si>
  <si>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</si>
  <si>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</si>
  <si>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</si>
  <si>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</si>
  <si>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</si>
  <si>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</si>
  <si>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</si>
  <si>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</si>
  <si>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</si>
  <si>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</si>
  <si>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</si>
  <si>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</si>
  <si>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</si>
  <si>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</si>
  <si>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</si>
  <si>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</si>
  <si>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</si>
  <si>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</si>
  <si>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</si>
  <si>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</si>
  <si>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</si>
  <si>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</si>
  <si>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</si>
  <si>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</si>
  <si>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</si>
  <si>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</si>
  <si>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</si>
  <si>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</si>
  <si>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</si>
  <si>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</si>
  <si>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</si>
  <si>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</si>
  <si>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</si>
  <si>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</si>
  <si>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</si>
  <si>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</si>
  <si>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</si>
  <si>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</si>
  <si>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</si>
  <si>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</si>
  <si>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</si>
  <si>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</si>
  <si>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</si>
  <si>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</si>
  <si>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</si>
  <si>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</si>
  <si>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</si>
  <si>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</si>
  <si>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</si>
  <si>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</si>
  <si>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</si>
  <si>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</si>
  <si>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</si>
  <si>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</si>
  <si>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</si>
  <si>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</si>
  <si>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</si>
  <si>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</si>
  <si>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</si>
  <si>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</si>
  <si>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</si>
  <si>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</si>
  <si>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</si>
  <si>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</si>
  <si>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</si>
  <si>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</si>
  <si>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</si>
  <si>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</si>
  <si>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</si>
  <si>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</si>
  <si>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</si>
  <si>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</si>
  <si>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</si>
  <si>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</si>
  <si>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</si>
  <si>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</si>
  <si>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</si>
  <si>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</si>
  <si>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</si>
  <si>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</si>
  <si>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</si>
  <si>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</si>
  <si>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</si>
  <si>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</si>
  <si>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</si>
  <si>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</si>
  <si>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</si>
  <si>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</si>
  <si>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</si>
  <si>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</si>
  <si>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</si>
  <si>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</si>
  <si>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</si>
  <si>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</si>
  <si>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</si>
  <si>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</si>
  <si>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</si>
  <si>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</si>
  <si>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</si>
  <si>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</si>
  <si>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</si>
  <si>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</si>
  <si>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</si>
  <si>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</si>
  <si>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</si>
  <si>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</si>
  <si>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</si>
  <si>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</si>
  <si>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</si>
  <si>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</si>
  <si>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</si>
  <si>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</si>
  <si>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</si>
  <si>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</si>
  <si>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</si>
  <si>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</si>
  <si>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</si>
  <si>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</si>
  <si>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</si>
  <si>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</si>
  <si>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</si>
  <si>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</si>
  <si>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</si>
  <si>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</si>
  <si>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</si>
  <si>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</si>
  <si>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</si>
  <si>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</si>
  <si>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</si>
  <si>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</si>
  <si>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</si>
  <si>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</si>
  <si>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</si>
  <si>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</si>
  <si>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</si>
  <si>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</si>
  <si>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</si>
  <si>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</si>
  <si>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</si>
  <si>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</si>
  <si>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</si>
  <si>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</si>
  <si>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</si>
  <si>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</si>
  <si>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</si>
  <si>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</si>
  <si>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</si>
  <si>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</si>
  <si>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</si>
  <si>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</si>
  <si>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</si>
  <si>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</si>
  <si>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</si>
  <si>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</si>
  <si>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</si>
  <si>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</si>
  <si>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</si>
  <si>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</si>
  <si>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</si>
  <si>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</si>
  <si>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</si>
  <si>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</si>
  <si>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</si>
  <si>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</si>
  <si>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</si>
  <si>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</si>
  <si>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</si>
  <si>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</si>
  <si>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</si>
  <si>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</si>
  <si>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</si>
  <si>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</si>
  <si>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</si>
  <si>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</si>
  <si>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</si>
  <si>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</si>
  <si>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</si>
  <si>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</si>
  <si>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</si>
  <si>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</si>
  <si>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</si>
  <si>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</si>
  <si>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</si>
  <si>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</si>
  <si>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</si>
  <si>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</si>
  <si>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</si>
  <si>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</si>
  <si>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</si>
  <si>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</si>
  <si>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</si>
  <si>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</si>
  <si>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</si>
  <si>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</si>
  <si>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</si>
  <si>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</si>
  <si>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</si>
  <si>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</si>
  <si>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</si>
  <si>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</si>
  <si>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</si>
  <si>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</si>
  <si>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</si>
  <si>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</si>
  <si>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</si>
  <si>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</si>
  <si>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</si>
  <si>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</si>
  <si>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</si>
  <si>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</si>
  <si>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</si>
  <si>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</si>
  <si>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</si>
  <si>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</si>
  <si>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</si>
  <si>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</si>
  <si>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</si>
  <si>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</si>
  <si>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</si>
  <si>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</si>
  <si>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</si>
  <si>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</si>
  <si>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</si>
  <si>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</si>
  <si>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</si>
  <si>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</si>
  <si>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</si>
  <si>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</si>
  <si>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</si>
  <si>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</si>
  <si>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</si>
  <si>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</si>
  <si>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</si>
  <si>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</si>
  <si>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</si>
  <si>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</si>
  <si>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</si>
  <si>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</si>
  <si>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</si>
  <si>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</si>
  <si>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</si>
  <si>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</si>
  <si>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</si>
  <si>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</si>
  <si>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</si>
  <si>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</si>
  <si>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</si>
  <si>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</si>
  <si>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</si>
  <si>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</si>
  <si>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</si>
  <si>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</si>
  <si>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</si>
  <si>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</si>
  <si>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</si>
  <si>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</si>
  <si>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</si>
  <si>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</si>
  <si>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</si>
  <si>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</si>
  <si>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</si>
  <si>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</si>
  <si>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</si>
  <si>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</si>
  <si>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</si>
  <si>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</si>
  <si>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</si>
  <si>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</si>
  <si>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</si>
  <si>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</si>
  <si>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</si>
  <si>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</si>
  <si>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</si>
  <si>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</si>
  <si>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</si>
  <si>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</si>
  <si>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</si>
  <si>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</si>
  <si>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</si>
  <si>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</si>
  <si>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</si>
  <si>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</si>
  <si>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</si>
  <si>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</si>
  <si>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</si>
  <si>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</si>
  <si>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</si>
  <si>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</si>
  <si>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</si>
  <si>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</si>
  <si>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</si>
  <si>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</si>
  <si>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</si>
  <si>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</si>
  <si>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</si>
  <si>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</si>
  <si>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</si>
  <si>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</si>
  <si>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</si>
  <si>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</si>
  <si>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</si>
  <si>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</si>
  <si>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</si>
  <si>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</si>
  <si>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</si>
  <si>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</si>
  <si>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</si>
  <si>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</si>
  <si>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</si>
  <si>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</si>
  <si>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</si>
  <si>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</si>
  <si>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</si>
  <si>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</si>
  <si>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</si>
  <si>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</si>
  <si>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</si>
  <si>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</si>
  <si>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</si>
  <si>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</si>
  <si>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</si>
  <si>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</si>
  <si>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</si>
  <si>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</si>
  <si>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</si>
  <si>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</si>
  <si>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</si>
  <si>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</si>
  <si>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</si>
  <si>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</si>
  <si>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</si>
  <si>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</si>
  <si>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</si>
  <si>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</si>
  <si>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</si>
  <si>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</si>
  <si>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</si>
  <si>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</si>
  <si>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</si>
  <si>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</si>
  <si>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</si>
  <si>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</si>
  <si>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</si>
  <si>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</si>
  <si>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</si>
  <si>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</si>
  <si>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</si>
  <si>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</si>
  <si>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</si>
  <si>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</si>
  <si>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</si>
  <si>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</si>
  <si>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</si>
  <si>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</si>
  <si>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</si>
  <si>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</si>
  <si>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</si>
  <si>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</si>
  <si>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</si>
  <si>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</si>
  <si>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</si>
  <si>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</si>
  <si>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</si>
  <si>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</si>
  <si>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</si>
  <si>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</si>
  <si>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</si>
  <si>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</si>
  <si>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</si>
  <si>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</si>
  <si>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</si>
  <si>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</si>
  <si>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</si>
  <si>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</si>
  <si>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</si>
  <si>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</si>
  <si>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</si>
  <si>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</si>
  <si>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</si>
  <si>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</si>
  <si>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</si>
  <si>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</si>
  <si>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</si>
  <si>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</si>
  <si>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</si>
  <si>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</si>
  <si>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</si>
  <si>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</si>
  <si>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</si>
  <si>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</si>
  <si>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</si>
  <si>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</si>
  <si>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</si>
  <si>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</si>
  <si>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</si>
  <si>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</si>
  <si>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</si>
  <si>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</si>
  <si>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</si>
  <si>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</si>
  <si>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</si>
  <si>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</si>
  <si>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</si>
  <si>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</si>
  <si>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</si>
  <si>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</si>
  <si>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</si>
  <si>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</si>
  <si>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</si>
  <si>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</si>
  <si>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</si>
  <si>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</si>
  <si>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</si>
  <si>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</si>
  <si>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</si>
  <si>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</si>
  <si>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</si>
  <si>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</si>
  <si>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</si>
  <si>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</si>
  <si>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</si>
  <si>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</si>
  <si>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</si>
  <si>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</si>
  <si>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</si>
  <si>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</si>
  <si>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</si>
  <si>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</si>
  <si>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</si>
  <si>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</si>
  <si>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</si>
  <si>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</si>
  <si>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</si>
  <si>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</si>
  <si>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</si>
  <si>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</si>
  <si>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</si>
  <si>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</si>
  <si>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</si>
  <si>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</si>
  <si>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</si>
  <si>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</si>
  <si>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</si>
  <si>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</si>
  <si>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</si>
  <si>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</si>
  <si>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</si>
  <si>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</si>
  <si>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</si>
  <si>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</si>
  <si>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</si>
  <si>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</si>
  <si>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</si>
  <si>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</si>
  <si>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</si>
  <si>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</si>
  <si>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</si>
  <si>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</si>
  <si>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</si>
  <si>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</si>
  <si>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</si>
  <si>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</si>
  <si>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</si>
  <si>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</si>
  <si>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</si>
  <si>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</si>
  <si>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</si>
  <si>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</si>
  <si>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</si>
  <si>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</si>
  <si>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</si>
  <si>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</si>
  <si>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</si>
  <si>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</si>
  <si>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</si>
  <si>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</si>
  <si>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</si>
  <si>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</si>
  <si>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</si>
  <si>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</si>
  <si>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</si>
  <si>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</si>
  <si>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</si>
  <si>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</si>
  <si>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</si>
  <si>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</si>
  <si>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</si>
  <si>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</si>
  <si>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</si>
  <si>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</si>
  <si>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</si>
  <si>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</si>
  <si>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</si>
  <si>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</si>
  <si>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</si>
  <si>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</si>
  <si>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</si>
  <si>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</si>
  <si>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</si>
  <si>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</si>
  <si>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</si>
  <si>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</si>
  <si>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</si>
  <si>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</si>
  <si>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</si>
  <si>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</si>
  <si>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</si>
  <si>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</si>
  <si>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</si>
  <si>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</si>
  <si>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</si>
  <si>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</si>
  <si>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</si>
  <si>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</si>
  <si>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</si>
  <si>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</si>
  <si>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</si>
  <si>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</si>
  <si>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</si>
  <si>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</si>
  <si>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</si>
  <si>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</si>
  <si>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</si>
  <si>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</si>
  <si>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</si>
  <si>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</si>
  <si>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</si>
  <si>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</si>
  <si>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</si>
  <si>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</si>
  <si>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</si>
  <si>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</si>
  <si>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</si>
  <si>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</si>
  <si>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</si>
  <si>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</si>
  <si>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</si>
  <si>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</si>
  <si>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</si>
  <si>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</si>
  <si>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</si>
  <si>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</si>
  <si>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</si>
  <si>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</si>
  <si>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</si>
  <si>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</si>
  <si>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</si>
  <si>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</si>
  <si>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</si>
  <si>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</si>
  <si>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</si>
  <si>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</si>
  <si>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</si>
  <si>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</si>
  <si>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</si>
  <si>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</si>
  <si>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</si>
  <si>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</si>
  <si>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</si>
  <si>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</si>
  <si>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</si>
  <si>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</si>
  <si>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</si>
  <si>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</si>
  <si>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</si>
  <si>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</si>
  <si>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</si>
  <si>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</si>
  <si>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</si>
  <si>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</si>
  <si>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</si>
  <si>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</si>
  <si>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</si>
  <si>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</si>
  <si>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</si>
  <si>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</si>
  <si>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</si>
  <si>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</si>
  <si>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</si>
  <si>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</si>
  <si>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</si>
  <si>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</si>
  <si>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</si>
  <si>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</si>
  <si>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</si>
  <si>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</si>
  <si>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</si>
  <si>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</si>
  <si>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</si>
  <si>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</si>
  <si>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</si>
  <si>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</si>
  <si>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</si>
  <si>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</si>
  <si>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</si>
  <si>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</si>
  <si>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</si>
  <si>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</si>
  <si>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</si>
  <si>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</si>
  <si>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</si>
  <si>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</si>
  <si>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</si>
  <si>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</si>
  <si>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</si>
  <si>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</si>
  <si>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</si>
  <si>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</si>
  <si>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</si>
  <si>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</si>
  <si>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</si>
  <si>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</si>
  <si>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</si>
  <si>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</si>
  <si>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</si>
  <si>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</si>
  <si>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</si>
  <si>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</si>
  <si>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</si>
  <si>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</si>
  <si>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</si>
  <si>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</si>
  <si>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</si>
  <si>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</si>
  <si>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</si>
  <si>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</si>
  <si>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</si>
  <si>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</si>
  <si>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</si>
  <si>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</si>
  <si>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</si>
  <si>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</si>
  <si>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</si>
  <si>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</si>
  <si>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</si>
  <si>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</si>
  <si>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</si>
  <si>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</si>
  <si>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</si>
  <si>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</si>
  <si>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</si>
  <si>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</si>
  <si>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</si>
  <si>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</si>
  <si>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</si>
  <si>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</si>
  <si>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</si>
  <si>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</si>
  <si>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</si>
  <si>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</si>
  <si>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</si>
  <si>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</si>
  <si>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</si>
  <si>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</si>
  <si>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</si>
  <si>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</si>
  <si>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</si>
  <si>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</si>
  <si>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</si>
  <si>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</si>
  <si>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</si>
  <si>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</si>
  <si>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</si>
  <si>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</si>
  <si>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</si>
  <si>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</si>
  <si>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</si>
  <si>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</si>
  <si>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</si>
  <si>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</si>
  <si>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</si>
  <si>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</si>
  <si>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</si>
  <si>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</si>
  <si>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</si>
  <si>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</si>
  <si>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</si>
  <si>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</si>
  <si>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</si>
  <si>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</si>
  <si>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</si>
  <si>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</si>
  <si>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</si>
  <si>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</si>
  <si>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</si>
  <si>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</si>
  <si>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</si>
  <si>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</si>
  <si>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</si>
  <si>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</si>
  <si>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</si>
  <si>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</si>
  <si>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</si>
  <si>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</si>
  <si>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</si>
  <si>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</si>
  <si>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</si>
  <si>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</si>
  <si>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</si>
  <si>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</si>
  <si>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</si>
  <si>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</si>
  <si>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</si>
  <si>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</si>
  <si>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</si>
  <si>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</si>
  <si>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</si>
  <si>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</si>
  <si>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</si>
  <si>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</si>
  <si>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</si>
  <si>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</si>
  <si>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</si>
  <si>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</si>
  <si>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</si>
  <si>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</si>
  <si>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</si>
  <si>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</si>
  <si>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</si>
  <si>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</si>
  <si>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</si>
  <si>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</si>
  <si>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</si>
  <si>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</si>
  <si>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</si>
  <si>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</si>
  <si>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</si>
  <si>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</si>
  <si>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</si>
  <si>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</si>
  <si>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</si>
  <si>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</si>
  <si>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</si>
  <si>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</si>
  <si>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</si>
  <si>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</si>
  <si>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</si>
  <si>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</si>
  <si>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</si>
  <si>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</si>
  <si>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</si>
  <si>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</si>
  <si>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</si>
  <si>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</si>
  <si>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</si>
  <si>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</si>
  <si>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</si>
  <si>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</si>
  <si>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</si>
  <si>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</si>
  <si>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</si>
  <si>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</si>
  <si>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</si>
  <si>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</si>
  <si>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</si>
  <si>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</si>
  <si>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</si>
  <si>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</si>
  <si>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</si>
  <si>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</si>
  <si>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</si>
  <si>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</si>
  <si>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</si>
  <si>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</si>
  <si>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</si>
  <si>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</si>
  <si>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</si>
  <si>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</si>
  <si>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</si>
  <si>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</si>
  <si>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</si>
  <si>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</si>
  <si>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</si>
  <si>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</si>
  <si>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</si>
  <si>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</si>
  <si>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</si>
  <si>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</si>
  <si>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</si>
  <si>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</si>
  <si>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</si>
  <si>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</si>
  <si>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</si>
  <si>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</si>
  <si>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</si>
  <si>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</si>
  <si>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</si>
  <si>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</si>
  <si>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</si>
  <si>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</si>
  <si>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</si>
  <si>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</si>
  <si>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</si>
  <si>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</si>
  <si>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</si>
  <si>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</si>
  <si>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</si>
  <si>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</si>
  <si>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</si>
  <si>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</si>
  <si>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</si>
  <si>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</si>
  <si>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</si>
  <si>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</si>
  <si>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</si>
  <si>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</si>
  <si>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</si>
  <si>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</si>
  <si>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</si>
  <si>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</si>
  <si>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</si>
  <si>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</si>
  <si>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</si>
  <si>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</si>
  <si>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</si>
  <si>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</si>
  <si>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</si>
  <si>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</si>
  <si>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</si>
  <si>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</si>
  <si>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</si>
  <si>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</si>
  <si>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</si>
  <si>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</si>
  <si>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</si>
  <si>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</si>
  <si>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</si>
  <si>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</si>
  <si>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</si>
  <si>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</si>
  <si>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</si>
  <si>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</si>
  <si>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</si>
  <si>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</si>
  <si>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</si>
  <si>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</si>
  <si>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</si>
  <si>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</si>
  <si>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</si>
  <si>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</si>
  <si>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</si>
  <si>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</si>
  <si>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</si>
  <si>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</si>
  <si>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</si>
  <si>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</si>
  <si>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</si>
  <si>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</si>
  <si>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</si>
  <si>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</si>
  <si>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</si>
  <si>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</si>
  <si>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</si>
  <si>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</si>
  <si>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</si>
  <si>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</si>
  <si>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</si>
  <si>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</si>
  <si>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</si>
  <si>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</si>
  <si>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</si>
  <si>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</si>
  <si>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</si>
  <si>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</si>
  <si>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</si>
  <si>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</si>
  <si>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</si>
  <si>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</si>
  <si>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</si>
  <si>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</si>
  <si>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</si>
  <si>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</si>
  <si>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</si>
  <si>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</si>
  <si>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</si>
  <si>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</si>
  <si>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</si>
  <si>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</si>
  <si>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</si>
  <si>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</si>
  <si>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</si>
  <si>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</si>
  <si>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</si>
  <si>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</si>
  <si>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</si>
  <si>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</si>
  <si>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</si>
  <si>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</si>
  <si>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</si>
  <si>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</si>
  <si>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</si>
  <si>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</si>
  <si>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</si>
  <si>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</si>
  <si>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</si>
  <si>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</si>
  <si>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</si>
  <si>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</si>
  <si>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</si>
  <si>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</si>
  <si>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</si>
  <si>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</si>
  <si>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</si>
  <si>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</si>
  <si>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</si>
  <si>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</si>
  <si>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</si>
  <si>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</si>
  <si>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</si>
  <si>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</si>
  <si>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</si>
  <si>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</si>
  <si>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</si>
  <si>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</si>
  <si>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</si>
  <si>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</si>
  <si>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</si>
  <si>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</si>
  <si>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</si>
  <si>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</si>
  <si>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</si>
  <si>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</si>
  <si>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</si>
  <si>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</si>
  <si>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</si>
  <si>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</si>
  <si>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</si>
  <si>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</si>
  <si>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</si>
  <si>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</si>
  <si>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</si>
  <si>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</si>
  <si>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</si>
  <si>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</si>
  <si>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</si>
  <si>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</si>
  <si>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</si>
  <si>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</si>
  <si>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</si>
  <si>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</si>
  <si>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</si>
  <si>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</si>
  <si>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</si>
  <si>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</si>
  <si>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</si>
  <si>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</si>
  <si>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</si>
  <si>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</si>
  <si>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</si>
  <si>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</si>
  <si>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</si>
  <si>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</si>
  <si>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</si>
  <si>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</si>
  <si>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</si>
  <si>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</si>
  <si>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</si>
  <si>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</si>
  <si>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</si>
  <si>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</si>
  <si>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</si>
  <si>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</si>
  <si>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</si>
  <si>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</si>
  <si>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</si>
  <si>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</si>
  <si>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</si>
  <si>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</si>
  <si>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</si>
  <si>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</si>
  <si>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</si>
  <si>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</si>
  <si>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</si>
  <si>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</si>
  <si>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</si>
  <si>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</si>
  <si>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</si>
  <si>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</si>
  <si>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</si>
  <si>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</si>
  <si>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</si>
  <si>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</si>
  <si>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</si>
  <si>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</si>
  <si>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</si>
  <si>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</si>
  <si>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</si>
  <si>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</si>
  <si>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</si>
  <si>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</si>
  <si>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</si>
  <si>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</si>
  <si>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</si>
  <si>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</si>
  <si>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</si>
  <si>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</si>
  <si>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</si>
  <si>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</si>
  <si>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</si>
  <si>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</si>
  <si>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</si>
  <si>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</si>
  <si>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</si>
  <si>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</si>
  <si>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</si>
  <si>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</si>
  <si>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</si>
  <si>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</si>
  <si>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</si>
  <si>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</si>
  <si>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</si>
  <si>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</si>
  <si>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</si>
  <si>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</si>
  <si>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</si>
  <si>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</si>
  <si>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</si>
  <si>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</si>
  <si>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</si>
  <si>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</si>
  <si>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</si>
  <si>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</si>
  <si>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</si>
  <si>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</si>
  <si>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</si>
  <si>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</si>
  <si>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</si>
  <si>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</si>
  <si>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</si>
  <si>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</si>
  <si>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</si>
  <si>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</si>
  <si>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</si>
  <si>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</si>
  <si>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</si>
  <si>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</si>
  <si>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</si>
  <si>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</si>
  <si>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</si>
  <si>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</si>
  <si>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</si>
  <si>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</si>
  <si>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</si>
  <si>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</si>
  <si>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</si>
  <si>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</si>
  <si>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</si>
  <si>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</si>
  <si>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</si>
  <si>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</si>
  <si>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</si>
  <si>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</si>
  <si>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</si>
  <si>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</si>
  <si>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</si>
  <si>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</si>
  <si>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</si>
  <si>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</si>
  <si>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</si>
  <si>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</si>
  <si>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</si>
  <si>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</si>
  <si>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</si>
  <si>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</si>
  <si>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</si>
  <si>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</si>
  <si>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</si>
  <si>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</si>
  <si>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</si>
  <si>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</si>
  <si>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</si>
  <si>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</si>
  <si>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</si>
  <si>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</si>
  <si>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</si>
  <si>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</si>
  <si>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</si>
  <si>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</si>
  <si>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</si>
  <si>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</si>
  <si>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</si>
  <si>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</si>
  <si>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</si>
  <si>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</si>
  <si>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</si>
  <si>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</si>
  <si>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</si>
  <si>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</si>
  <si>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</si>
  <si>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</si>
  <si>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</si>
  <si>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</si>
  <si>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</si>
  <si>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</si>
  <si>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</si>
  <si>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</si>
  <si>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</si>
  <si>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</si>
  <si>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</si>
  <si>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</si>
  <si>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</si>
  <si>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</si>
  <si>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</si>
  <si>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</si>
  <si>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</si>
  <si>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</si>
  <si>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</si>
  <si>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</si>
  <si>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</si>
  <si>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</si>
  <si>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</si>
  <si>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</si>
  <si>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</si>
  <si>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</si>
  <si>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</si>
  <si>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</si>
  <si>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</si>
  <si>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</si>
  <si>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</si>
  <si>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</si>
  <si>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</si>
  <si>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</si>
  <si>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</si>
  <si>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</si>
  <si>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</si>
  <si>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</si>
  <si>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</si>
  <si>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</si>
  <si>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</si>
  <si>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</si>
  <si>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</si>
  <si>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</si>
  <si>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</si>
  <si>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</si>
  <si>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</si>
  <si>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</si>
  <si>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</si>
  <si>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</si>
  <si>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</si>
  <si>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</si>
  <si>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</si>
  <si>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</si>
  <si>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</si>
  <si>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</si>
  <si>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</si>
  <si>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</si>
  <si>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</si>
  <si>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</si>
  <si>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</si>
  <si>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</si>
  <si>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</si>
  <si>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</si>
  <si>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</si>
  <si>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</si>
  <si>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</si>
  <si>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</si>
  <si>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</si>
  <si>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</si>
  <si>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</si>
  <si>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</si>
  <si>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</si>
  <si>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</si>
  <si>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</si>
  <si>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</si>
  <si>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</si>
  <si>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</si>
  <si>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</si>
  <si>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</si>
  <si>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</si>
  <si>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</si>
  <si>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</si>
  <si>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</si>
  <si>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</si>
  <si>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</si>
  <si>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</si>
  <si>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</si>
  <si>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</si>
  <si>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</si>
  <si>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</si>
  <si>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</si>
  <si>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</si>
  <si>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</si>
  <si>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</si>
  <si>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</si>
  <si>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</si>
  <si>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</si>
  <si>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</si>
  <si>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</si>
  <si>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</si>
  <si>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</si>
  <si>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</si>
  <si>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</si>
  <si>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</si>
  <si>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</si>
  <si>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</si>
  <si>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</si>
  <si>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</si>
  <si>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</si>
  <si>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</si>
  <si>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</si>
  <si>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</si>
  <si>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</si>
  <si>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</si>
  <si>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</si>
  <si>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</si>
  <si>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</si>
  <si>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</si>
  <si>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</si>
  <si>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</si>
  <si>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</si>
  <si>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</si>
  <si>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</si>
  <si>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</si>
  <si>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</si>
  <si>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</si>
  <si>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</si>
  <si>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</si>
  <si>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</si>
  <si>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</si>
  <si>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</si>
  <si>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</si>
  <si>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</si>
  <si>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</si>
  <si>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</si>
  <si>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</si>
  <si>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</si>
  <si>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</si>
  <si>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</si>
  <si>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</si>
  <si>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</si>
  <si>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</si>
  <si>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</si>
  <si>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</si>
  <si>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</si>
  <si>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</si>
  <si>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</si>
  <si>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</si>
  <si>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</si>
  <si>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</si>
  <si>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</si>
  <si>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</si>
  <si>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</si>
  <si>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</si>
  <si>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</si>
  <si>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</si>
  <si>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</si>
  <si>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</si>
  <si>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</si>
  <si>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</si>
  <si>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</si>
  <si>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</si>
  <si>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</si>
  <si>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</si>
  <si>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</si>
  <si>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</si>
  <si>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</si>
  <si>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</si>
  <si>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</si>
  <si>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</si>
  <si>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</si>
  <si>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</si>
  <si>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</si>
  <si>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</si>
  <si>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</si>
  <si>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</si>
  <si>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</si>
  <si>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</si>
  <si>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</si>
  <si>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</si>
  <si>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</si>
  <si>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</si>
  <si>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</si>
  <si>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</si>
  <si>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</si>
  <si>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</si>
  <si>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</si>
  <si>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</si>
  <si>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</si>
  <si>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</si>
  <si>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</si>
  <si>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</si>
  <si>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</si>
  <si>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</si>
  <si>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</si>
  <si>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</si>
  <si>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</si>
  <si>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</si>
  <si>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</si>
  <si>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</si>
  <si>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</si>
  <si>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</si>
  <si>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</si>
  <si>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</si>
  <si>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</si>
  <si>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</si>
  <si>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</si>
  <si>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</si>
  <si>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</si>
  <si>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</si>
  <si>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</si>
  <si>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</si>
  <si>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</si>
  <si>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</si>
  <si>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</si>
  <si>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</si>
  <si>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</si>
  <si>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</si>
  <si>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</si>
  <si>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</si>
  <si>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</si>
  <si>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</si>
  <si>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</si>
  <si>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</si>
  <si>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</si>
  <si>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</si>
  <si>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</si>
  <si>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</si>
  <si>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</si>
  <si>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</si>
  <si>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</si>
  <si>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</si>
  <si>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</si>
  <si>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</si>
  <si>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</si>
  <si>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</si>
  <si>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</si>
  <si>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</si>
  <si>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</si>
  <si>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</si>
  <si>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</si>
  <si>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</si>
  <si>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</si>
  <si>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</si>
  <si>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</si>
  <si>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</si>
  <si>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</si>
  <si>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</si>
  <si>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</si>
  <si>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</si>
  <si>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</si>
  <si>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</si>
  <si>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</si>
  <si>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</si>
  <si>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</si>
  <si>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</si>
  <si>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</si>
  <si>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</si>
  <si>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</si>
  <si>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</si>
  <si>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</si>
  <si>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</si>
  <si>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</si>
  <si>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</si>
  <si>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</si>
  <si>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</si>
  <si>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</si>
  <si>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</si>
  <si>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</si>
  <si>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</si>
  <si>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</si>
  <si>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</si>
  <si>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</si>
  <si>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</si>
  <si>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</si>
  <si>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</si>
  <si>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</si>
  <si>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</si>
  <si>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</si>
  <si>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</si>
  <si>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</si>
  <si>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</si>
  <si>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</si>
  <si>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</si>
  <si>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</si>
  <si>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</si>
  <si>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</si>
  <si>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</si>
  <si>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</si>
  <si>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</si>
  <si>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</si>
  <si>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</si>
  <si>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</si>
  <si>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</si>
  <si>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</si>
  <si>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</si>
  <si>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</si>
  <si>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</si>
  <si>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</si>
  <si>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</si>
  <si>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</si>
  <si>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</si>
  <si>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</si>
  <si>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</si>
  <si>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</si>
  <si>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</si>
  <si>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</si>
  <si>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</si>
  <si>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</si>
  <si>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</si>
  <si>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</si>
  <si>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</si>
  <si>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</si>
  <si>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</si>
  <si>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</si>
  <si>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</si>
  <si>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</si>
  <si>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</si>
  <si>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</si>
  <si>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</si>
  <si>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</si>
  <si>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</si>
  <si>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</si>
  <si>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</si>
  <si>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</si>
  <si>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</si>
  <si>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</si>
  <si>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</si>
  <si>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</si>
  <si>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</si>
  <si>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</si>
  <si>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</si>
  <si>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</si>
  <si>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</si>
  <si>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</si>
  <si>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</si>
  <si>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</si>
  <si>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</si>
  <si>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</si>
  <si>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</si>
  <si>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</si>
  <si>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</si>
  <si>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</si>
  <si>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</si>
  <si>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</si>
  <si>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</si>
  <si>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</si>
  <si>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</si>
  <si>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</si>
  <si>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</si>
  <si>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</si>
  <si>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</si>
  <si>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</si>
  <si>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</si>
  <si>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</si>
  <si>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</si>
  <si>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</si>
  <si>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</si>
  <si>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</si>
  <si>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</si>
  <si>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</si>
  <si>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</si>
  <si>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</si>
  <si>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</si>
  <si>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</si>
  <si>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</si>
  <si>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</si>
  <si>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</si>
  <si>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</si>
  <si>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</si>
  <si>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</si>
  <si>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</si>
  <si>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</si>
  <si>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</si>
  <si>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</si>
  <si>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</si>
  <si>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</si>
  <si>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</si>
  <si>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</si>
  <si>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</si>
  <si>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</si>
  <si>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</si>
  <si>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</si>
  <si>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</si>
  <si>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</si>
  <si>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</si>
  <si>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</si>
  <si>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</si>
  <si>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</si>
  <si>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</si>
  <si>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</si>
  <si>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</si>
  <si>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</si>
  <si>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</si>
  <si>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</si>
  <si>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</si>
  <si>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</si>
  <si>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</si>
  <si>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</si>
  <si>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</si>
  <si>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</si>
  <si>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</si>
  <si>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</si>
  <si>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</si>
  <si>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</si>
  <si>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</si>
  <si>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</si>
  <si>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</si>
  <si>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</si>
  <si>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</si>
  <si>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</si>
  <si>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</si>
  <si>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</si>
  <si>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</si>
  <si>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</si>
  <si>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</si>
  <si>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</si>
  <si>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</si>
  <si>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</si>
  <si>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</si>
  <si>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</si>
  <si>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</si>
  <si>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</si>
  <si>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</si>
  <si>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</si>
  <si>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</si>
  <si>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</si>
  <si>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</si>
  <si>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</si>
  <si>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</si>
  <si>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</si>
  <si>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</si>
  <si>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</si>
  <si>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</si>
  <si>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</si>
  <si>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</si>
  <si>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</si>
  <si>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</si>
  <si>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</si>
  <si>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</si>
  <si>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</si>
  <si>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</si>
  <si>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</si>
  <si>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</si>
  <si>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</si>
  <si>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</si>
  <si>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</si>
  <si>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</si>
  <si>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</si>
  <si>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</si>
  <si>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</si>
  <si>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</si>
  <si>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</si>
  <si>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</si>
  <si>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</si>
  <si>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</si>
  <si>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</si>
  <si>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</si>
  <si>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</si>
  <si>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</si>
  <si>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</si>
  <si>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</si>
  <si>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</si>
  <si>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</si>
  <si>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</si>
  <si>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</si>
  <si>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</si>
  <si>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</si>
  <si>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</si>
  <si>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</si>
  <si>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</si>
  <si>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</si>
  <si>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</si>
  <si>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</si>
  <si>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</si>
  <si>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</si>
  <si>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</si>
  <si>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</si>
  <si>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</si>
  <si>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</si>
  <si>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</si>
  <si>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</si>
  <si>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</si>
  <si>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</si>
  <si>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</si>
  <si>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</si>
  <si>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</si>
  <si>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</si>
  <si>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</si>
  <si>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</si>
  <si>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</si>
  <si>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</si>
  <si>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</si>
  <si>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</si>
  <si>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</si>
  <si>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</si>
  <si>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</si>
  <si>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</si>
  <si>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</si>
  <si>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</si>
  <si>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</si>
  <si>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</si>
  <si>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</si>
  <si>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</si>
  <si>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</si>
  <si>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</si>
  <si>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</si>
  <si>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</si>
  <si>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</si>
  <si>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</si>
  <si>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</si>
  <si>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</si>
  <si>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</si>
  <si>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</si>
  <si>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</si>
  <si>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</si>
  <si>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</si>
  <si>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</si>
  <si>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</si>
  <si>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</si>
  <si>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</si>
  <si>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</si>
  <si>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</si>
  <si>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</si>
  <si>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</si>
  <si>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</si>
  <si>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</si>
  <si>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</si>
  <si>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</si>
  <si>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</si>
  <si>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</si>
  <si>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</si>
  <si>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</si>
  <si>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</si>
  <si>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</si>
  <si>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</si>
  <si>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</si>
  <si>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</si>
  <si>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</si>
  <si>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</si>
  <si>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</si>
  <si>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</si>
  <si>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</si>
  <si>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</si>
  <si>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</si>
  <si>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</si>
  <si>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</si>
  <si>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</si>
  <si>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</si>
  <si>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</si>
  <si>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</si>
  <si>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</si>
  <si>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</si>
  <si>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</si>
  <si>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</si>
  <si>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</si>
  <si>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</si>
  <si>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</si>
  <si>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</si>
  <si>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</si>
  <si>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</si>
  <si>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</si>
  <si>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</si>
  <si>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</si>
  <si>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</si>
  <si>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</si>
  <si>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</si>
  <si>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</si>
  <si>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</si>
  <si>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</si>
  <si>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</si>
  <si>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</si>
  <si>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</si>
  <si>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</si>
  <si>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</si>
  <si>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</si>
  <si>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</si>
  <si>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</si>
  <si>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</si>
  <si>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</si>
  <si>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</si>
  <si>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</si>
  <si>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</si>
  <si>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</si>
  <si>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</si>
  <si>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</si>
  <si>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</si>
  <si>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</si>
  <si>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</si>
  <si>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</si>
  <si>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</si>
  <si>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</si>
  <si>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</si>
  <si>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</si>
  <si>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</si>
  <si>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</si>
  <si>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</si>
  <si>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</si>
  <si>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</si>
  <si>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</si>
  <si>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</si>
  <si>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</si>
  <si>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</si>
  <si>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</si>
  <si>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</si>
  <si>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</si>
  <si>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</si>
  <si>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</si>
  <si>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</si>
  <si>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</si>
  <si>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</si>
  <si>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</si>
  <si>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</si>
  <si>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</si>
  <si>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</si>
  <si>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</si>
  <si>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</si>
  <si>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</si>
  <si>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</si>
  <si>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</si>
  <si>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</si>
  <si>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</si>
  <si>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</si>
  <si>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</si>
  <si>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</si>
  <si>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</si>
  <si>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</si>
  <si>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</si>
  <si>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</si>
  <si>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</si>
  <si>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</si>
  <si>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</si>
  <si>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</si>
  <si>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</si>
  <si>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</si>
  <si>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</si>
  <si>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</si>
  <si>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</si>
  <si>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</si>
  <si>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</si>
  <si>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</si>
  <si>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</si>
  <si>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</si>
  <si>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</si>
  <si>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</si>
  <si>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</si>
  <si>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</si>
  <si>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</si>
  <si>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</si>
  <si>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</si>
  <si>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</si>
  <si>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</si>
  <si>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</si>
  <si>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</si>
  <si>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</si>
  <si>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</si>
  <si>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</si>
  <si>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</si>
  <si>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</si>
  <si>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</si>
  <si>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</si>
  <si>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</si>
  <si>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</si>
  <si>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</si>
  <si>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</si>
  <si>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</si>
  <si>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</si>
  <si>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</si>
  <si>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</si>
  <si>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</si>
  <si>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</si>
  <si>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</si>
  <si>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</si>
  <si>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</si>
  <si>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</si>
  <si>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</si>
  <si>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</si>
  <si>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</si>
  <si>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</si>
  <si>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</si>
  <si>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</si>
  <si>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</si>
  <si>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</si>
  <si>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</si>
  <si>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</si>
  <si>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</si>
  <si>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</si>
  <si>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</si>
  <si>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</si>
  <si>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</si>
  <si>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</si>
  <si>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</si>
  <si>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</si>
  <si>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</si>
  <si>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</si>
  <si>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</si>
  <si>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</si>
  <si>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</si>
  <si>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</si>
  <si>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</si>
  <si>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</si>
  <si>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</si>
  <si>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</si>
  <si>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</si>
  <si>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</si>
  <si>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</si>
  <si>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</si>
  <si>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</si>
  <si>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</si>
  <si>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</si>
  <si>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</si>
  <si>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</si>
  <si>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</si>
  <si>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</si>
  <si>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</si>
  <si>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</si>
  <si>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</si>
  <si>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</si>
  <si>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</si>
  <si>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</si>
  <si>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</si>
  <si>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</si>
  <si>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</si>
  <si>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</si>
  <si>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</si>
  <si>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</si>
  <si>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</si>
  <si>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</si>
  <si>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</si>
  <si>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</si>
  <si>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</si>
  <si>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</si>
  <si>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</si>
  <si>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</si>
  <si>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</si>
  <si>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</si>
  <si>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</si>
  <si>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</si>
  <si>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</si>
  <si>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</si>
  <si>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</si>
  <si>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</si>
  <si>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</si>
  <si>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</si>
  <si>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</si>
  <si>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</si>
  <si>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</si>
  <si>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</si>
  <si>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</si>
  <si>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</si>
  <si>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</si>
  <si>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</si>
  <si>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</si>
  <si>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</si>
  <si>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</si>
  <si>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</si>
  <si>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</si>
  <si>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</si>
  <si>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</si>
  <si>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</si>
  <si>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</si>
  <si>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</si>
  <si>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</si>
  <si>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</si>
  <si>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</si>
  <si>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</si>
  <si>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</si>
  <si>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</si>
  <si>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</si>
  <si>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</si>
  <si>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</si>
  <si>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</si>
  <si>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</si>
  <si>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</si>
  <si>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</si>
  <si>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</si>
  <si>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</si>
  <si>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</si>
  <si>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</si>
  <si>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</si>
  <si>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</si>
  <si>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</si>
  <si>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</si>
  <si>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</si>
  <si>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</si>
  <si>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</si>
  <si>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</si>
  <si>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</si>
  <si>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</si>
  <si>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</si>
  <si>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</si>
  <si>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</si>
  <si>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</si>
  <si>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</si>
  <si>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</si>
  <si>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</si>
  <si>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</si>
  <si>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</si>
  <si>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</si>
  <si>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</si>
  <si>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</si>
  <si>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</si>
  <si>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</si>
  <si>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</si>
  <si>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</si>
  <si>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</si>
  <si>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</si>
  <si>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</si>
  <si>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</si>
  <si>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</si>
  <si>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</si>
  <si>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</si>
  <si>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</si>
  <si>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</si>
  <si>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</si>
  <si>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</si>
  <si>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</si>
  <si>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</si>
  <si>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</si>
  <si>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</si>
  <si>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</si>
  <si>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</si>
  <si>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</si>
  <si>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</si>
  <si>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</si>
  <si>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</si>
  <si>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</si>
  <si>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</si>
  <si>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</si>
  <si>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</si>
  <si>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</si>
  <si>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</si>
  <si>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</si>
  <si>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</si>
  <si>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</si>
  <si>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</si>
  <si>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</si>
  <si>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</si>
  <si>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</si>
  <si>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</si>
  <si>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</si>
  <si>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</si>
  <si>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</si>
  <si>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</si>
  <si>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</si>
  <si>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</si>
  <si>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</si>
  <si>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</si>
  <si>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</si>
  <si>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</si>
  <si>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</si>
  <si>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</si>
  <si>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</si>
  <si>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</si>
  <si>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</si>
  <si>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</si>
  <si>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</si>
  <si>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</si>
  <si>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</si>
  <si>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</si>
  <si>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</si>
  <si>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</si>
  <si>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</si>
  <si>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</si>
  <si>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</si>
  <si>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</si>
  <si>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</si>
  <si>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</si>
  <si>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</si>
  <si>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</si>
  <si>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</si>
  <si>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</si>
  <si>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</si>
  <si>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</si>
  <si>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</si>
  <si>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</si>
  <si>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</si>
  <si>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</si>
  <si>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</si>
  <si>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</si>
  <si>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</si>
  <si>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</si>
  <si>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</si>
  <si>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</si>
  <si>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</si>
  <si>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</si>
  <si>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</si>
  <si>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</si>
  <si>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</si>
  <si>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</si>
  <si>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</si>
  <si>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</si>
  <si>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</si>
  <si>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</si>
  <si>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</si>
  <si>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</si>
  <si>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</si>
  <si>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</si>
  <si>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</si>
  <si>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</si>
  <si>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</si>
  <si>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</si>
  <si>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</si>
  <si>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</si>
  <si>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</si>
  <si>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</si>
  <si>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</si>
  <si>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</si>
  <si>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</si>
  <si>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</si>
  <si>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</si>
  <si>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</si>
  <si>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</si>
  <si>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</si>
  <si>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</si>
  <si>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</si>
  <si>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</si>
  <si>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</si>
  <si>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</si>
  <si>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</si>
  <si>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</si>
  <si>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</si>
  <si>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</si>
  <si>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</si>
  <si>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</si>
  <si>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</si>
  <si>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</si>
  <si>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</si>
  <si>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</si>
  <si>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</si>
  <si>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</si>
  <si>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</si>
  <si>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</si>
  <si>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</si>
  <si>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</si>
  <si>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</si>
  <si>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</si>
  <si>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</si>
  <si>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</si>
  <si>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</si>
  <si>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</si>
  <si>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</si>
  <si>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</si>
  <si>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</si>
  <si>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</si>
  <si>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</si>
  <si>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</si>
  <si>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</si>
  <si>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</si>
  <si>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</si>
  <si>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</si>
  <si>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</si>
  <si>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</si>
  <si>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</si>
  <si>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</si>
  <si>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</si>
  <si>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</si>
  <si>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</si>
  <si>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</si>
  <si>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</si>
  <si>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</si>
  <si>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</si>
  <si>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</si>
  <si>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</si>
  <si>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</si>
  <si>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</si>
  <si>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</si>
  <si>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</si>
  <si>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</si>
  <si>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</si>
  <si>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</si>
  <si>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</si>
  <si>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</si>
  <si>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</si>
  <si>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</si>
  <si>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</si>
  <si>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</si>
  <si>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</si>
  <si>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</si>
  <si>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</si>
  <si>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</si>
  <si>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</si>
  <si>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</si>
  <si>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</si>
  <si>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</si>
  <si>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</si>
  <si>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</si>
  <si>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</si>
  <si>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</si>
  <si>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</si>
  <si>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</si>
  <si>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</si>
  <si>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</si>
  <si>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</si>
  <si>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</si>
  <si>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</si>
  <si>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</si>
  <si>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</si>
  <si>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</si>
  <si>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</si>
  <si>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</si>
  <si>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</si>
  <si>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</si>
  <si>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</si>
  <si>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</si>
  <si>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</si>
  <si>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</si>
  <si>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</si>
  <si>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</si>
  <si>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</si>
  <si>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</si>
  <si>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</si>
  <si>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</si>
  <si>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</si>
  <si>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</si>
  <si>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</si>
  <si>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</si>
  <si>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</si>
  <si>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</si>
  <si>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</si>
  <si>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</si>
  <si>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</si>
  <si>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</si>
  <si>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</si>
  <si>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</si>
  <si>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</si>
  <si>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</si>
  <si>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</si>
  <si>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</si>
  <si>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</si>
  <si>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</si>
  <si>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</si>
  <si>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</si>
  <si>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</si>
  <si>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</si>
  <si>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</si>
  <si>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</si>
  <si>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</si>
  <si>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</si>
  <si>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</si>
  <si>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</si>
  <si>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</si>
  <si>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</si>
  <si>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</si>
  <si>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</si>
  <si>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</si>
  <si>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</si>
  <si>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</si>
  <si>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</si>
  <si>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</si>
  <si>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</si>
  <si>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</si>
  <si>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</si>
  <si>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</si>
  <si>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</si>
  <si>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</si>
  <si>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</si>
  <si>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</si>
  <si>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</si>
  <si>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</si>
  <si>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</si>
  <si>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</si>
  <si>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</si>
  <si>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</si>
  <si>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</si>
  <si>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</si>
  <si>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</si>
  <si>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</si>
  <si>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</si>
  <si>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</si>
  <si>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</si>
  <si>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</si>
  <si>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</si>
  <si>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</si>
  <si>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</si>
  <si>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</si>
  <si>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</si>
  <si>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</si>
  <si>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</si>
  <si>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</si>
  <si>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</si>
  <si>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</si>
  <si>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</si>
  <si>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</si>
  <si>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</si>
  <si>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</si>
  <si>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</si>
  <si>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</si>
  <si>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</si>
  <si>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</si>
  <si>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</si>
  <si>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</si>
  <si>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</si>
  <si>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</si>
  <si>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</si>
  <si>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</si>
  <si>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</si>
  <si>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</si>
  <si>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</si>
  <si>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</si>
  <si>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</si>
  <si>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</si>
  <si>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</si>
  <si>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</si>
  <si>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</si>
  <si>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</si>
  <si>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</si>
  <si>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</si>
  <si>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</si>
  <si>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</si>
  <si>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</si>
  <si>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</si>
  <si>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</si>
  <si>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</si>
  <si>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</si>
  <si>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</si>
  <si>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</si>
  <si>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</si>
  <si>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</si>
  <si>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</si>
  <si>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</si>
  <si>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</si>
  <si>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</si>
  <si>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</si>
  <si>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</si>
  <si>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</si>
  <si>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</si>
  <si>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</si>
  <si>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</si>
  <si>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</si>
  <si>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</si>
  <si>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</si>
  <si>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</si>
  <si>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</si>
  <si>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</si>
  <si>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</si>
  <si>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</si>
  <si>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</si>
  <si>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</si>
  <si>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</si>
  <si>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</si>
  <si>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</si>
  <si>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</si>
  <si>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</si>
  <si>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</si>
  <si>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</si>
  <si>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</si>
  <si>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</si>
  <si>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</si>
  <si>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</si>
  <si>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</si>
  <si>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</si>
  <si>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</si>
  <si>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</si>
  <si>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</si>
  <si>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</si>
  <si>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</si>
  <si>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</si>
  <si>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</si>
  <si>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</si>
  <si>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</si>
  <si>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</si>
  <si>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</si>
  <si>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</si>
  <si>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</si>
  <si>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</si>
  <si>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</si>
  <si>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</si>
  <si>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</si>
  <si>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</si>
  <si>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</si>
  <si>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</si>
  <si>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</si>
  <si>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</si>
  <si>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</si>
  <si>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</si>
  <si>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</si>
  <si>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</si>
  <si>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</si>
  <si>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</si>
  <si>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</si>
  <si>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</si>
  <si>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</si>
  <si>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</si>
  <si>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</si>
  <si>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</si>
  <si>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</si>
  <si>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</si>
  <si>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</si>
  <si>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</si>
  <si>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</si>
  <si>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</si>
  <si>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</si>
  <si>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</si>
  <si>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</si>
  <si>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</si>
  <si>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</si>
  <si>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</si>
  <si>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</si>
  <si>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</si>
  <si>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</si>
  <si>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</si>
  <si>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</si>
  <si>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</si>
  <si>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</si>
  <si>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</si>
  <si>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</si>
  <si>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</si>
  <si>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</si>
  <si>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</si>
  <si>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</si>
  <si>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</si>
  <si>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</si>
  <si>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</si>
  <si>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</si>
  <si>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</si>
  <si>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</si>
  <si>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</si>
  <si>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</si>
  <si>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</si>
  <si>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</si>
  <si>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</si>
  <si>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</si>
  <si>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</si>
  <si>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</si>
  <si>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</si>
  <si>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</si>
  <si>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</si>
  <si>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</si>
  <si>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</si>
  <si>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</si>
  <si>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</si>
  <si>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</si>
  <si>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</si>
  <si>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</si>
  <si>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</si>
  <si>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</si>
  <si>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</si>
  <si>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</si>
  <si>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</si>
  <si>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</si>
  <si>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</si>
  <si>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</si>
  <si>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</si>
  <si>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</si>
  <si>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</si>
  <si>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</si>
  <si>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</si>
  <si>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</si>
  <si>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</si>
  <si>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</si>
  <si>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TSO001120080</t>
  </si>
  <si>
    <t>TSO001120086</t>
  </si>
  <si>
    <t>TSO001120102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</si>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</sst>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98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45" fillId="0" borderId="0" xfId="0" applyFont="1" applyFill="1" applyAlignment="1">
      <alignment horizontal="left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0" fontId="46" fillId="16" borderId="50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51"/>
  <sheetViews>
    <sheetView tabSelected="1" zoomScale="70" zoomScaleNormal="70" workbookViewId="0">
      <pane ySplit="2" topLeftCell="A7216" activePane="bottomLeft" state="frozen"/>
      <selection pane="bottomLeft" activeCell="P7248" sqref="P724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1021" width="9.140625" style="2"/>
  </cols>
  <sheetData>
    <row r="1" spans="1:18" ht="19.5" customHeight="1" thickBot="1" x14ac:dyDescent="0.3">
      <c r="A1" s="1060" t="s">
        <v>0</v>
      </c>
      <c r="B1" s="1060"/>
      <c r="C1" s="1060"/>
      <c r="D1" s="1060"/>
      <c r="E1" s="1060"/>
      <c r="F1" s="1060"/>
      <c r="G1" s="1060"/>
      <c r="H1" s="1060"/>
      <c r="I1" s="1060"/>
      <c r="J1" s="1060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61">
        <v>1</v>
      </c>
      <c r="B3" s="106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61"/>
      <c r="B4" s="106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57">
        <v>3</v>
      </c>
      <c r="B6" s="105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57"/>
      <c r="B7" s="105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57"/>
      <c r="B8" s="105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57">
        <v>5</v>
      </c>
      <c r="B10" s="105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57"/>
      <c r="B11" s="105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55">
        <v>8</v>
      </c>
      <c r="B14" s="105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55"/>
      <c r="B15" s="105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57">
        <v>11</v>
      </c>
      <c r="B18" s="105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57"/>
      <c r="B19" s="105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57"/>
      <c r="B20" s="105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57"/>
      <c r="B21" s="105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57">
        <v>13</v>
      </c>
      <c r="B23" s="105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57"/>
      <c r="B24" s="105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55">
        <v>14</v>
      </c>
      <c r="B25" s="105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55"/>
      <c r="B26" s="105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57">
        <v>15</v>
      </c>
      <c r="B27" s="105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57"/>
      <c r="B28" s="105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57"/>
      <c r="B29" s="105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57"/>
      <c r="B30" s="105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55">
        <v>16</v>
      </c>
      <c r="B31" s="105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55"/>
      <c r="B32" s="105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55"/>
      <c r="B33" s="105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55"/>
      <c r="B34" s="105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57">
        <v>17</v>
      </c>
      <c r="B35" s="105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57"/>
      <c r="B36" s="105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57">
        <v>21</v>
      </c>
      <c r="B40" s="105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57"/>
      <c r="B41" s="105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57">
        <v>23</v>
      </c>
      <c r="B43" s="105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57"/>
      <c r="B44" s="105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57"/>
      <c r="B45" s="105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55">
        <v>24</v>
      </c>
      <c r="B46" s="105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55"/>
      <c r="B47" s="105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57">
        <v>25</v>
      </c>
      <c r="B48" s="105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57"/>
      <c r="B49" s="105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57"/>
      <c r="B50" s="105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55">
        <v>26</v>
      </c>
      <c r="B51" s="105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55"/>
      <c r="B52" s="105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57">
        <v>29</v>
      </c>
      <c r="B55" s="105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57"/>
      <c r="B56" s="105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55">
        <v>32</v>
      </c>
      <c r="B59" s="105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55"/>
      <c r="B60" s="105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55">
        <v>34</v>
      </c>
      <c r="B62" s="105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55"/>
      <c r="B63" s="105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55"/>
      <c r="B64" s="105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55"/>
      <c r="B65" s="105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55"/>
      <c r="B66" s="105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57">
        <v>35</v>
      </c>
      <c r="B67" s="105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57"/>
      <c r="B68" s="105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42">
        <v>40</v>
      </c>
      <c r="B73" s="105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42"/>
      <c r="B74" s="105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41">
        <v>41</v>
      </c>
      <c r="B75" s="105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41"/>
      <c r="B76" s="105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41"/>
      <c r="B77" s="105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42">
        <v>42</v>
      </c>
      <c r="B78" s="105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42"/>
      <c r="B79" s="105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41">
        <v>49</v>
      </c>
      <c r="B86" s="105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41"/>
      <c r="B87" s="105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41"/>
      <c r="B88" s="105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42">
        <v>50</v>
      </c>
      <c r="B89" s="105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42"/>
      <c r="B90" s="105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41">
        <v>51</v>
      </c>
      <c r="B91" s="105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41"/>
      <c r="B92" s="105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41">
        <v>53</v>
      </c>
      <c r="B94" s="105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41"/>
      <c r="B95" s="105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42">
        <v>54</v>
      </c>
      <c r="B96" s="105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42"/>
      <c r="B97" s="105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42"/>
      <c r="B98" s="105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42">
        <v>58</v>
      </c>
      <c r="B102" s="105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42"/>
      <c r="B103" s="105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42">
        <v>60</v>
      </c>
      <c r="B105" s="105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42"/>
      <c r="B106" s="105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42"/>
      <c r="B107" s="105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41">
        <v>61</v>
      </c>
      <c r="B108" s="105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41"/>
      <c r="B109" s="105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41"/>
      <c r="B110" s="105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42">
        <v>64</v>
      </c>
      <c r="B113" s="105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42"/>
      <c r="B114" s="105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42">
        <v>66</v>
      </c>
      <c r="B116" s="105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42"/>
      <c r="B117" s="105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41">
        <v>67</v>
      </c>
      <c r="B118" s="105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41"/>
      <c r="B119" s="105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41"/>
      <c r="B120" s="105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42">
        <v>68</v>
      </c>
      <c r="B121" s="105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42"/>
      <c r="B122" s="105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41">
        <v>69</v>
      </c>
      <c r="B123" s="105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41"/>
      <c r="B124" s="105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42">
        <v>72</v>
      </c>
      <c r="B127" s="1055" t="s">
        <v>65</v>
      </c>
      <c r="C127" s="119" t="s">
        <v>26</v>
      </c>
      <c r="D127" s="120">
        <v>3.3</v>
      </c>
      <c r="E127" s="121"/>
      <c r="F127" s="122" t="s">
        <v>30</v>
      </c>
      <c r="G127" s="1054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42"/>
      <c r="B128" s="1055"/>
      <c r="C128" s="103" t="s">
        <v>26</v>
      </c>
      <c r="D128" s="88">
        <v>12.9</v>
      </c>
      <c r="E128" s="106"/>
      <c r="F128" s="107" t="s">
        <v>16</v>
      </c>
      <c r="G128" s="1054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42">
        <v>76</v>
      </c>
      <c r="B132" s="105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42"/>
      <c r="B133" s="105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42"/>
      <c r="B134" s="105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42"/>
      <c r="B135" s="105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42">
        <v>78</v>
      </c>
      <c r="B137" s="1063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42"/>
      <c r="B138" s="1063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5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5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4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4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4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4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4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4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4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4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4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4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4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4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4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4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4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4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4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4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4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4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4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4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59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4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59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4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4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4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4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4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4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4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4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4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4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4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4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4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4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4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4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4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4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4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4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4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4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4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4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4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4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4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4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4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4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4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4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4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4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4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4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4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4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4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4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4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54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4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54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4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4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4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4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4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4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4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4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4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4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4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4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4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4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4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4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4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4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4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4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4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4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4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4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4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4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4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4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4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4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4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4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64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4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64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4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4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4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54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4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54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4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4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4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4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4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4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4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4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4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4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4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4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4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4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4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4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4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4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4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4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4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4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4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4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4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4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4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4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4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59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4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59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4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4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4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4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4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4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4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4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4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4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4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4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4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4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4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4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4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4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4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4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4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4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4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4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4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4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4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4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4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4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4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4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4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4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4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4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4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4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4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4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4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4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4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4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4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4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4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4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4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4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4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4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4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4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4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4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4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4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4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4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4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4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4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4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4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4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4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4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4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4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4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4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4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4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4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4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4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4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4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4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62" t="s">
        <v>133</v>
      </c>
      <c r="J420" s="1062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4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4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4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4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4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4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4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4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4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4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4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4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4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4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4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4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4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4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4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4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4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4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4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4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4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6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4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6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4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4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4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4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4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4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4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4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4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4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4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4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4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4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4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4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4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4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4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4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4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4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4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4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4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4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4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4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4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4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4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4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4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4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4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4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4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4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4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66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4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66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4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66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4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66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4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66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4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4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4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4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4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4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4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4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4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4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4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4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4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4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4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4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4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4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4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4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4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4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4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4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4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4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4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4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4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4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4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4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4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4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4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4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4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4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4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4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6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4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6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4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4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4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4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4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4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4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4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4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4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4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4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4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4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4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4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4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4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4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4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4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4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4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4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4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4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4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4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4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4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4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4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4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4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4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4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4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4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4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4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4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4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4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4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4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4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4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4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4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4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4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4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4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4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4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4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4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4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4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4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4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4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4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4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4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4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4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4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4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4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4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4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4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4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4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4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4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4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4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4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4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4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4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4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4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65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4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65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4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4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4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4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4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4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4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4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4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4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4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4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4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4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4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4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4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4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4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4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4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4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4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4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4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4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4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4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4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4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4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4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5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5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5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4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4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4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5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5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4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4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4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5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5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4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4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4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4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4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4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4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4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4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4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4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4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4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4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4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4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4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4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4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4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4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4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6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4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67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4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4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4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4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4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4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4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4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4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4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4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4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4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4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4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4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5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5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5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5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5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5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4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4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4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4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4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4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4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4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4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4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4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4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4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4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4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4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4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4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4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4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5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5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4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4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4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4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4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4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4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4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4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4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4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4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4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4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4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4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4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4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4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4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4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4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4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4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4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6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4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6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4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4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4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4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4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4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4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4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4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4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4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4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4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4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4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4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4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4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4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4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4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4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4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4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4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4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4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4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4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4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4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4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4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4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4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4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4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4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4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4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4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4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4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4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4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4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4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4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4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4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4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4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4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4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4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4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4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4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4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4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4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4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4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4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4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4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4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4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4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4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4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4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4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4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4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4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4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4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4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4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4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4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4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4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4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4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4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4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4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4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4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4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4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6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4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6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4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4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4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4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4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4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4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4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4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4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4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4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4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4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4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4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4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4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4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4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4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5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5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4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4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4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4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4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4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4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4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4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4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4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4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4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4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4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4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4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4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4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4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4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4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4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4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4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4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4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4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4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4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4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4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4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4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4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4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4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4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4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4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4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4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4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4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4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4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4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4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4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4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4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4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4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4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4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4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4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4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4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4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4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4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4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4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4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4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4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4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4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4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4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4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4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4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4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4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4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4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4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4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4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4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4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4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4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4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4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4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4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4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4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4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4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4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4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4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4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4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4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4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4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4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4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4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4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4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4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4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4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4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6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4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6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4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4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4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4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4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4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4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4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4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4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4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4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4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4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4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4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4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4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4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4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4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4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4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4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4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4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6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4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6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4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4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4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4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4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4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4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4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4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4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4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4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4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4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4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4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4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4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4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4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4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4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4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4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4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4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4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4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4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4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4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6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4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6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4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4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4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4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4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4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4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4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4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4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4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4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4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4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4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4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4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4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4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4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4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4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4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4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4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4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6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4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6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4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4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4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4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4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4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4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4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4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4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4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4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4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4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4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4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4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4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4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4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4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4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4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4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4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4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4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4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4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4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4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4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4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4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4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4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6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4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6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4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4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4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4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4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4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4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4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4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4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4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4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4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4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4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4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4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4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4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4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4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4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4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4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4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4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4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4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4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4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4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4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4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4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4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4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4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4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4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4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4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4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4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4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4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4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4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4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4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4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4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4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4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4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4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4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4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4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4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47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4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47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4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4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4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4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4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4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4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4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4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4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4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4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4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4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4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4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4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4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4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4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4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4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4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4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4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4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4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4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4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4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4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4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4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4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4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4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4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4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4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4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4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4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4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4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4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4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4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4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4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4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4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4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4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4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4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4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4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4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4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4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4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4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4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4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4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4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4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4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4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4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4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4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4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4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4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4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4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4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4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4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4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4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4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4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4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4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4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4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4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4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4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4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4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4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4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4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4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4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4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4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4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4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4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4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4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4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4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4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4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4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4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4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6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4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6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4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4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4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4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4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4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4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4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4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4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4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4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4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4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4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4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4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4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4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4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4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4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4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4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4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4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4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4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4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4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4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4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4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4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4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4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4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4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4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4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4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4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4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4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4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4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4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4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4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4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4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4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4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4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4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4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4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4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4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4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4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4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4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4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4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4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4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4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4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4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4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6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4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6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4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4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4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4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4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4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4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4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4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4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4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4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4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4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4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4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4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4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4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4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4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4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4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4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4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4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4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4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4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4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4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4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4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4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4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4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4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4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4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4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4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6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4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6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4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4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4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4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4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4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4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4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4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4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4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4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4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4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4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4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4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4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4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4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4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4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4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4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4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4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4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4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4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4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4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4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4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4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4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4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4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4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4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4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4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4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4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4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4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4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4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4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4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4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4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4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4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4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4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4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4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4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4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4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4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4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4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4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4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4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4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6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4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6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4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4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4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4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4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4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4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4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4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4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4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4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4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42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4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42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4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4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4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4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4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4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4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4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42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4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4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4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4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4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4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4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4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4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4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4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4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4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4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4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4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4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4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4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4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4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4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4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4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4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4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4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4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4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4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4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4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4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4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4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4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4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4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4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4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4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4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4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4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4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4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4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4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4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4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4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4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4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4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4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4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4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4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4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4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4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4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4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4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4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4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4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4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4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4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4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4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4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4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4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4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6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4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6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4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4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4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4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4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4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4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4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4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4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4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4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4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4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4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4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4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4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4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4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4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4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42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4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4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4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4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42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4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4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4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4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4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4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4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4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4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4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4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4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4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4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4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4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4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4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4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4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4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4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4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4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4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4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4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4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4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4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4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4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4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4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4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4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4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4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4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4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4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4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4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4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4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4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4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4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4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4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4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4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4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6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4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6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4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4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4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4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4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4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4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4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4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4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4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4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4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4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4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4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4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4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4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4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4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4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42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4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4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4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4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4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4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4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4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4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4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4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4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4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4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4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4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4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4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4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4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4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4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4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4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4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42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4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4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4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4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4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4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4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4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4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4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4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4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68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69" t="s">
        <v>467</v>
      </c>
      <c r="H2160" s="414" t="s">
        <v>515</v>
      </c>
      <c r="I2160" s="415" t="s">
        <v>516</v>
      </c>
      <c r="J2160" s="1070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68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69"/>
      <c r="H2161" s="421" t="s">
        <v>515</v>
      </c>
      <c r="I2161" s="422" t="s">
        <v>516</v>
      </c>
      <c r="J2161" s="1070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68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69"/>
      <c r="H2162" s="429" t="s">
        <v>515</v>
      </c>
      <c r="I2162" s="430" t="s">
        <v>516</v>
      </c>
      <c r="J2162" s="1070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68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69" t="s">
        <v>467</v>
      </c>
      <c r="H2165" s="414" t="s">
        <v>516</v>
      </c>
      <c r="I2165" s="415" t="s">
        <v>516</v>
      </c>
      <c r="J2165" s="1070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68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69"/>
      <c r="H2166" s="429" t="s">
        <v>516</v>
      </c>
      <c r="I2166" s="430" t="s">
        <v>516</v>
      </c>
      <c r="J2166" s="1070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4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4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4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4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4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4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4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4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4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4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4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4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4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4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4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4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4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4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4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6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4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6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4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71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4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71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4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64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4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64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4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4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4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4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4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4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4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4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4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4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4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4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4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4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4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4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4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4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4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4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4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4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4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4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4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4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4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4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4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4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4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4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4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4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4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4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42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4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4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42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4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4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4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4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4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4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4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4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4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4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4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4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4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4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4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4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4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4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4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4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4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4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4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4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42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4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4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4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4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4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4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4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4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4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4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4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4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4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4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4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4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4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4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4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4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4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4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4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4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4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4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4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4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4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4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4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4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4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4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4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4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4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4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4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4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4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4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4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4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4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4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4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4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4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4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4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4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4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4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4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4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4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4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4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4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4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4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4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4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4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4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4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4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4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4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4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4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4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4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4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4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4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4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4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4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4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4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4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4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4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4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4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4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4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4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4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4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4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4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4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4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4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4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4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4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4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4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4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4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4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4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4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4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4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4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4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4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4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4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48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4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4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4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4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4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4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4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4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4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4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4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4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42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6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4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6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4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6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4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4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4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4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4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4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4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4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4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4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4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6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4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6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4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4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4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4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4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4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4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4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4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4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4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4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72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73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72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73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4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4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4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4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4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4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4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4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4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4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42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4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4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4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4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4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4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4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4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4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4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4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4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4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7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4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7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4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4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4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6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4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6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4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4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4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4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4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4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42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4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4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4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4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4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4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4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4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4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4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4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4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4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4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4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4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6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4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6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4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4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4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4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4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4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4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4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4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4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4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4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4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4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4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4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4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4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4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4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4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4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4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4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7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7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4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4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4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4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4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4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4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4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4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4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4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4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4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4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48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4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4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4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4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4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4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4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4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4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4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4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4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4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4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4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4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4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4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4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4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4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4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4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4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4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4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4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6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4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6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4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6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4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4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4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4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4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4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4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4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4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4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4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4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4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4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4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4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4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4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4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4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4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4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4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4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4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4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4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4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4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4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4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4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4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4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4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4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4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4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4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4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4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4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4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4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4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4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4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4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4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7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4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7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4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4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4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4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4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4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4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4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4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4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4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4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4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4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4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4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4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4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4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4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4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4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4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4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4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4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4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4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4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4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4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4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4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6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4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6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4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4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4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4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4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4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4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4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4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4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4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4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4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4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4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4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4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4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4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4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4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4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4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4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4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4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4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4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4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4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4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4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4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4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4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4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4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4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4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4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4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4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4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4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4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4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4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4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4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4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4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4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4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4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4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4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4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4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4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4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4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4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4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4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4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4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4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4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4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4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4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4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4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4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4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4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4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4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4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4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4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4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4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4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4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4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4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4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4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4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6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4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6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4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6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4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4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4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4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4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4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4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4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4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4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4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4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4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4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4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4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4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4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4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4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6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4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6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4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6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4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6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4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4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4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4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4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4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4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4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6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4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6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4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6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4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4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4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4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4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4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4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4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4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4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4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4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4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4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4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4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4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4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4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4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6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4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6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4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4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4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4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4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4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4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4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4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4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4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4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4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4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4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4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4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4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4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4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4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4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4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4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4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4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4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4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4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4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4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4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4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4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4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4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4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4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4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4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4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4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4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4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4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4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4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4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4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4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4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4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4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4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4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4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4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4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4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4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4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4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4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4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4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4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4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4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4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4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4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4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4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4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4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4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4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4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4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4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4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4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4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4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4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4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4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4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4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4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4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4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4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4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4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4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4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4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4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4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4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4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4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4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4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4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4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4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4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7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4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7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4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7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4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7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4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7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4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7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4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4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4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4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4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4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4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4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4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4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4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4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42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4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4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4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4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4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4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4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4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4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4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4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4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4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4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4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4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4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4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4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4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4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4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4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4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4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4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4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4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4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4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4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4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4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4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4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4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4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4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4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4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4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4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4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4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4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4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4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4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4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4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4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4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4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4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4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4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4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4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4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4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4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4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4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4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4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48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4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4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4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4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4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4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4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4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4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4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4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4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4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4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4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4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4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4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4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4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4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4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4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4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4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4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4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4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4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4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4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4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4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4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4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4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4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4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4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4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4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4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4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4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4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4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4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4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4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4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4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4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4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4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4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48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4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4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4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4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4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4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4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4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4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4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4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4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4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4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4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4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4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4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4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4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4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4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4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4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4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4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4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4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4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4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4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4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4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4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4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4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4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4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4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4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4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7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4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7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4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7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4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4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4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4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4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4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4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4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4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4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4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4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4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4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4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4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4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4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4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4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4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6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4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6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4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4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4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4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4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4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4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4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4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4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4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4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4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4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4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4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4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4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4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4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4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4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4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4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6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4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6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4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4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4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4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4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4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4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4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4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4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4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4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4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4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4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4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6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4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6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17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2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25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17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2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25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2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25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2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25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1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77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17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78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17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78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79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17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2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2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2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1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1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1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1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77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17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78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1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77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17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2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2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2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2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2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1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3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77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80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17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78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1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3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77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80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17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2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2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78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17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2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1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1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1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77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1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1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1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17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2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2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2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2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2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1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77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17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78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79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17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78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79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17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78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1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77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17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2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17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78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1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77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17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2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78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1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1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77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1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1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1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1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1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1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17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78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1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3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77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80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17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78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1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77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17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2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2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78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17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78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79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1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1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77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17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78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1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3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77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80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17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2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2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2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2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2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1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77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1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77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1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3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77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80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17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2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78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1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1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77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17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2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78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1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1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1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1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1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77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17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2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78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17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2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2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2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1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1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1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1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1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1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1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1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17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78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17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2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25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78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79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1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2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78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1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1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77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1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2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2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1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78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79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1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1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1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77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17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78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17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78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1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77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1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1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1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1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1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17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78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17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2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78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1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77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17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78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1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77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17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78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79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1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1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17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2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78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1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77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17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78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1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77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17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78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17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2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13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1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1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1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1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1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17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78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17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78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1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1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1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77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17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2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2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2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2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78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17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78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1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1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1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77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1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1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1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1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1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1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17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78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17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78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79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1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1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77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17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2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2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78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1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1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77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17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2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25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78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79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1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3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77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80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17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78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1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77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17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2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2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2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2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2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1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77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17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78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1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1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77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17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2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2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78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1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77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17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78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79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17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78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1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1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77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1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77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17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2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1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1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1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1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1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1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1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17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78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17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2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1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3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77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80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17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2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2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2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2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2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78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1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1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1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1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17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2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78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17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78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1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77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17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2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78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17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78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3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81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82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17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2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2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2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2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78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1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77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17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2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78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1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77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17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78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17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78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1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1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1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17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2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1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1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1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17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1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0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17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2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1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3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1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29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17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2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2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2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2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1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1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17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1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17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2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1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1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1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17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2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2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1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3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1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2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1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29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1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1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1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1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1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17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2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1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1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1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1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1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1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17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1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1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1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1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17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2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2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1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1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1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17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2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2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1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17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1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1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1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1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17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1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1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1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1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1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1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17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1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1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1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1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17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1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1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1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17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1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17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2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1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17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1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1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1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1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1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1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17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2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2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2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1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17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2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1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1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1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1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1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1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17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2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1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1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1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1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1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17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2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1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17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1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0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1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1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1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1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1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1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17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2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2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1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17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1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1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3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1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2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1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2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1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29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17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2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1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17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1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1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1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1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17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1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1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1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1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1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3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1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29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17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1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1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1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1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1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1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17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1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1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1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17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1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1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1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1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1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1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17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2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1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17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2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25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2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25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1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0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1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1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17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1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17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1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1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1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1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17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1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1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3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1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29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1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1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1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1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1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1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1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1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17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2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1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1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1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17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1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17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2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1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1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1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1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17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2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1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1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1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1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1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1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17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1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1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1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1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1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2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2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1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1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3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1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29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1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2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1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1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1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17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2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2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2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1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1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17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1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1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1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1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1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17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1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1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1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1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1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1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1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1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1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17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2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2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1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17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1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17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2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2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1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1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1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1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1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17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2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1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1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1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1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1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1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1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1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1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1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17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1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17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2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2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1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1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3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1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2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17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1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1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1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17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1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1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1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17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1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17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2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1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1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1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17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1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1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1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1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17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2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1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1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1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17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1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17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2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1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1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1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17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2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1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17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1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17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1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1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1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17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1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1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1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17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2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1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1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1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1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1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1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1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17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1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1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1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1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17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2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25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1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0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1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1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1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1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1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1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1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17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2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1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17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1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1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1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17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2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2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1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17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1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17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1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0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1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1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1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1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1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1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17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2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2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1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1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1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17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1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17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1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17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2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1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1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1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1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17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1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1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1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1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17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1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1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1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17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1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1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1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1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2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2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1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1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17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1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1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1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1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1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17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1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1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1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17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1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17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1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0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17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2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1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1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1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1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17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2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1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1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1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1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1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17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2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1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1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17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1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1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3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1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2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1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2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1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29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1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1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1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1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3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1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29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17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2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17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2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1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1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1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1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17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1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0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17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1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1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1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1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1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1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1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17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2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25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1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1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1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1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17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1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1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1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17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1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0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17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2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1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1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1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1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1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3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1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29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17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1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17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2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17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1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1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1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1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1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17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1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1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1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17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1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1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3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1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2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1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29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17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1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17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1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0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1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1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17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2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2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1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1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3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1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29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17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1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1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1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17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1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1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1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17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1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0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1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1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1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17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1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17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1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0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1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1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1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1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17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1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1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1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1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17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2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2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1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1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1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17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1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1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1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17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1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0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1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1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1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1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1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17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2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25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1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1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1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1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1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17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2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1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17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1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17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1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1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1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1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1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17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1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0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17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1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1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3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1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29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17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2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2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1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1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17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1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1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1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17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1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0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1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1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17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1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1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3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1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29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17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1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1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1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1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17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1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1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1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1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1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3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1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29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17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2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1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1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1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17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1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17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2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1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1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1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1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1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3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1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29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1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3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1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29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17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2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17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2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1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1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1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1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17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1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1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1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1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3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1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29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1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1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1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17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1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1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3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1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29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17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1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1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1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1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17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2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25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2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25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1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3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1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29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2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2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2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2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2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2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17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2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1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1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17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2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83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2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2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2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1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1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17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2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1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1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1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17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1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17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1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1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3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1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2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1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29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17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2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1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3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1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29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1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1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1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1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1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1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1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17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2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1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17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2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25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2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25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2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25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1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1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17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1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0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17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1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1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1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1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17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1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0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1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1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17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2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2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1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1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1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17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1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0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1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1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1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1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1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17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2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2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1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1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1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1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1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1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1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1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1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1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17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2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2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1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1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1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1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17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1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1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1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17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1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17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2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25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1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1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1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1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17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1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0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17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1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17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1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0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17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2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1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1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1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17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1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1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3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1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29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1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1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1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17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2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2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1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1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1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1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17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2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17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1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0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1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1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17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2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2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1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1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17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2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1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1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1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17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1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1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1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17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1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17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1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1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1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1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17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1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1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1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1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3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1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2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17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2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2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1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1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17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2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2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1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1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1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1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1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1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1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1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1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1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1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17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2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2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1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1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1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17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1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17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2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17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2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25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2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25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2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25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2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25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1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1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1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1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1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1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1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1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1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1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17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1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1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1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1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17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2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1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17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2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1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1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1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1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3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1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29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1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3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1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2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1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2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1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2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17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1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1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1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17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1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17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1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1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1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1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1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1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1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2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2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1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1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2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25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2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25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1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1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17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1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0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1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1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17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2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25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1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1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17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1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1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1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17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1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1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1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17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1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0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17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1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1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1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17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1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1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1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17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2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1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1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1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1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1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1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1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1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17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1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17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1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1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1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1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1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1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1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17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2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1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1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1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1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17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2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1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3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1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29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17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2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1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17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1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1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1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17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1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17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1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0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17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1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1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1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17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1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1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3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1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29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1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1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1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1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1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17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2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1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17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2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1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3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1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29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1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3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1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2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1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2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1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2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1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29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17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2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1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1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1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1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1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1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1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1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0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1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1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1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2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1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17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1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17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1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1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1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1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17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1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1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1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17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2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17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2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2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1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1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1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17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2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1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1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1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17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1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1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3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1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29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1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1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17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1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17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1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17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2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2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1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17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1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1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1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17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1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1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3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1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29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17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1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34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35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36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3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3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1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1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36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3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86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3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87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36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3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1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1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3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1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4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84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15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85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4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4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3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4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1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1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1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1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1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1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1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1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1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1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1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1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21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17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1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17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1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17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2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1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1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1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1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1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1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1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1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17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2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1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1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1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1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17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1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1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1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1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1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1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1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1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1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1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1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17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1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1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3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1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29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1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1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3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4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15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15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16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0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1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17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1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17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2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0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1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14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16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0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1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14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15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16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0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1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14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16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0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1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14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16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0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1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17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2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2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2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1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13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13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12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14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16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14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05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15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06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16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0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1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2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12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2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14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16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25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0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1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17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1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1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12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17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2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3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88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14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16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14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16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14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15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16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1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13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12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17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2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1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1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13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12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1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12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14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15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16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0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1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14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15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15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1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13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1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12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14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15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15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16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0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14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16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0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14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16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0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1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3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13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29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17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1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1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13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13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0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17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2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17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2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2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1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1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13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13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12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1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13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13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13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12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17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2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2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2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2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2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1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0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1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17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2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1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0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1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0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17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2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1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1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14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16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0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1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14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15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15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16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14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05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15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06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16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0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1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12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17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1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0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0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1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14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15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16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0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2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1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2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17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1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04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17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1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08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1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17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18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1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12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17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2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18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08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9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1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14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15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16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1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13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13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13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17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2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2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18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32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33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1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13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13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13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12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17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2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18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17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18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08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1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17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2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2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18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08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3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9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2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9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2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1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29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17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18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17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18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08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1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14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05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15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06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15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1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15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1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16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07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08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28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9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28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1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29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17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18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17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2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18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08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1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17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2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2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2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18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08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10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17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2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2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2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18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11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13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13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13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17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2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2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18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08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10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17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18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11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13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12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17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2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2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18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08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9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10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14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3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15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25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15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25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15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25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16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04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08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10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17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18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17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2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18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08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30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10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29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08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9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10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17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18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11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13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12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11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13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12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17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18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08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10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17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18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17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2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2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2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18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08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9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10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17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2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2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18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08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10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17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18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11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13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13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12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08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1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9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2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9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2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10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21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17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3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18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04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11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13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13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12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11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12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17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18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08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10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17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26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18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27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11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12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17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18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11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12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08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10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17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18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11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13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13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13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13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12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08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10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14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15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15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16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08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10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17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2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18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11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30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13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28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13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28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12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29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43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11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13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13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982" t="s">
        <v>2414</v>
      </c>
    </row>
    <row r="7123" spans="1:18" ht="19.5" hidden="1" thickBot="1" x14ac:dyDescent="0.3">
      <c r="A7123" s="1013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982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11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30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12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29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17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3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18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1025"/>
      <c r="H7130" s="979" t="s">
        <v>2405</v>
      </c>
      <c r="I7130" s="979" t="s">
        <v>2405</v>
      </c>
      <c r="J7130" s="845"/>
      <c r="K7130" s="979" t="str">
        <f t="shared" si="215"/>
        <v>09,26</v>
      </c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11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13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13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12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17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23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2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23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18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24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11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12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17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18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x14ac:dyDescent="0.25">
      <c r="A7144" s="1011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1"/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x14ac:dyDescent="0.25">
      <c r="A7145" s="1013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3"/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x14ac:dyDescent="0.25">
      <c r="A7146" s="1013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3"/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thickBot="1" x14ac:dyDescent="0.3">
      <c r="A7147" s="1012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32"/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x14ac:dyDescent="0.25">
      <c r="A7148" s="1017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26" t="s">
        <v>1633</v>
      </c>
      <c r="H7148" s="483" t="s">
        <v>2347</v>
      </c>
      <c r="I7148" s="484" t="s">
        <v>2347</v>
      </c>
      <c r="J7148" s="485"/>
      <c r="K7148" s="479"/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x14ac:dyDescent="0.25">
      <c r="A7149" s="102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89"/>
      <c r="H7149" s="527" t="s">
        <v>2347</v>
      </c>
      <c r="I7149" s="528" t="s">
        <v>2347</v>
      </c>
      <c r="J7149" s="529"/>
      <c r="K7149" s="523"/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thickBot="1" x14ac:dyDescent="0.3">
      <c r="A7150" s="1018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89"/>
      <c r="H7150" s="499" t="s">
        <v>2347</v>
      </c>
      <c r="I7150" s="500" t="s">
        <v>2347</v>
      </c>
      <c r="J7150" s="501"/>
      <c r="K7150" s="495"/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x14ac:dyDescent="0.25">
      <c r="A7151" s="1008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1"/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x14ac:dyDescent="0.25">
      <c r="A7152" s="1009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49"/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thickBot="1" x14ac:dyDescent="0.3">
      <c r="A7153" s="1010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877"/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7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5"/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4"/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3"/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4"/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4"/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3"/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3"/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x14ac:dyDescent="0.25">
      <c r="A7161" s="1008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1"/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thickBot="1" x14ac:dyDescent="0.3">
      <c r="A7162" s="1010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48"/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x14ac:dyDescent="0.25">
      <c r="A7163" s="1014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79"/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thickBot="1" x14ac:dyDescent="0.3">
      <c r="A7164" s="1016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87"/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x14ac:dyDescent="0.25">
      <c r="A7165" s="1011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3"/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thickBot="1" x14ac:dyDescent="0.3">
      <c r="A7166" s="1012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36"/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x14ac:dyDescent="0.25">
      <c r="A7167" s="1014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980"/>
      <c r="H7167" s="483" t="s">
        <v>2424</v>
      </c>
      <c r="I7167" s="484" t="s">
        <v>2424</v>
      </c>
      <c r="J7167" s="485"/>
      <c r="K7167" s="479"/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thickBot="1" x14ac:dyDescent="0.3">
      <c r="A7168" s="1016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87"/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x14ac:dyDescent="0.25">
      <c r="A7169" s="1011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1"/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91" t="s">
        <v>2537</v>
      </c>
    </row>
    <row r="7170" spans="1:16" x14ac:dyDescent="0.25">
      <c r="A7170" s="1013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49"/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91" t="s">
        <v>2536</v>
      </c>
    </row>
    <row r="7171" spans="1:16" ht="19.5" thickBot="1" x14ac:dyDescent="0.3">
      <c r="A7171" s="1013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6"/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4"/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x14ac:dyDescent="0.25">
      <c r="A7173" s="1011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96" t="s">
        <v>2498</v>
      </c>
      <c r="H7173" s="535" t="s">
        <v>2424</v>
      </c>
      <c r="I7173" s="537" t="s">
        <v>2424</v>
      </c>
      <c r="J7173" s="538"/>
      <c r="K7173" s="531"/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7.5" x14ac:dyDescent="0.25">
      <c r="A7174" s="1013"/>
      <c r="B7174" s="989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97"/>
      <c r="H7174" s="915" t="s">
        <v>2424</v>
      </c>
      <c r="I7174" s="917" t="s">
        <v>1496</v>
      </c>
      <c r="J7174" s="990" t="s">
        <v>2544</v>
      </c>
      <c r="K7174" s="911"/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x14ac:dyDescent="0.25">
      <c r="A7175" s="1013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97"/>
      <c r="H7175" s="567" t="s">
        <v>2424</v>
      </c>
      <c r="I7175" s="569" t="s">
        <v>2424</v>
      </c>
      <c r="J7175" s="677" t="s">
        <v>845</v>
      </c>
      <c r="K7175" s="563"/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thickBot="1" x14ac:dyDescent="0.3">
      <c r="A7176" s="1012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97"/>
      <c r="H7176" s="594" t="s">
        <v>2424</v>
      </c>
      <c r="I7176" s="596" t="s">
        <v>2424</v>
      </c>
      <c r="J7176" s="983" t="s">
        <v>1702</v>
      </c>
      <c r="K7176" s="590"/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x14ac:dyDescent="0.25">
      <c r="A7177" s="1014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980"/>
      <c r="H7177" s="483" t="s">
        <v>2453</v>
      </c>
      <c r="I7177" s="484" t="s">
        <v>2453</v>
      </c>
      <c r="J7177" s="485"/>
      <c r="K7177" s="479"/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x14ac:dyDescent="0.25">
      <c r="A7178" s="1015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981"/>
      <c r="H7178" s="763" t="s">
        <v>2453</v>
      </c>
      <c r="I7178" s="768" t="s">
        <v>2453</v>
      </c>
      <c r="J7178" s="779"/>
      <c r="K7178" s="791"/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thickBot="1" x14ac:dyDescent="0.3">
      <c r="A7179" s="1016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87"/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x14ac:dyDescent="0.25">
      <c r="A7180" s="1011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1"/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x14ac:dyDescent="0.25">
      <c r="A7181" s="1013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49"/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thickBot="1" x14ac:dyDescent="0.3">
      <c r="A7182" s="1013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6"/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4"/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/>
      <c r="F7184" s="508" t="s">
        <v>30</v>
      </c>
      <c r="G7184" s="509" t="s">
        <v>2472</v>
      </c>
      <c r="H7184" s="508" t="s">
        <v>2471</v>
      </c>
      <c r="I7184" s="510"/>
      <c r="J7184" s="511"/>
      <c r="K7184" s="504"/>
      <c r="L7184" s="508" t="s">
        <v>266</v>
      </c>
      <c r="M7184" s="508">
        <v>10739.76</v>
      </c>
      <c r="N7184" s="512">
        <v>0.5</v>
      </c>
      <c r="O7184" s="897" t="s">
        <v>2474</v>
      </c>
    </row>
    <row r="7185" spans="1:16" x14ac:dyDescent="0.25">
      <c r="A7185" s="1014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980"/>
      <c r="H7185" s="483" t="s">
        <v>2471</v>
      </c>
      <c r="I7185" s="484" t="s">
        <v>2476</v>
      </c>
      <c r="J7185" s="485"/>
      <c r="K7185" s="479"/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x14ac:dyDescent="0.25">
      <c r="A7186" s="1015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/>
      <c r="H7186" s="795" t="s">
        <v>2471</v>
      </c>
      <c r="I7186" s="795" t="s">
        <v>2476</v>
      </c>
      <c r="J7186" s="797"/>
      <c r="K7186" s="992"/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thickBot="1" x14ac:dyDescent="0.3">
      <c r="A7187" s="1016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87"/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x14ac:dyDescent="0.25">
      <c r="A7188" s="1008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1"/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x14ac:dyDescent="0.25">
      <c r="A7189" s="1009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/>
      <c r="H7189" s="839" t="s">
        <v>2471</v>
      </c>
      <c r="I7189" s="839" t="s">
        <v>2476</v>
      </c>
      <c r="J7189" s="840"/>
      <c r="K7189" s="836"/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thickBot="1" x14ac:dyDescent="0.3">
      <c r="A7190" s="1010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48"/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x14ac:dyDescent="0.25">
      <c r="A7191" s="1014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05" t="s">
        <v>2475</v>
      </c>
      <c r="H7191" s="483" t="s">
        <v>2471</v>
      </c>
      <c r="I7191" s="484" t="s">
        <v>2476</v>
      </c>
      <c r="J7191" s="485"/>
      <c r="K7191" s="479"/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x14ac:dyDescent="0.25">
      <c r="A7192" s="1015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06"/>
      <c r="H7192" s="763" t="s">
        <v>2471</v>
      </c>
      <c r="I7192" s="768" t="s">
        <v>2476</v>
      </c>
      <c r="J7192" s="779"/>
      <c r="K7192" s="791"/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x14ac:dyDescent="0.25">
      <c r="A7193" s="1015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06"/>
      <c r="H7193" s="860" t="s">
        <v>2471</v>
      </c>
      <c r="I7193" s="860" t="s">
        <v>2476</v>
      </c>
      <c r="J7193" s="865"/>
      <c r="K7193" s="976"/>
      <c r="L7193" s="860" t="s">
        <v>28</v>
      </c>
      <c r="M7193" s="860">
        <v>870</v>
      </c>
      <c r="N7193" s="986">
        <v>0.5</v>
      </c>
      <c r="O7193" s="897" t="s">
        <v>2533</v>
      </c>
      <c r="P7193" s="867" t="s">
        <v>2578</v>
      </c>
    </row>
    <row r="7194" spans="1:16" ht="19.5" thickBot="1" x14ac:dyDescent="0.3">
      <c r="A7194" s="1016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07"/>
      <c r="H7194" s="808" t="s">
        <v>2471</v>
      </c>
      <c r="I7194" s="808" t="s">
        <v>2476</v>
      </c>
      <c r="J7194" s="810"/>
      <c r="K7194" s="887"/>
      <c r="L7194" s="808" t="s">
        <v>28</v>
      </c>
      <c r="M7194" s="808">
        <v>795</v>
      </c>
      <c r="N7194" s="987">
        <v>0.5</v>
      </c>
      <c r="O7194" s="897" t="s">
        <v>2532</v>
      </c>
      <c r="P7194" s="867" t="s">
        <v>2579</v>
      </c>
    </row>
    <row r="7195" spans="1:16" ht="19.5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985" t="s">
        <v>23</v>
      </c>
      <c r="H7195" s="640" t="s">
        <v>2471</v>
      </c>
      <c r="I7195" s="642" t="s">
        <v>2476</v>
      </c>
      <c r="J7195" s="643"/>
      <c r="K7195" s="636"/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x14ac:dyDescent="0.25">
      <c r="A7196" s="1017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79"/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x14ac:dyDescent="0.25">
      <c r="A7197" s="1022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3"/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thickBot="1" x14ac:dyDescent="0.3">
      <c r="A7198" s="1018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5"/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x14ac:dyDescent="0.25">
      <c r="A7199" s="1008">
        <f t="shared" ref="A7199" si="218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1"/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thickBot="1" x14ac:dyDescent="0.3">
      <c r="A7200" s="1010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48"/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7" x14ac:dyDescent="0.25">
      <c r="A7201" s="1014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988"/>
      <c r="H7201" s="483" t="s">
        <v>2476</v>
      </c>
      <c r="I7201" s="484" t="s">
        <v>2476</v>
      </c>
      <c r="J7201" s="485"/>
      <c r="K7201" s="479"/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7" x14ac:dyDescent="0.25">
      <c r="A7202" s="1015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992"/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7" ht="19.5" thickBot="1" x14ac:dyDescent="0.3">
      <c r="A7203" s="1015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86"/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7" x14ac:dyDescent="0.25">
      <c r="A7204" s="1090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92" t="s">
        <v>1634</v>
      </c>
      <c r="H7204" s="535" t="s">
        <v>2476</v>
      </c>
      <c r="I7204" s="537" t="s">
        <v>2476</v>
      </c>
      <c r="J7204" s="538"/>
      <c r="K7204" s="531"/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7" ht="19.5" thickBot="1" x14ac:dyDescent="0.3">
      <c r="A7205" s="1091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93"/>
      <c r="H7205" s="801" t="s">
        <v>2476</v>
      </c>
      <c r="I7205" s="801" t="s">
        <v>2476</v>
      </c>
      <c r="J7205" s="803"/>
      <c r="K7205" s="848"/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7" x14ac:dyDescent="0.25">
      <c r="A7206" s="1017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94" t="s">
        <v>1634</v>
      </c>
      <c r="H7206" s="483" t="s">
        <v>2476</v>
      </c>
      <c r="I7206" s="484" t="s">
        <v>2546</v>
      </c>
      <c r="J7206" s="485"/>
      <c r="K7206" s="479"/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7" ht="19.5" thickBot="1" x14ac:dyDescent="0.3">
      <c r="A7207" s="1018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95"/>
      <c r="H7207" s="808" t="s">
        <v>2476</v>
      </c>
      <c r="I7207" s="808" t="s">
        <v>2546</v>
      </c>
      <c r="J7207" s="810"/>
      <c r="K7207" s="887"/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7" ht="19.5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994"/>
      <c r="H7208" s="640" t="s">
        <v>2476</v>
      </c>
      <c r="I7208" s="642" t="s">
        <v>2546</v>
      </c>
      <c r="J7208" s="643"/>
      <c r="K7208" s="636"/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7" x14ac:dyDescent="0.25">
      <c r="A7209" s="1017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/>
      <c r="F7209" s="483" t="s">
        <v>16</v>
      </c>
      <c r="G7209" s="984" t="s">
        <v>844</v>
      </c>
      <c r="H7209" s="483" t="s">
        <v>2546</v>
      </c>
      <c r="I7209" s="484"/>
      <c r="J7209" s="485"/>
      <c r="K7209" s="479"/>
      <c r="L7209" s="483" t="s">
        <v>266</v>
      </c>
      <c r="M7209" s="483">
        <v>2937.4599999999996</v>
      </c>
      <c r="N7209" s="486">
        <v>0.5</v>
      </c>
      <c r="O7209" s="897" t="s">
        <v>2526</v>
      </c>
    </row>
    <row r="7210" spans="1:17" ht="19.5" thickBot="1" x14ac:dyDescent="0.3">
      <c r="A7210" s="1022"/>
      <c r="B7210" s="495" t="s">
        <v>2471</v>
      </c>
      <c r="C7210" s="496" t="s">
        <v>55</v>
      </c>
      <c r="D7210" s="497">
        <v>14.9</v>
      </c>
      <c r="E7210" s="498"/>
      <c r="F7210" s="499" t="s">
        <v>16</v>
      </c>
      <c r="G7210" s="993" t="s">
        <v>845</v>
      </c>
      <c r="H7210" s="499" t="s">
        <v>2546</v>
      </c>
      <c r="I7210" s="500"/>
      <c r="J7210" s="501"/>
      <c r="K7210" s="495"/>
      <c r="L7210" s="499" t="s">
        <v>266</v>
      </c>
      <c r="M7210" s="499">
        <v>15070.84</v>
      </c>
      <c r="N7210" s="502">
        <v>0.5</v>
      </c>
      <c r="O7210" s="897" t="s">
        <v>2527</v>
      </c>
    </row>
    <row r="7211" spans="1:17" ht="19.5" thickBot="1" x14ac:dyDescent="0.3">
      <c r="A7211" s="503">
        <f t="shared" ref="A7211:A7217" si="219">MAX(A7043:A7210)+1</f>
        <v>4439</v>
      </c>
      <c r="B7211" s="504" t="s">
        <v>2476</v>
      </c>
      <c r="C7211" s="505" t="s">
        <v>32</v>
      </c>
      <c r="D7211" s="506">
        <v>18.055</v>
      </c>
      <c r="E7211" s="507"/>
      <c r="F7211" s="508" t="s">
        <v>16</v>
      </c>
      <c r="G7211" s="509"/>
      <c r="H7211" s="508" t="s">
        <v>2525</v>
      </c>
      <c r="I7211" s="510"/>
      <c r="J7211" s="511"/>
      <c r="K7211" s="504"/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</row>
    <row r="7212" spans="1:17" ht="19.5" thickBot="1" x14ac:dyDescent="0.3">
      <c r="A7212" s="513">
        <f t="shared" si="219"/>
        <v>4440</v>
      </c>
      <c r="B7212" s="514" t="s">
        <v>2476</v>
      </c>
      <c r="C7212" s="515" t="s">
        <v>32</v>
      </c>
      <c r="D7212" s="516">
        <v>17.968</v>
      </c>
      <c r="E7212" s="517"/>
      <c r="F7212" s="518" t="s">
        <v>16</v>
      </c>
      <c r="G7212" s="519"/>
      <c r="H7212" s="518" t="s">
        <v>2525</v>
      </c>
      <c r="I7212" s="520"/>
      <c r="J7212" s="521"/>
      <c r="K7212" s="514"/>
      <c r="L7212" s="518" t="s">
        <v>266</v>
      </c>
      <c r="M7212" s="518">
        <v>18073.95</v>
      </c>
      <c r="N7212" s="522">
        <v>0.45833333333333331</v>
      </c>
      <c r="O7212" s="897" t="s">
        <v>2550</v>
      </c>
    </row>
    <row r="7213" spans="1:17" ht="19.5" thickBot="1" x14ac:dyDescent="0.3">
      <c r="A7213" s="503">
        <f t="shared" si="219"/>
        <v>4441</v>
      </c>
      <c r="B7213" s="504" t="s">
        <v>2476</v>
      </c>
      <c r="C7213" s="505" t="s">
        <v>32</v>
      </c>
      <c r="D7213" s="506">
        <v>18.05</v>
      </c>
      <c r="E7213" s="507"/>
      <c r="F7213" s="508" t="s">
        <v>16</v>
      </c>
      <c r="G7213" s="509"/>
      <c r="H7213" s="508" t="s">
        <v>2525</v>
      </c>
      <c r="I7213" s="510"/>
      <c r="J7213" s="511"/>
      <c r="K7213" s="504"/>
      <c r="L7213" s="508" t="s">
        <v>266</v>
      </c>
      <c r="M7213" s="508">
        <v>18103.2</v>
      </c>
      <c r="N7213" s="512">
        <v>0.5</v>
      </c>
      <c r="O7213" s="897" t="s">
        <v>2552</v>
      </c>
    </row>
    <row r="7214" spans="1:17" ht="19.5" thickBot="1" x14ac:dyDescent="0.3">
      <c r="A7214" s="513">
        <f t="shared" si="219"/>
        <v>4442</v>
      </c>
      <c r="B7214" s="514" t="s">
        <v>2476</v>
      </c>
      <c r="C7214" s="515" t="s">
        <v>32</v>
      </c>
      <c r="D7214" s="516">
        <v>17.600000000000001</v>
      </c>
      <c r="E7214" s="517"/>
      <c r="F7214" s="518" t="s">
        <v>16</v>
      </c>
      <c r="G7214" s="519" t="s">
        <v>2299</v>
      </c>
      <c r="H7214" s="518" t="s">
        <v>2525</v>
      </c>
      <c r="I7214" s="520"/>
      <c r="J7214" s="521"/>
      <c r="K7214" s="514"/>
      <c r="L7214" s="518" t="s">
        <v>266</v>
      </c>
      <c r="M7214" s="518">
        <v>17604.599999999999</v>
      </c>
      <c r="N7214" s="522">
        <v>0.54166666666666663</v>
      </c>
      <c r="O7214" s="897" t="s">
        <v>2551</v>
      </c>
      <c r="P7214" s="867" t="s">
        <v>2413</v>
      </c>
    </row>
    <row r="7215" spans="1:17" ht="19.5" thickBot="1" x14ac:dyDescent="0.3">
      <c r="A7215" s="995">
        <f t="shared" si="219"/>
        <v>4443</v>
      </c>
      <c r="B7215" s="552" t="s">
        <v>2476</v>
      </c>
      <c r="C7215" s="553" t="s">
        <v>848</v>
      </c>
      <c r="D7215" s="554">
        <v>18.02</v>
      </c>
      <c r="E7215" s="555"/>
      <c r="F7215" s="556" t="s">
        <v>16</v>
      </c>
      <c r="G7215" s="996"/>
      <c r="H7215" s="556" t="s">
        <v>2525</v>
      </c>
      <c r="I7215" s="558"/>
      <c r="J7215" s="559"/>
      <c r="K7215" s="552"/>
      <c r="L7215" s="556" t="s">
        <v>266</v>
      </c>
      <c r="M7215" s="556">
        <v>18066.18</v>
      </c>
      <c r="N7215" s="560">
        <v>0.58333333333333337</v>
      </c>
      <c r="O7215" s="897" t="s">
        <v>2553</v>
      </c>
    </row>
    <row r="7216" spans="1:17" ht="19.5" thickBot="1" x14ac:dyDescent="0.3">
      <c r="A7216" s="513">
        <f t="shared" si="219"/>
        <v>4444</v>
      </c>
      <c r="B7216" s="514" t="s">
        <v>2546</v>
      </c>
      <c r="C7216" s="515" t="s">
        <v>26</v>
      </c>
      <c r="D7216" s="516">
        <v>17.861999999999998</v>
      </c>
      <c r="E7216" s="517"/>
      <c r="F7216" s="518" t="s">
        <v>16</v>
      </c>
      <c r="G7216" s="519"/>
      <c r="H7216" s="518" t="s">
        <v>2565</v>
      </c>
      <c r="I7216" s="520"/>
      <c r="J7216" s="521"/>
      <c r="K7216" s="514"/>
      <c r="L7216" s="518" t="s">
        <v>265</v>
      </c>
      <c r="M7216" s="518">
        <v>18021.300000000003</v>
      </c>
      <c r="N7216" s="522">
        <v>0.375</v>
      </c>
      <c r="O7216" s="897" t="s">
        <v>2566</v>
      </c>
      <c r="P7216" s="867" t="s">
        <v>2585</v>
      </c>
      <c r="Q7216" s="952" t="s">
        <v>2587</v>
      </c>
    </row>
    <row r="7217" spans="1:16" x14ac:dyDescent="0.25">
      <c r="A7217" s="1008">
        <f t="shared" si="219"/>
        <v>4445</v>
      </c>
      <c r="B7217" s="759" t="s">
        <v>2546</v>
      </c>
      <c r="C7217" s="532" t="s">
        <v>26</v>
      </c>
      <c r="D7217" s="533">
        <v>18.989000000000001</v>
      </c>
      <c r="E7217" s="534"/>
      <c r="F7217" s="535" t="s">
        <v>16</v>
      </c>
      <c r="G7217" s="536"/>
      <c r="H7217" s="535" t="s">
        <v>2565</v>
      </c>
      <c r="I7217" s="537"/>
      <c r="J7217" s="538"/>
      <c r="K7217" s="531"/>
      <c r="L7217" s="535" t="s">
        <v>265</v>
      </c>
      <c r="M7217" s="535">
        <v>19042.120000000003</v>
      </c>
      <c r="N7217" s="539">
        <v>0.41666666666666669</v>
      </c>
      <c r="O7217" s="897" t="s">
        <v>2567</v>
      </c>
      <c r="P7217" s="867" t="s">
        <v>2586</v>
      </c>
    </row>
    <row r="7218" spans="1:16" ht="19.5" thickBot="1" x14ac:dyDescent="0.3">
      <c r="A7218" s="1010"/>
      <c r="B7218" s="798" t="s">
        <v>2525</v>
      </c>
      <c r="C7218" s="799" t="s">
        <v>26</v>
      </c>
      <c r="D7218" s="800">
        <v>2.5499999999999998</v>
      </c>
      <c r="E7218" s="800"/>
      <c r="F7218" s="801" t="s">
        <v>16</v>
      </c>
      <c r="G7218" s="802"/>
      <c r="H7218" s="801" t="s">
        <v>2565</v>
      </c>
      <c r="I7218" s="801"/>
      <c r="J7218" s="803"/>
      <c r="K7218" s="848"/>
      <c r="L7218" s="801" t="s">
        <v>265</v>
      </c>
      <c r="M7218" s="801">
        <v>2551.5</v>
      </c>
      <c r="N7218" s="804">
        <v>0.41666666666666669</v>
      </c>
      <c r="O7218" s="897" t="s">
        <v>2584</v>
      </c>
    </row>
    <row r="7219" spans="1:16" ht="19.5" thickBot="1" x14ac:dyDescent="0.3">
      <c r="A7219" s="513">
        <f>MAX(A7050:A7217)+1</f>
        <v>4446</v>
      </c>
      <c r="B7219" s="514" t="s">
        <v>2546</v>
      </c>
      <c r="C7219" s="515" t="s">
        <v>47</v>
      </c>
      <c r="D7219" s="516">
        <v>13.638</v>
      </c>
      <c r="E7219" s="517"/>
      <c r="F7219" s="518" t="s">
        <v>30</v>
      </c>
      <c r="G7219" s="519"/>
      <c r="H7219" s="518" t="s">
        <v>2565</v>
      </c>
      <c r="I7219" s="520"/>
      <c r="J7219" s="521"/>
      <c r="K7219" s="514"/>
      <c r="L7219" s="518" t="s">
        <v>28</v>
      </c>
      <c r="M7219" s="518">
        <v>13638.64</v>
      </c>
      <c r="N7219" s="522">
        <v>0.41666666666666669</v>
      </c>
      <c r="O7219" s="897" t="s">
        <v>2569</v>
      </c>
    </row>
    <row r="7220" spans="1:16" ht="19.5" thickBot="1" x14ac:dyDescent="0.3">
      <c r="A7220" s="503">
        <f t="shared" ref="A7220:A7251" si="220">MAX(A7051:A7219)+1</f>
        <v>4447</v>
      </c>
      <c r="B7220" s="504" t="s">
        <v>2546</v>
      </c>
      <c r="C7220" s="505" t="s">
        <v>26</v>
      </c>
      <c r="D7220" s="506">
        <v>20.817</v>
      </c>
      <c r="E7220" s="507"/>
      <c r="F7220" s="508" t="s">
        <v>16</v>
      </c>
      <c r="G7220" s="509"/>
      <c r="H7220" s="508" t="s">
        <v>2568</v>
      </c>
      <c r="I7220" s="510"/>
      <c r="J7220" s="511"/>
      <c r="K7220" s="504"/>
      <c r="L7220" s="508" t="s">
        <v>265</v>
      </c>
      <c r="M7220" s="508">
        <v>21025.500000000004</v>
      </c>
      <c r="N7220" s="512">
        <v>0.375</v>
      </c>
      <c r="O7220" s="897" t="s">
        <v>2570</v>
      </c>
    </row>
    <row r="7221" spans="1:16" ht="19.5" thickBot="1" x14ac:dyDescent="0.3">
      <c r="A7221" s="513">
        <f t="shared" si="220"/>
        <v>4448</v>
      </c>
      <c r="B7221" s="514" t="s">
        <v>2546</v>
      </c>
      <c r="C7221" s="515" t="s">
        <v>24</v>
      </c>
      <c r="D7221" s="516">
        <v>17.606999999999999</v>
      </c>
      <c r="E7221" s="517"/>
      <c r="F7221" s="518" t="s">
        <v>16</v>
      </c>
      <c r="G7221" s="519"/>
      <c r="H7221" s="518" t="s">
        <v>2568</v>
      </c>
      <c r="I7221" s="520"/>
      <c r="J7221" s="521"/>
      <c r="K7221" s="514"/>
      <c r="L7221" s="518" t="s">
        <v>28</v>
      </c>
      <c r="M7221" s="518">
        <v>17783.120000000003</v>
      </c>
      <c r="N7221" s="522">
        <v>0.41666666666666669</v>
      </c>
      <c r="O7221" s="897" t="s">
        <v>2571</v>
      </c>
    </row>
    <row r="7222" spans="1:16" ht="19.5" thickBot="1" x14ac:dyDescent="0.3">
      <c r="A7222" s="503">
        <f t="shared" si="220"/>
        <v>4449</v>
      </c>
      <c r="B7222" s="504" t="s">
        <v>2546</v>
      </c>
      <c r="C7222" s="505" t="s">
        <v>23</v>
      </c>
      <c r="D7222" s="506">
        <v>17.388999999999999</v>
      </c>
      <c r="E7222" s="507"/>
      <c r="F7222" s="508" t="s">
        <v>16</v>
      </c>
      <c r="G7222" s="509"/>
      <c r="H7222" s="508" t="s">
        <v>2568</v>
      </c>
      <c r="I7222" s="510"/>
      <c r="J7222" s="511"/>
      <c r="K7222" s="504"/>
      <c r="L7222" s="508" t="s">
        <v>28</v>
      </c>
      <c r="M7222" s="508">
        <v>17540.11</v>
      </c>
      <c r="N7222" s="512">
        <v>0.45833333333333331</v>
      </c>
      <c r="O7222" s="897" t="s">
        <v>2572</v>
      </c>
    </row>
    <row r="7223" spans="1:16" ht="19.5" thickBot="1" x14ac:dyDescent="0.3">
      <c r="A7223" s="997">
        <f t="shared" si="220"/>
        <v>4450</v>
      </c>
      <c r="B7223" s="573" t="s">
        <v>2546</v>
      </c>
      <c r="C7223" s="574" t="s">
        <v>47</v>
      </c>
      <c r="D7223" s="575">
        <v>17.614999999999998</v>
      </c>
      <c r="E7223" s="576"/>
      <c r="F7223" s="577" t="s">
        <v>16</v>
      </c>
      <c r="G7223" s="998"/>
      <c r="H7223" s="577" t="s">
        <v>2568</v>
      </c>
      <c r="I7223" s="579"/>
      <c r="J7223" s="580"/>
      <c r="K7223" s="573"/>
      <c r="L7223" s="577" t="s">
        <v>28</v>
      </c>
      <c r="M7223" s="577">
        <v>17846.140000000003</v>
      </c>
      <c r="N7223" s="581">
        <v>0.5</v>
      </c>
      <c r="O7223" s="897" t="s">
        <v>2573</v>
      </c>
    </row>
    <row r="7224" spans="1:16" ht="19.5" thickBot="1" x14ac:dyDescent="0.3">
      <c r="A7224" s="503">
        <f t="shared" si="220"/>
        <v>4451</v>
      </c>
      <c r="B7224" s="504" t="s">
        <v>2525</v>
      </c>
      <c r="C7224" s="505" t="s">
        <v>26</v>
      </c>
      <c r="D7224" s="506">
        <v>15.326000000000001</v>
      </c>
      <c r="E7224" s="507"/>
      <c r="F7224" s="508" t="s">
        <v>30</v>
      </c>
      <c r="G7224" s="509"/>
      <c r="H7224" s="508" t="s">
        <v>2568</v>
      </c>
      <c r="I7224" s="510"/>
      <c r="J7224" s="511"/>
      <c r="K7224" s="504"/>
      <c r="L7224" s="508" t="s">
        <v>265</v>
      </c>
      <c r="M7224" s="508">
        <v>15326.64</v>
      </c>
      <c r="N7224" s="512">
        <v>0.375</v>
      </c>
      <c r="O7224" s="897" t="s">
        <v>2588</v>
      </c>
    </row>
    <row r="7225" spans="1:16" x14ac:dyDescent="0.25">
      <c r="A7225" s="1017">
        <f t="shared" si="220"/>
        <v>4452</v>
      </c>
      <c r="B7225" s="479" t="s">
        <v>2525</v>
      </c>
      <c r="C7225" s="480" t="s">
        <v>1382</v>
      </c>
      <c r="D7225" s="481">
        <v>12.715</v>
      </c>
      <c r="E7225" s="482"/>
      <c r="F7225" s="483" t="s">
        <v>16</v>
      </c>
      <c r="G7225" s="999"/>
      <c r="H7225" s="483" t="s">
        <v>2568</v>
      </c>
      <c r="I7225" s="484"/>
      <c r="J7225" s="485"/>
      <c r="K7225" s="479"/>
      <c r="L7225" s="483" t="s">
        <v>266</v>
      </c>
      <c r="M7225" s="483">
        <v>12825.84</v>
      </c>
      <c r="N7225" s="486">
        <v>0.54166666666666663</v>
      </c>
      <c r="O7225" s="897" t="s">
        <v>2594</v>
      </c>
    </row>
    <row r="7226" spans="1:16" ht="19.5" thickBot="1" x14ac:dyDescent="0.3">
      <c r="A7226" s="1018"/>
      <c r="B7226" s="645" t="s">
        <v>2525</v>
      </c>
      <c r="C7226" s="646" t="s">
        <v>981</v>
      </c>
      <c r="D7226" s="647">
        <v>4.2160000000000002</v>
      </c>
      <c r="E7226" s="648"/>
      <c r="F7226" s="649" t="s">
        <v>16</v>
      </c>
      <c r="G7226" s="1002"/>
      <c r="H7226" s="649" t="s">
        <v>2568</v>
      </c>
      <c r="I7226" s="651"/>
      <c r="J7226" s="652"/>
      <c r="K7226" s="645"/>
      <c r="L7226" s="649" t="s">
        <v>266</v>
      </c>
      <c r="M7226" s="649">
        <v>4217.8600000000006</v>
      </c>
      <c r="N7226" s="653">
        <v>0.54166666666666663</v>
      </c>
      <c r="O7226" s="897" t="s">
        <v>2595</v>
      </c>
    </row>
    <row r="7227" spans="1:16" x14ac:dyDescent="0.25">
      <c r="A7227" s="1011">
        <f t="shared" si="220"/>
        <v>4453</v>
      </c>
      <c r="B7227" s="531" t="s">
        <v>2525</v>
      </c>
      <c r="C7227" s="532" t="s">
        <v>41</v>
      </c>
      <c r="D7227" s="533">
        <v>3.7850000000000001</v>
      </c>
      <c r="E7227" s="534"/>
      <c r="F7227" s="535" t="s">
        <v>16</v>
      </c>
      <c r="G7227" s="536"/>
      <c r="H7227" s="535" t="s">
        <v>2568</v>
      </c>
      <c r="I7227" s="537"/>
      <c r="J7227" s="538"/>
      <c r="K7227" s="531"/>
      <c r="L7227" s="535" t="s">
        <v>266</v>
      </c>
      <c r="M7227" s="535">
        <v>3859.44</v>
      </c>
      <c r="N7227" s="539">
        <v>0.58333333333333337</v>
      </c>
      <c r="O7227" s="897" t="s">
        <v>2598</v>
      </c>
    </row>
    <row r="7228" spans="1:16" x14ac:dyDescent="0.25">
      <c r="A7228" s="1013"/>
      <c r="B7228" s="563" t="s">
        <v>2525</v>
      </c>
      <c r="C7228" s="564" t="s">
        <v>480</v>
      </c>
      <c r="D7228" s="565">
        <v>9.3000000000000007</v>
      </c>
      <c r="E7228" s="566"/>
      <c r="F7228" s="567" t="s">
        <v>16</v>
      </c>
      <c r="G7228" s="568"/>
      <c r="H7228" s="567" t="s">
        <v>2568</v>
      </c>
      <c r="I7228" s="569"/>
      <c r="J7228" s="570"/>
      <c r="K7228" s="563"/>
      <c r="L7228" s="567" t="s">
        <v>266</v>
      </c>
      <c r="M7228" s="567">
        <v>9427.0800000000017</v>
      </c>
      <c r="N7228" s="571">
        <v>0.58333333333333337</v>
      </c>
      <c r="O7228" s="897" t="s">
        <v>2596</v>
      </c>
    </row>
    <row r="7229" spans="1:16" ht="19.5" thickBot="1" x14ac:dyDescent="0.3">
      <c r="A7229" s="1012"/>
      <c r="B7229" s="636" t="s">
        <v>2525</v>
      </c>
      <c r="C7229" s="637" t="s">
        <v>32</v>
      </c>
      <c r="D7229" s="638">
        <v>1.657</v>
      </c>
      <c r="E7229" s="639"/>
      <c r="F7229" s="640" t="s">
        <v>16</v>
      </c>
      <c r="G7229" s="1000" t="s">
        <v>1702</v>
      </c>
      <c r="H7229" s="640" t="s">
        <v>2568</v>
      </c>
      <c r="I7229" s="642"/>
      <c r="J7229" s="643"/>
      <c r="K7229" s="636"/>
      <c r="L7229" s="640" t="s">
        <v>266</v>
      </c>
      <c r="M7229" s="640">
        <v>1657</v>
      </c>
      <c r="N7229" s="644">
        <v>0.58333333333333337</v>
      </c>
      <c r="O7229" s="897" t="s">
        <v>2597</v>
      </c>
      <c r="P7229" s="952"/>
    </row>
    <row r="7230" spans="1:16" x14ac:dyDescent="0.25">
      <c r="A7230" s="1017">
        <f t="shared" si="220"/>
        <v>4454</v>
      </c>
      <c r="B7230" s="479" t="s">
        <v>2525</v>
      </c>
      <c r="C7230" s="480" t="s">
        <v>840</v>
      </c>
      <c r="D7230" s="481">
        <v>15.624000000000001</v>
      </c>
      <c r="E7230" s="482"/>
      <c r="F7230" s="483" t="s">
        <v>16</v>
      </c>
      <c r="G7230" s="999"/>
      <c r="H7230" s="483" t="s">
        <v>2568</v>
      </c>
      <c r="I7230" s="484"/>
      <c r="J7230" s="485"/>
      <c r="K7230" s="479"/>
      <c r="L7230" s="483" t="s">
        <v>266</v>
      </c>
      <c r="M7230" s="483">
        <v>15748.080000000004</v>
      </c>
      <c r="N7230" s="486">
        <v>0.625</v>
      </c>
      <c r="O7230" s="897" t="s">
        <v>2610</v>
      </c>
    </row>
    <row r="7231" spans="1:16" ht="19.5" thickBot="1" x14ac:dyDescent="0.3">
      <c r="A7231" s="1018"/>
      <c r="B7231" s="645" t="s">
        <v>2525</v>
      </c>
      <c r="C7231" s="646" t="s">
        <v>840</v>
      </c>
      <c r="D7231" s="647">
        <v>4.5</v>
      </c>
      <c r="E7231" s="648"/>
      <c r="F7231" s="649" t="s">
        <v>16</v>
      </c>
      <c r="G7231" s="1002" t="s">
        <v>2299</v>
      </c>
      <c r="H7231" s="649" t="s">
        <v>2568</v>
      </c>
      <c r="I7231" s="651"/>
      <c r="J7231" s="652"/>
      <c r="K7231" s="645"/>
      <c r="L7231" s="649" t="s">
        <v>266</v>
      </c>
      <c r="M7231" s="649">
        <v>4500</v>
      </c>
      <c r="N7231" s="653">
        <v>0.625</v>
      </c>
      <c r="O7231" s="897" t="s">
        <v>2611</v>
      </c>
    </row>
    <row r="7232" spans="1:16" x14ac:dyDescent="0.25">
      <c r="A7232" s="1011">
        <f t="shared" si="220"/>
        <v>4455</v>
      </c>
      <c r="B7232" s="531" t="s">
        <v>2525</v>
      </c>
      <c r="C7232" s="532" t="s">
        <v>41</v>
      </c>
      <c r="D7232" s="533">
        <v>2</v>
      </c>
      <c r="E7232" s="534"/>
      <c r="F7232" s="535" t="s">
        <v>16</v>
      </c>
      <c r="G7232" s="536" t="s">
        <v>2299</v>
      </c>
      <c r="H7232" s="535" t="s">
        <v>2568</v>
      </c>
      <c r="I7232" s="537"/>
      <c r="J7232" s="538"/>
      <c r="K7232" s="531"/>
      <c r="L7232" s="535" t="s">
        <v>266</v>
      </c>
      <c r="M7232" s="535">
        <v>2004.6</v>
      </c>
      <c r="N7232" s="539">
        <v>0.66666666666666663</v>
      </c>
      <c r="O7232" s="897" t="s">
        <v>2607</v>
      </c>
    </row>
    <row r="7233" spans="1:16" x14ac:dyDescent="0.25">
      <c r="A7233" s="1013"/>
      <c r="B7233" s="563" t="s">
        <v>2525</v>
      </c>
      <c r="C7233" s="564" t="s">
        <v>1382</v>
      </c>
      <c r="D7233" s="565">
        <v>4</v>
      </c>
      <c r="E7233" s="566"/>
      <c r="F7233" s="567" t="s">
        <v>16</v>
      </c>
      <c r="G7233" s="568" t="s">
        <v>2299</v>
      </c>
      <c r="H7233" s="567" t="s">
        <v>2568</v>
      </c>
      <c r="I7233" s="569"/>
      <c r="J7233" s="570"/>
      <c r="K7233" s="563"/>
      <c r="L7233" s="567" t="s">
        <v>266</v>
      </c>
      <c r="M7233" s="567">
        <v>4005</v>
      </c>
      <c r="N7233" s="571">
        <v>0.66666666666666663</v>
      </c>
      <c r="O7233" s="897" t="s">
        <v>2605</v>
      </c>
    </row>
    <row r="7234" spans="1:16" x14ac:dyDescent="0.25">
      <c r="A7234" s="1013"/>
      <c r="B7234" s="563" t="s">
        <v>2525</v>
      </c>
      <c r="C7234" s="564" t="s">
        <v>480</v>
      </c>
      <c r="D7234" s="565">
        <v>1</v>
      </c>
      <c r="E7234" s="566"/>
      <c r="F7234" s="567" t="s">
        <v>16</v>
      </c>
      <c r="G7234" s="568" t="s">
        <v>2299</v>
      </c>
      <c r="H7234" s="567" t="s">
        <v>2568</v>
      </c>
      <c r="I7234" s="569"/>
      <c r="J7234" s="570"/>
      <c r="K7234" s="563"/>
      <c r="L7234" s="567" t="s">
        <v>266</v>
      </c>
      <c r="M7234" s="567">
        <v>1008</v>
      </c>
      <c r="N7234" s="571">
        <v>0.66666666666666663</v>
      </c>
      <c r="O7234" s="897" t="s">
        <v>2606</v>
      </c>
    </row>
    <row r="7235" spans="1:16" x14ac:dyDescent="0.25">
      <c r="A7235" s="1013"/>
      <c r="B7235" s="563" t="s">
        <v>2525</v>
      </c>
      <c r="C7235" s="564" t="s">
        <v>981</v>
      </c>
      <c r="D7235" s="565">
        <v>0.998</v>
      </c>
      <c r="E7235" s="566"/>
      <c r="F7235" s="567" t="s">
        <v>16</v>
      </c>
      <c r="G7235" s="568" t="s">
        <v>2299</v>
      </c>
      <c r="H7235" s="567" t="s">
        <v>2568</v>
      </c>
      <c r="I7235" s="569"/>
      <c r="J7235" s="570"/>
      <c r="K7235" s="563"/>
      <c r="L7235" s="567" t="s">
        <v>266</v>
      </c>
      <c r="M7235" s="567">
        <v>998.4</v>
      </c>
      <c r="N7235" s="571">
        <v>0.66666666666666663</v>
      </c>
      <c r="O7235" s="897" t="s">
        <v>2609</v>
      </c>
    </row>
    <row r="7236" spans="1:16" ht="19.5" thickBot="1" x14ac:dyDescent="0.3">
      <c r="A7236" s="1012"/>
      <c r="B7236" s="636" t="s">
        <v>2525</v>
      </c>
      <c r="C7236" s="637" t="s">
        <v>32</v>
      </c>
      <c r="D7236" s="638">
        <v>2.496</v>
      </c>
      <c r="E7236" s="639"/>
      <c r="F7236" s="640" t="s">
        <v>16</v>
      </c>
      <c r="G7236" s="1000" t="s">
        <v>2589</v>
      </c>
      <c r="H7236" s="640" t="s">
        <v>2568</v>
      </c>
      <c r="I7236" s="642"/>
      <c r="J7236" s="643"/>
      <c r="K7236" s="636"/>
      <c r="L7236" s="640" t="s">
        <v>266</v>
      </c>
      <c r="M7236" s="640">
        <v>2496</v>
      </c>
      <c r="N7236" s="644">
        <v>0.66666666666666663</v>
      </c>
      <c r="O7236" s="897" t="s">
        <v>2608</v>
      </c>
    </row>
    <row r="7237" spans="1:16" ht="19.5" thickBot="1" x14ac:dyDescent="0.3">
      <c r="A7237" s="513">
        <f t="shared" si="220"/>
        <v>4456</v>
      </c>
      <c r="B7237" s="514" t="s">
        <v>2525</v>
      </c>
      <c r="C7237" s="515" t="s">
        <v>26</v>
      </c>
      <c r="D7237" s="516">
        <v>17.407</v>
      </c>
      <c r="E7237" s="517"/>
      <c r="F7237" s="518" t="s">
        <v>16</v>
      </c>
      <c r="G7237" s="519"/>
      <c r="H7237" s="518" t="s">
        <v>2590</v>
      </c>
      <c r="I7237" s="520"/>
      <c r="J7237" s="521"/>
      <c r="K7237" s="514"/>
      <c r="L7237" s="518" t="s">
        <v>265</v>
      </c>
      <c r="M7237" s="518">
        <v>17582.64</v>
      </c>
      <c r="N7237" s="522">
        <v>4.1666666666666664E-2</v>
      </c>
      <c r="O7237" s="897" t="s">
        <v>2591</v>
      </c>
    </row>
    <row r="7238" spans="1:16" x14ac:dyDescent="0.25">
      <c r="A7238" s="1011">
        <f t="shared" si="220"/>
        <v>4457</v>
      </c>
      <c r="B7238" s="531" t="s">
        <v>2525</v>
      </c>
      <c r="C7238" s="532" t="s">
        <v>26</v>
      </c>
      <c r="D7238" s="533">
        <v>15.430999999999999</v>
      </c>
      <c r="E7238" s="534"/>
      <c r="F7238" s="535" t="s">
        <v>16</v>
      </c>
      <c r="G7238" s="536"/>
      <c r="H7238" s="535" t="s">
        <v>2590</v>
      </c>
      <c r="I7238" s="537"/>
      <c r="J7238" s="538"/>
      <c r="K7238" s="531"/>
      <c r="L7238" s="535" t="s">
        <v>265</v>
      </c>
      <c r="M7238" s="535">
        <v>15567.38</v>
      </c>
      <c r="N7238" s="539">
        <v>8.3333333333333329E-2</v>
      </c>
      <c r="O7238" s="897" t="s">
        <v>2592</v>
      </c>
    </row>
    <row r="7239" spans="1:16" ht="19.5" thickBot="1" x14ac:dyDescent="0.3">
      <c r="A7239" s="1012"/>
      <c r="B7239" s="636" t="s">
        <v>2525</v>
      </c>
      <c r="C7239" s="637" t="s">
        <v>952</v>
      </c>
      <c r="D7239" s="638">
        <v>2.246</v>
      </c>
      <c r="E7239" s="639"/>
      <c r="F7239" s="640" t="s">
        <v>16</v>
      </c>
      <c r="G7239" s="1000"/>
      <c r="H7239" s="640" t="s">
        <v>2590</v>
      </c>
      <c r="I7239" s="642"/>
      <c r="J7239" s="643"/>
      <c r="K7239" s="636"/>
      <c r="L7239" s="640" t="s">
        <v>265</v>
      </c>
      <c r="M7239" s="640">
        <v>2315.7800000000007</v>
      </c>
      <c r="N7239" s="644">
        <v>8.3333333333333329E-2</v>
      </c>
      <c r="O7239" s="897" t="s">
        <v>2593</v>
      </c>
    </row>
    <row r="7240" spans="1:16" ht="56.25" x14ac:dyDescent="0.25">
      <c r="A7240" s="1017">
        <f t="shared" si="220"/>
        <v>4458</v>
      </c>
      <c r="B7240" s="479" t="s">
        <v>2525</v>
      </c>
      <c r="C7240" s="480" t="s">
        <v>587</v>
      </c>
      <c r="D7240" s="481">
        <v>0.96399999999999997</v>
      </c>
      <c r="E7240" s="482"/>
      <c r="F7240" s="483" t="s">
        <v>16</v>
      </c>
      <c r="G7240" s="999" t="s">
        <v>794</v>
      </c>
      <c r="H7240" s="483" t="s">
        <v>2590</v>
      </c>
      <c r="I7240" s="484"/>
      <c r="J7240" s="485"/>
      <c r="K7240" s="479"/>
      <c r="L7240" s="483" t="s">
        <v>28</v>
      </c>
      <c r="M7240" s="483">
        <v>964.8</v>
      </c>
      <c r="N7240" s="486">
        <v>0.41666666666666669</v>
      </c>
      <c r="O7240" s="897" t="s">
        <v>2600</v>
      </c>
    </row>
    <row r="7241" spans="1:16" x14ac:dyDescent="0.25">
      <c r="A7241" s="1022"/>
      <c r="B7241" s="523" t="s">
        <v>2525</v>
      </c>
      <c r="C7241" s="524" t="s">
        <v>587</v>
      </c>
      <c r="D7241" s="525">
        <v>7.2750000000000004</v>
      </c>
      <c r="E7241" s="526"/>
      <c r="F7241" s="527" t="s">
        <v>16</v>
      </c>
      <c r="G7241" s="561" t="s">
        <v>47</v>
      </c>
      <c r="H7241" s="527" t="s">
        <v>2590</v>
      </c>
      <c r="I7241" s="528"/>
      <c r="J7241" s="529"/>
      <c r="K7241" s="523"/>
      <c r="L7241" s="527" t="s">
        <v>28</v>
      </c>
      <c r="M7241" s="527">
        <v>7275.92</v>
      </c>
      <c r="N7241" s="530">
        <v>0.41666666666666669</v>
      </c>
      <c r="O7241" s="897" t="s">
        <v>2601</v>
      </c>
      <c r="P7241" s="952"/>
    </row>
    <row r="7242" spans="1:16" ht="19.5" thickBot="1" x14ac:dyDescent="0.3">
      <c r="A7242" s="1018"/>
      <c r="B7242" s="645" t="s">
        <v>2525</v>
      </c>
      <c r="C7242" s="646" t="s">
        <v>47</v>
      </c>
      <c r="D7242" s="647">
        <v>9.3019999999999996</v>
      </c>
      <c r="E7242" s="648"/>
      <c r="F7242" s="649" t="s">
        <v>16</v>
      </c>
      <c r="G7242" s="1002"/>
      <c r="H7242" s="649" t="s">
        <v>2590</v>
      </c>
      <c r="I7242" s="651"/>
      <c r="J7242" s="652"/>
      <c r="K7242" s="645"/>
      <c r="L7242" s="649" t="s">
        <v>28</v>
      </c>
      <c r="M7242" s="649">
        <v>9418.86</v>
      </c>
      <c r="N7242" s="653">
        <v>0.41666666666666669</v>
      </c>
      <c r="O7242" s="897" t="s">
        <v>2599</v>
      </c>
    </row>
    <row r="7243" spans="1:16" x14ac:dyDescent="0.25">
      <c r="A7243" s="1011">
        <f t="shared" si="220"/>
        <v>4459</v>
      </c>
      <c r="B7243" s="531" t="s">
        <v>2525</v>
      </c>
      <c r="C7243" s="532" t="s">
        <v>913</v>
      </c>
      <c r="D7243" s="533">
        <v>1.55</v>
      </c>
      <c r="E7243" s="534"/>
      <c r="F7243" s="535" t="s">
        <v>16</v>
      </c>
      <c r="G7243" s="536"/>
      <c r="H7243" s="535" t="s">
        <v>2590</v>
      </c>
      <c r="I7243" s="537"/>
      <c r="J7243" s="538"/>
      <c r="K7243" s="531"/>
      <c r="L7243" s="535" t="s">
        <v>266</v>
      </c>
      <c r="M7243" s="535">
        <v>1556.3</v>
      </c>
      <c r="N7243" s="539">
        <v>0.45833333333333331</v>
      </c>
      <c r="O7243" s="897" t="s">
        <v>2603</v>
      </c>
    </row>
    <row r="7244" spans="1:16" ht="19.5" thickBot="1" x14ac:dyDescent="0.3">
      <c r="A7244" s="1012"/>
      <c r="B7244" s="636" t="s">
        <v>2525</v>
      </c>
      <c r="C7244" s="637" t="s">
        <v>23</v>
      </c>
      <c r="D7244" s="638">
        <v>16.050999999999998</v>
      </c>
      <c r="E7244" s="639"/>
      <c r="F7244" s="640" t="s">
        <v>16</v>
      </c>
      <c r="G7244" s="1000"/>
      <c r="H7244" s="640" t="s">
        <v>2590</v>
      </c>
      <c r="I7244" s="642"/>
      <c r="J7244" s="643"/>
      <c r="K7244" s="636"/>
      <c r="L7244" s="640" t="s">
        <v>28</v>
      </c>
      <c r="M7244" s="640">
        <v>16165.960000000001</v>
      </c>
      <c r="N7244" s="644">
        <v>0.45833333333333331</v>
      </c>
      <c r="O7244" s="897" t="s">
        <v>2602</v>
      </c>
    </row>
    <row r="7245" spans="1:16" ht="19.5" thickBot="1" x14ac:dyDescent="0.3">
      <c r="A7245" s="513">
        <f t="shared" si="220"/>
        <v>4460</v>
      </c>
      <c r="B7245" s="514" t="s">
        <v>2525</v>
      </c>
      <c r="C7245" s="515" t="s">
        <v>15</v>
      </c>
      <c r="D7245" s="516">
        <v>17.529</v>
      </c>
      <c r="E7245" s="517"/>
      <c r="F7245" s="518" t="s">
        <v>16</v>
      </c>
      <c r="G7245" s="519"/>
      <c r="H7245" s="518" t="s">
        <v>2590</v>
      </c>
      <c r="I7245" s="520"/>
      <c r="J7245" s="521"/>
      <c r="K7245" s="514"/>
      <c r="L7245" s="518" t="s">
        <v>28</v>
      </c>
      <c r="M7245" s="518">
        <v>17727.21</v>
      </c>
      <c r="N7245" s="522">
        <v>0.5</v>
      </c>
      <c r="O7245" s="897" t="s">
        <v>2604</v>
      </c>
    </row>
    <row r="7246" spans="1:16" x14ac:dyDescent="0.25">
      <c r="A7246" s="676">
        <f t="shared" si="220"/>
        <v>4461</v>
      </c>
      <c r="B7246" s="676"/>
      <c r="C7246" s="473"/>
      <c r="D7246" s="474"/>
      <c r="E7246" s="475"/>
      <c r="F7246" s="676"/>
      <c r="G7246" s="476"/>
      <c r="H7246" s="676"/>
      <c r="I7246" s="477"/>
      <c r="J7246" s="1001"/>
      <c r="K7246" s="676"/>
      <c r="L7246" s="676"/>
      <c r="M7246" s="676"/>
      <c r="N7246" s="676"/>
    </row>
    <row r="7247" spans="1:16" x14ac:dyDescent="0.25">
      <c r="A7247" s="676">
        <f t="shared" si="220"/>
        <v>4462</v>
      </c>
      <c r="B7247" s="676"/>
      <c r="C7247" s="473"/>
      <c r="D7247" s="474"/>
      <c r="E7247" s="475"/>
      <c r="F7247" s="676"/>
      <c r="G7247" s="476"/>
      <c r="H7247" s="676"/>
      <c r="I7247" s="477"/>
      <c r="J7247" s="1001"/>
      <c r="K7247" s="676"/>
      <c r="L7247" s="676"/>
      <c r="M7247" s="676"/>
      <c r="N7247" s="676"/>
    </row>
    <row r="7248" spans="1:16" x14ac:dyDescent="0.25">
      <c r="A7248" s="676">
        <f t="shared" si="220"/>
        <v>4463</v>
      </c>
      <c r="B7248" s="676"/>
      <c r="C7248" s="473"/>
      <c r="D7248" s="474"/>
      <c r="E7248" s="475"/>
      <c r="F7248" s="676"/>
      <c r="G7248" s="476"/>
      <c r="H7248" s="676"/>
      <c r="I7248" s="477"/>
      <c r="J7248" s="1001"/>
      <c r="K7248" s="676"/>
      <c r="L7248" s="676"/>
      <c r="M7248" s="676"/>
      <c r="N7248" s="676"/>
    </row>
    <row r="7249" spans="1:14" x14ac:dyDescent="0.25">
      <c r="A7249" s="676">
        <f t="shared" si="220"/>
        <v>4464</v>
      </c>
      <c r="B7249" s="676"/>
      <c r="C7249" s="473"/>
      <c r="D7249" s="474"/>
      <c r="E7249" s="475"/>
      <c r="F7249" s="676"/>
      <c r="G7249" s="476"/>
      <c r="H7249" s="676"/>
      <c r="I7249" s="477"/>
      <c r="J7249" s="1001"/>
      <c r="K7249" s="676"/>
      <c r="L7249" s="676"/>
      <c r="M7249" s="676"/>
      <c r="N7249" s="676"/>
    </row>
    <row r="7250" spans="1:14" x14ac:dyDescent="0.25">
      <c r="A7250" s="676">
        <f t="shared" si="220"/>
        <v>4465</v>
      </c>
      <c r="B7250" s="676"/>
      <c r="C7250" s="473"/>
      <c r="D7250" s="474"/>
      <c r="E7250" s="475"/>
      <c r="F7250" s="676"/>
      <c r="G7250" s="476"/>
      <c r="H7250" s="676"/>
      <c r="I7250" s="477"/>
      <c r="J7250" s="1001"/>
      <c r="K7250" s="676"/>
      <c r="L7250" s="676"/>
      <c r="M7250" s="676"/>
      <c r="N7250" s="676"/>
    </row>
    <row r="7251" spans="1:14" x14ac:dyDescent="0.25">
      <c r="A7251" s="676">
        <f t="shared" si="220"/>
        <v>4466</v>
      </c>
      <c r="B7251" s="676"/>
      <c r="C7251" s="473"/>
      <c r="D7251" s="474"/>
      <c r="E7251" s="475"/>
      <c r="F7251" s="676"/>
      <c r="G7251" s="476"/>
      <c r="H7251" s="676"/>
      <c r="I7251" s="477"/>
      <c r="J7251" s="1001"/>
      <c r="K7251" s="676"/>
      <c r="L7251" s="676"/>
      <c r="M7251" s="676"/>
      <c r="N7251" s="676"/>
    </row>
  </sheetData>
  <autoFilter ref="A2:R7236" xr:uid="{9E4C531E-AD50-422A-AC7C-8C5AF4C19268}">
    <filterColumn colId="10">
      <filters blank="1"/>
    </filterColumn>
  </autoFilter>
  <mergeCells count="1915">
    <mergeCell ref="A7225:A7226"/>
    <mergeCell ref="A7227:A7229"/>
    <mergeCell ref="A7230:A7231"/>
    <mergeCell ref="A7232:A7236"/>
    <mergeCell ref="A7238:A7239"/>
    <mergeCell ref="A7240:A7242"/>
    <mergeCell ref="A7243:A7244"/>
    <mergeCell ref="A7217:A7218"/>
    <mergeCell ref="A7204:A7205"/>
    <mergeCell ref="G7204:G7205"/>
    <mergeCell ref="A7206:A7207"/>
    <mergeCell ref="G7206:G7207"/>
    <mergeCell ref="A7199:A7200"/>
    <mergeCell ref="A7201:A7203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2026-09-10T13:59:35Z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