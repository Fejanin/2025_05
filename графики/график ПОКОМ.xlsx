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9049C01-4CBA-4635-89A3-54292DA01C5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Лист1!$A$2:$R$7289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218" i="1" l="1"/>
  <c r="E7216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7" i="1" s="1"/>
  <c r="A7251" i="1" s="1"/>
  <c r="A7254" i="1" l="1"/>
  <c r="A7256" i="1" s="1"/>
  <c r="A7257" i="1" s="1"/>
  <c r="A7259" i="1" l="1"/>
  <c r="A7263" i="1" s="1"/>
  <c r="A7265" i="1" s="1"/>
  <c r="A7266" i="1" s="1"/>
  <c r="A7267" i="1" s="1"/>
  <c r="A7269" i="1" s="1"/>
  <c r="A7270" i="1" s="1"/>
  <c r="A7271" i="1" s="1"/>
  <c r="A7272" i="1" s="1"/>
  <c r="A7273" i="1" s="1"/>
  <c r="A7275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</calcChain>
</file>

<file path=xl/sharedStrings.xml><?xml version="1.0" encoding="utf-8"?>
<sst xmlns="http://schemas.openxmlformats.org/spreadsheetml/2006/main" count="46892" uniqueCount="2673">
  <si>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</si>
  <si>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</si>
  <si>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</si>
  <si>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</si>
  <si>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</si>
  <si>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</si>
  <si>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</si>
  <si>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</si>
  <si>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</si>
  <si>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</si>
  <si>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</si>
  <si>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</si>
  <si>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</si>
  <si>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</si>
  <si>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</si>
  <si>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</si>
  <si>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</si>
  <si>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</si>
  <si>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</si>
  <si>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</si>
  <si>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</si>
  <si>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</si>
  <si>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</si>
  <si>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</si>
  <si>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</si>
  <si>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</si>
  <si>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</si>
  <si>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</si>
  <si>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</si>
  <si>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</si>
  <si>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</si>
  <si>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</si>
  <si>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</si>
  <si>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</si>
  <si>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</si>
  <si>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</si>
  <si>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</si>
  <si>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</si>
  <si>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</si>
  <si>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</si>
  <si>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</si>
  <si>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</si>
  <si>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</si>
  <si>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</si>
  <si>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</si>
  <si>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</si>
  <si>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</si>
  <si>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</si>
  <si>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</si>
  <si>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</si>
  <si>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</si>
  <si>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</si>
  <si>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</si>
  <si>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</si>
  <si>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</si>
  <si>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</si>
  <si>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</si>
  <si>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</si>
  <si>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</si>
  <si>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</si>
  <si>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</si>
  <si>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</si>
  <si>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</si>
  <si>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</si>
  <si>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</si>
  <si>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</si>
  <si>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</si>
  <si>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</si>
  <si>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</si>
  <si>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</si>
  <si>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</si>
  <si>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</si>
  <si>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</si>
  <si>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</si>
  <si>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</si>
  <si>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</si>
  <si>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</si>
  <si>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</si>
  <si>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</si>
  <si>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</si>
  <si>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</si>
  <si>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</si>
  <si>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</si>
  <si>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</si>
  <si>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</si>
  <si>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</si>
  <si>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</si>
  <si>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</si>
  <si>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</si>
  <si>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</si>
  <si>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</si>
  <si>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</si>
  <si>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</si>
  <si>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</si>
  <si>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</si>
  <si>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</si>
  <si>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</si>
  <si>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</si>
  <si>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</si>
  <si>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</si>
  <si>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</si>
  <si>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</si>
  <si>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</si>
  <si>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</si>
  <si>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</si>
  <si>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</si>
  <si>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</si>
  <si>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</si>
  <si>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</si>
  <si>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</si>
  <si>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</si>
  <si>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</si>
  <si>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</si>
  <si>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</si>
  <si>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</si>
  <si>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</si>
  <si>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</si>
  <si>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</si>
  <si>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</si>
  <si>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</si>
  <si>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</si>
  <si>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</si>
  <si>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</si>
  <si>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</si>
  <si>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</si>
  <si>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</si>
  <si>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</si>
  <si>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</si>
  <si>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</si>
  <si>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</si>
  <si>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</si>
  <si>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</si>
  <si>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</si>
  <si>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</si>
  <si>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</si>
  <si>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</si>
  <si>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</si>
  <si>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</si>
  <si>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</si>
  <si>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</si>
  <si>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</si>
  <si>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</si>
  <si>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</si>
  <si>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</si>
  <si>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</si>
  <si>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</si>
  <si>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</si>
  <si>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</si>
  <si>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</si>
  <si>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</si>
  <si>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</si>
  <si>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</si>
  <si>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</si>
  <si>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</si>
  <si>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</si>
  <si>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</si>
  <si>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</si>
  <si>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</si>
  <si>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</si>
  <si>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</si>
  <si>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</si>
  <si>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</si>
  <si>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</si>
  <si>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</si>
  <si>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</si>
  <si>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</si>
  <si>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</si>
  <si>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</si>
  <si>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</si>
  <si>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</si>
  <si>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</si>
  <si>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</si>
  <si>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</si>
  <si>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</si>
  <si>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</si>
  <si>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</si>
  <si>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</si>
  <si>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</si>
  <si>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</si>
  <si>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</si>
  <si>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</si>
  <si>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</si>
  <si>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</si>
  <si>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</si>
  <si>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</si>
  <si>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</si>
  <si>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</si>
  <si>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</si>
  <si>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</si>
  <si>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</si>
  <si>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</si>
  <si>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</si>
  <si>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</si>
  <si>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</si>
  <si>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</si>
  <si>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</si>
  <si>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</si>
  <si>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</si>
  <si>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</si>
  <si>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</si>
  <si>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</si>
  <si>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</si>
  <si>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</si>
  <si>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</si>
  <si>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</si>
  <si>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</si>
  <si>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</si>
  <si>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</si>
  <si>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</si>
  <si>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</si>
  <si>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</si>
  <si>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</si>
  <si>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</si>
  <si>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</si>
  <si>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</si>
  <si>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</si>
  <si>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</si>
  <si>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</si>
  <si>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</si>
  <si>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</si>
  <si>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</si>
  <si>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</si>
  <si>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</si>
  <si>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</si>
  <si>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</si>
  <si>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</si>
  <si>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</si>
  <si>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</si>
  <si>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</si>
  <si>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</si>
  <si>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</si>
  <si>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</si>
  <si>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</si>
  <si>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</si>
  <si>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</si>
  <si>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</si>
  <si>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</si>
  <si>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</si>
  <si>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</si>
  <si>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</si>
  <si>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</si>
  <si>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</si>
  <si>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</si>
  <si>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</si>
  <si>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</si>
  <si>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</si>
  <si>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</si>
  <si>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</si>
  <si>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</si>
  <si>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</si>
  <si>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</si>
  <si>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</si>
  <si>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</si>
  <si>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</si>
  <si>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</si>
  <si>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</si>
  <si>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</si>
  <si>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</si>
  <si>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</si>
  <si>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</si>
  <si>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</si>
  <si>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</si>
  <si>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</si>
  <si>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</si>
  <si>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</si>
  <si>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</si>
  <si>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</si>
  <si>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</si>
  <si>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</si>
  <si>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</si>
  <si>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</si>
  <si>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</si>
  <si>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</si>
  <si>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</si>
  <si>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</si>
  <si>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</si>
  <si>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</si>
  <si>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</si>
  <si>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</si>
  <si>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</si>
  <si>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</si>
  <si>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</si>
  <si>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</si>
  <si>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</si>
  <si>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</si>
  <si>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</si>
  <si>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</si>
  <si>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</si>
  <si>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</si>
  <si>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</si>
  <si>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</si>
  <si>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</si>
  <si>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</si>
  <si>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</si>
  <si>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</si>
  <si>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</si>
  <si>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</si>
  <si>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</si>
  <si>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</si>
  <si>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</si>
  <si>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</si>
  <si>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</si>
  <si>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</si>
  <si>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</si>
  <si>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</si>
  <si>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</si>
  <si>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</si>
  <si>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</si>
  <si>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</si>
  <si>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</si>
  <si>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</si>
  <si>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</si>
  <si>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</si>
  <si>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</si>
  <si>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</si>
  <si>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</si>
  <si>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</si>
  <si>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</si>
  <si>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</si>
  <si>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</si>
  <si>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</si>
  <si>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</si>
  <si>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</si>
  <si>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</si>
  <si>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</si>
  <si>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</si>
  <si>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</si>
  <si>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</si>
  <si>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</si>
  <si>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</si>
  <si>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</si>
  <si>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</si>
  <si>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</si>
  <si>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</si>
  <si>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</si>
  <si>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</si>
  <si>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</si>
  <si>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</si>
  <si>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</si>
  <si>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</si>
  <si>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</si>
  <si>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</si>
  <si>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</si>
  <si>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</si>
  <si>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</si>
  <si>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</si>
  <si>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</si>
  <si>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</si>
  <si>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</si>
  <si>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</si>
  <si>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</si>
  <si>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</si>
  <si>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</si>
  <si>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</si>
  <si>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</si>
  <si>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</si>
  <si>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</si>
  <si>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</si>
  <si>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</si>
  <si>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</si>
  <si>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</si>
  <si>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</si>
  <si>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</si>
  <si>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</si>
  <si>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</si>
  <si>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</si>
  <si>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</si>
  <si>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</si>
  <si>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</si>
  <si>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</si>
  <si>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</si>
  <si>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</si>
  <si>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</si>
  <si>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</si>
  <si>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</si>
  <si>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</si>
  <si>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</si>
  <si>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</si>
  <si>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</si>
  <si>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</si>
  <si>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</si>
  <si>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</si>
  <si>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</si>
  <si>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</si>
  <si>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</si>
  <si>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</si>
  <si>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</si>
  <si>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</si>
  <si>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</si>
  <si>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</si>
  <si>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</si>
  <si>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</si>
  <si>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</si>
  <si>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</si>
  <si>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</si>
  <si>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</si>
  <si>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</si>
  <si>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</si>
  <si>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</si>
  <si>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</si>
  <si>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</si>
  <si>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</si>
  <si>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</si>
  <si>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</si>
  <si>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</si>
  <si>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</si>
  <si>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</si>
  <si>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</si>
  <si>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</si>
  <si>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</si>
  <si>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</si>
  <si>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</si>
  <si>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</si>
  <si>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</si>
  <si>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</si>
  <si>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</si>
  <si>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</si>
  <si>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</si>
  <si>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</si>
  <si>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</si>
  <si>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</si>
  <si>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</si>
  <si>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</si>
  <si>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</si>
  <si>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</si>
  <si>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</si>
  <si>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</si>
  <si>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</si>
  <si>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</si>
  <si>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</si>
  <si>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</si>
  <si>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</si>
  <si>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</si>
  <si>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</si>
  <si>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</si>
  <si>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</si>
  <si>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</si>
  <si>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</si>
  <si>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</si>
  <si>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</si>
  <si>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</si>
  <si>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</si>
  <si>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</si>
  <si>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</si>
  <si>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</si>
  <si>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</si>
  <si>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</si>
  <si>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</si>
  <si>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</si>
  <si>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</si>
  <si>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</si>
  <si>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</si>
  <si>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</si>
  <si>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</si>
  <si>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</si>
  <si>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</si>
  <si>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</si>
  <si>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</si>
  <si>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</si>
  <si>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</si>
  <si>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</si>
  <si>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</si>
  <si>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</si>
  <si>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</si>
  <si>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</si>
  <si>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</si>
  <si>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</si>
  <si>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</si>
  <si>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</si>
  <si>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</si>
  <si>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</si>
  <si>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</si>
  <si>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</si>
  <si>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</si>
  <si>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</si>
  <si>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</si>
  <si>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</si>
  <si>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</si>
  <si>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</si>
  <si>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</si>
  <si>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</si>
  <si>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</si>
  <si>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</si>
  <si>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</si>
  <si>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</si>
  <si>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</si>
  <si>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</si>
  <si>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</si>
  <si>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</si>
  <si>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</si>
  <si>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</si>
  <si>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</si>
  <si>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</si>
  <si>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</si>
  <si>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</si>
  <si>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</si>
  <si>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</si>
  <si>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</si>
  <si>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</si>
  <si>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</si>
  <si>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</si>
  <si>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</si>
  <si>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</si>
  <si>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</si>
  <si>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</si>
  <si>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</si>
  <si>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</si>
  <si>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</si>
  <si>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</si>
  <si>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</si>
  <si>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</si>
  <si>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</si>
  <si>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</si>
  <si>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</si>
  <si>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</si>
  <si>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</si>
  <si>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</si>
  <si>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</si>
  <si>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</si>
  <si>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</si>
  <si>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</si>
  <si>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</si>
  <si>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</si>
  <si>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</si>
  <si>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</si>
  <si>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</si>
  <si>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</si>
  <si>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</si>
  <si>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</si>
  <si>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</si>
  <si>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</si>
  <si>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</si>
  <si>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</si>
  <si>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</si>
  <si>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</si>
  <si>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</si>
  <si>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</si>
  <si>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</si>
  <si>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</si>
  <si>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</si>
  <si>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</si>
  <si>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</si>
  <si>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</si>
  <si>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</si>
  <si>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</si>
  <si>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</si>
  <si>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</si>
  <si>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</si>
  <si>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</si>
  <si>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</si>
  <si>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</si>
  <si>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</si>
  <si>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</si>
  <si>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</si>
  <si>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</si>
  <si>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</si>
  <si>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</si>
  <si>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</si>
  <si>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</si>
  <si>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</si>
  <si>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</si>
  <si>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</si>
  <si>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</si>
  <si>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</si>
  <si>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</si>
  <si>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</si>
  <si>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</si>
  <si>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</si>
  <si>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</si>
  <si>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</si>
  <si>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</si>
  <si>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</si>
  <si>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</si>
  <si>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</si>
  <si>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</si>
  <si>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</si>
  <si>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</si>
  <si>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</si>
  <si>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</si>
  <si>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</si>
  <si>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</si>
  <si>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</si>
  <si>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</si>
  <si>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</si>
  <si>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</si>
  <si>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</si>
  <si>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</si>
  <si>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</si>
  <si>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</si>
  <si>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</si>
  <si>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</si>
  <si>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</si>
  <si>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</si>
  <si>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</si>
  <si>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</si>
  <si>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</si>
  <si>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</si>
  <si>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</si>
  <si>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</si>
  <si>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</si>
  <si>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</si>
  <si>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</si>
  <si>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</si>
  <si>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</si>
  <si>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</si>
  <si>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</si>
  <si>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</si>
  <si>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</si>
  <si>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</si>
  <si>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</si>
  <si>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</si>
  <si>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</si>
  <si>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</si>
  <si>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</si>
  <si>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</si>
  <si>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</si>
  <si>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</si>
  <si>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</si>
  <si>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</si>
  <si>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</si>
  <si>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</si>
  <si>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</si>
  <si>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</si>
  <si>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</si>
  <si>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</si>
  <si>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</si>
  <si>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</si>
  <si>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</si>
  <si>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</si>
  <si>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</si>
  <si>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</si>
  <si>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</si>
  <si>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</si>
  <si>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</si>
  <si>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</si>
  <si>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</si>
  <si>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</si>
  <si>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</si>
  <si>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</si>
  <si>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</si>
  <si>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</si>
  <si>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</si>
  <si>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</si>
  <si>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</si>
  <si>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</si>
  <si>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</si>
  <si>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</si>
  <si>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</si>
  <si>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</si>
  <si>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</si>
  <si>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</si>
  <si>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</si>
  <si>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</si>
  <si>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</si>
  <si>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</si>
  <si>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</si>
  <si>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</si>
  <si>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</si>
  <si>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</si>
  <si>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</si>
  <si>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</si>
  <si>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</si>
  <si>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</si>
  <si>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</si>
  <si>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</si>
  <si>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</si>
  <si>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</si>
  <si>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</si>
  <si>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</si>
  <si>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</si>
  <si>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</si>
  <si>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</si>
  <si>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</si>
  <si>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</si>
  <si>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</si>
  <si>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</si>
  <si>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</si>
  <si>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</si>
  <si>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</si>
  <si>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</si>
  <si>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</si>
  <si>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</si>
  <si>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</si>
  <si>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</si>
  <si>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</si>
  <si>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</si>
  <si>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</si>
  <si>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</si>
  <si>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</si>
  <si>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</si>
  <si>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</si>
  <si>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</si>
  <si>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</si>
  <si>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</si>
  <si>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</si>
  <si>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</si>
  <si>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</si>
  <si>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</si>
  <si>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</si>
  <si>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</si>
  <si>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</si>
  <si>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</si>
  <si>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</si>
  <si>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</si>
  <si>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</si>
  <si>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</si>
  <si>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</si>
  <si>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</si>
  <si>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</si>
  <si>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</si>
  <si>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</si>
  <si>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</si>
  <si>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</si>
  <si>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</si>
  <si>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</si>
  <si>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</si>
  <si>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</si>
  <si>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</si>
  <si>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</si>
  <si>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</si>
  <si>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</si>
  <si>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</si>
  <si>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</si>
  <si>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</si>
  <si>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</si>
  <si>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</si>
  <si>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</si>
  <si>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</si>
  <si>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</si>
  <si>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</si>
  <si>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</si>
  <si>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</si>
  <si>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</si>
  <si>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</si>
  <si>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</si>
  <si>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</si>
  <si>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</si>
  <si>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</si>
  <si>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</si>
  <si>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</si>
  <si>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</si>
  <si>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</si>
  <si>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</si>
  <si>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</si>
  <si>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</si>
  <si>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</si>
  <si>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</si>
  <si>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</si>
  <si>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</si>
  <si>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</si>
  <si>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</si>
  <si>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</si>
  <si>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</si>
  <si>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</si>
  <si>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</si>
  <si>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</si>
  <si>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</si>
  <si>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</si>
  <si>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</si>
  <si>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</si>
  <si>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</si>
  <si>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</si>
  <si>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</si>
  <si>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</si>
  <si>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</si>
  <si>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</si>
  <si>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</si>
  <si>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</si>
  <si>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</si>
  <si>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</si>
  <si>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</si>
  <si>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</si>
  <si>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</si>
  <si>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</si>
  <si>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</si>
  <si>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</si>
  <si>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</si>
  <si>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</si>
  <si>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</si>
  <si>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</si>
  <si>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</si>
  <si>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</si>
  <si>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</si>
  <si>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</si>
  <si>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</si>
  <si>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</si>
  <si>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</si>
  <si>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</si>
  <si>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</si>
  <si>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</si>
  <si>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</si>
  <si>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</si>
  <si>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</si>
  <si>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</si>
  <si>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</si>
  <si>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</si>
  <si>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</si>
  <si>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</si>
  <si>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</si>
  <si>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</si>
  <si>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</si>
  <si>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</si>
  <si>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</si>
  <si>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</si>
  <si>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</si>
  <si>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</si>
  <si>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</si>
  <si>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</si>
  <si>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</si>
  <si>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</si>
  <si>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</si>
  <si>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</si>
  <si>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</si>
  <si>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</si>
  <si>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</si>
  <si>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</si>
  <si>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</si>
  <si>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</si>
  <si>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</si>
  <si>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</si>
  <si>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</si>
  <si>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</si>
  <si>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</si>
  <si>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</si>
  <si>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</si>
  <si>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</si>
  <si>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</si>
  <si>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</si>
  <si>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</si>
  <si>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</si>
  <si>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</si>
  <si>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</si>
  <si>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</si>
  <si>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</si>
  <si>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</si>
  <si>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</si>
  <si>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</si>
  <si>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</si>
  <si>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</si>
  <si>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</si>
  <si>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</si>
  <si>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</si>
  <si>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</si>
  <si>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</si>
  <si>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</si>
  <si>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</si>
  <si>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</si>
  <si>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</si>
  <si>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</si>
  <si>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</si>
  <si>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</si>
  <si>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</si>
  <si>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</si>
  <si>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</si>
  <si>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</si>
  <si>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</si>
  <si>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</si>
  <si>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</si>
  <si>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</si>
  <si>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</si>
  <si>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</si>
  <si>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</si>
  <si>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</si>
  <si>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</si>
  <si>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</si>
  <si>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</si>
  <si>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</si>
  <si>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</si>
  <si>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</si>
  <si>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</si>
  <si>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</si>
  <si>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</si>
  <si>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</si>
  <si>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</si>
  <si>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</si>
  <si>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</si>
  <si>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</si>
  <si>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</si>
  <si>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</si>
  <si>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</si>
  <si>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</si>
  <si>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</si>
  <si>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</si>
  <si>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</si>
  <si>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</si>
  <si>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</si>
  <si>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</si>
  <si>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</si>
  <si>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</si>
  <si>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</si>
  <si>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</si>
  <si>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</si>
  <si>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</si>
  <si>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</si>
  <si>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</si>
  <si>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</si>
  <si>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</si>
  <si>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</si>
  <si>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</si>
  <si>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</si>
  <si>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</si>
  <si>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</si>
  <si>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</si>
  <si>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</si>
  <si>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</si>
  <si>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</si>
  <si>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</si>
  <si>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</si>
  <si>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</si>
  <si>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</si>
  <si>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</si>
  <si>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</si>
  <si>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</si>
  <si>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</si>
  <si>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</si>
  <si>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</si>
  <si>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</si>
  <si>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</si>
  <si>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</si>
  <si>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</si>
  <si>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</si>
  <si>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</si>
  <si>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</si>
  <si>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</si>
  <si>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</si>
  <si>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</si>
  <si>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</si>
  <si>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</si>
  <si>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</si>
  <si>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</si>
  <si>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</si>
  <si>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</si>
  <si>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</si>
  <si>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</si>
  <si>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</si>
  <si>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</si>
  <si>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</si>
  <si>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</si>
  <si>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</si>
  <si>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</si>
  <si>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</si>
  <si>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</si>
  <si>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</si>
  <si>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</si>
  <si>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</si>
  <si>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</si>
  <si>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</si>
  <si>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</si>
  <si>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</si>
  <si>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</si>
  <si>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</si>
  <si>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</si>
  <si>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</si>
  <si>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</si>
  <si>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</si>
  <si>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</si>
  <si>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</si>
  <si>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</si>
  <si>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</si>
  <si>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</si>
  <si>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</si>
  <si>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</si>
  <si>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</si>
  <si>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</si>
  <si>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</si>
  <si>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</si>
  <si>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</si>
  <si>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</si>
  <si>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</si>
  <si>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</si>
  <si>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</si>
  <si>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</si>
  <si>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</si>
  <si>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</si>
  <si>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</si>
  <si>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</si>
  <si>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</si>
  <si>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</si>
  <si>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</si>
  <si>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</si>
  <si>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</si>
  <si>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</si>
  <si>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</si>
  <si>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</si>
  <si>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</si>
  <si>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</si>
  <si>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</si>
  <si>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</si>
  <si>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</si>
  <si>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</si>
  <si>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</si>
  <si>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</si>
  <si>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</si>
  <si>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</si>
  <si>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</si>
  <si>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</si>
  <si>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</si>
  <si>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</si>
  <si>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</si>
  <si>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</si>
  <si>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</si>
  <si>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</si>
  <si>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</si>
  <si>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</si>
  <si>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</si>
  <si>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</si>
  <si>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</si>
  <si>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</si>
  <si>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</si>
  <si>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</si>
  <si>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</si>
  <si>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</si>
  <si>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</si>
  <si>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</si>
  <si>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</si>
  <si>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</si>
  <si>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</si>
  <si>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</si>
  <si>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</si>
  <si>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</si>
  <si>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</si>
  <si>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</si>
  <si>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</si>
  <si>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</si>
  <si>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</si>
  <si>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</si>
  <si>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</si>
  <si>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</si>
  <si>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</si>
  <si>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</si>
  <si>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</si>
  <si>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</si>
  <si>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</si>
  <si>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</si>
  <si>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</si>
  <si>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</si>
  <si>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</si>
  <si>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</si>
  <si>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</si>
  <si>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</si>
  <si>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</si>
  <si>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</si>
  <si>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</si>
  <si>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</si>
  <si>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</si>
  <si>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</si>
  <si>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</si>
  <si>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</si>
  <si>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</si>
  <si>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</si>
  <si>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</si>
  <si>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</si>
  <si>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</si>
  <si>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</si>
  <si>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</si>
  <si>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</si>
  <si>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</si>
  <si>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</si>
  <si>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</si>
  <si>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</si>
  <si>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</si>
  <si>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</si>
  <si>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</si>
  <si>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</si>
  <si>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</si>
  <si>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</si>
  <si>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</si>
  <si>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</si>
  <si>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</si>
  <si>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</si>
  <si>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</si>
  <si>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</si>
  <si>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</si>
  <si>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</si>
  <si>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</si>
  <si>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</si>
  <si>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</si>
  <si>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</si>
  <si>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</si>
  <si>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</si>
  <si>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</si>
  <si>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</si>
  <si>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</si>
  <si>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</si>
  <si>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</si>
  <si>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</si>
  <si>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</si>
  <si>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</si>
  <si>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</si>
  <si>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</si>
  <si>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</si>
  <si>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</si>
  <si>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</si>
  <si>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</si>
  <si>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</si>
  <si>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</si>
  <si>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</si>
  <si>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</si>
  <si>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</si>
  <si>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</si>
  <si>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</si>
  <si>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</si>
  <si>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</si>
  <si>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</si>
  <si>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</si>
  <si>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</si>
  <si>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</si>
  <si>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</si>
  <si>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</si>
  <si>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</si>
  <si>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</si>
  <si>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</si>
  <si>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</si>
  <si>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</si>
  <si>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</si>
  <si>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</si>
  <si>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</si>
  <si>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</si>
  <si>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</si>
  <si>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</si>
  <si>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</si>
  <si>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</si>
  <si>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</si>
  <si>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</si>
  <si>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</si>
  <si>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</si>
  <si>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</si>
  <si>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</si>
  <si>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</si>
  <si>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</si>
  <si>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</si>
  <si>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</si>
  <si>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</si>
  <si>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</si>
  <si>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</si>
  <si>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</si>
  <si>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</si>
  <si>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</si>
  <si>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</si>
  <si>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</si>
  <si>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</si>
  <si>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</si>
  <si>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</si>
  <si>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</si>
  <si>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</si>
  <si>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</si>
  <si>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</si>
  <si>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</si>
  <si>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</si>
  <si>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</si>
  <si>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</si>
  <si>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</si>
  <si>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</si>
  <si>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</si>
  <si>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</si>
  <si>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</si>
  <si>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</si>
  <si>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</si>
  <si>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</si>
  <si>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</si>
  <si>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</si>
  <si>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</si>
  <si>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</si>
  <si>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</si>
  <si>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</si>
  <si>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</si>
  <si>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</si>
  <si>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</si>
  <si>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</si>
  <si>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</si>
  <si>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</si>
  <si>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</si>
  <si>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</si>
  <si>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</si>
  <si>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</si>
  <si>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</si>
  <si>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</si>
  <si>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</si>
  <si>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</si>
  <si>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</si>
  <si>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</si>
  <si>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</si>
  <si>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</si>
  <si>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</si>
  <si>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</si>
  <si>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</si>
  <si>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</si>
  <si>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</si>
  <si>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</si>
  <si>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</si>
  <si>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</si>
  <si>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</si>
  <si>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</si>
  <si>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</si>
  <si>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</si>
  <si>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</si>
  <si>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</si>
  <si>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</si>
  <si>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</si>
  <si>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</si>
  <si>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</si>
  <si>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</si>
  <si>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</si>
  <si>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</si>
  <si>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</si>
  <si>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</si>
  <si>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</si>
  <si>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</si>
  <si>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</si>
  <si>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</si>
  <si>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</si>
  <si>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</si>
  <si>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</si>
  <si>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</si>
  <si>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</si>
  <si>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</si>
  <si>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</si>
  <si>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</si>
  <si>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</si>
  <si>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</si>
  <si>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</si>
  <si>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</si>
  <si>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</si>
  <si>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</si>
  <si>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</si>
  <si>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</si>
  <si>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</si>
  <si>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</si>
  <si>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</si>
  <si>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</si>
  <si>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</si>
  <si>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</si>
  <si>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</si>
  <si>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</si>
  <si>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</si>
  <si>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</si>
  <si>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</si>
  <si>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</si>
  <si>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</si>
  <si>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</si>
  <si>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</si>
  <si>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</si>
  <si>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</si>
  <si>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</si>
  <si>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</si>
  <si>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</si>
  <si>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</si>
  <si>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</si>
  <si>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</si>
  <si>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</si>
  <si>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</si>
  <si>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</si>
  <si>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</si>
  <si>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</si>
  <si>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</si>
  <si>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</si>
  <si>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</si>
  <si>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</si>
  <si>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</si>
  <si>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</si>
  <si>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</si>
  <si>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</si>
  <si>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</si>
  <si>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</si>
  <si>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</si>
  <si>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</si>
  <si>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</si>
  <si>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</si>
  <si>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</si>
  <si>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</si>
  <si>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</si>
  <si>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</si>
  <si>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</si>
  <si>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</si>
  <si>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</si>
  <si>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</si>
  <si>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</si>
  <si>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</si>
  <si>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</si>
  <si>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</si>
  <si>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</si>
  <si>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</si>
  <si>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</si>
  <si>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</si>
  <si>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</si>
  <si>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</si>
  <si>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</si>
  <si>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</si>
  <si>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</si>
  <si>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</si>
  <si>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</si>
  <si>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</si>
  <si>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</si>
  <si>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</si>
  <si>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</si>
  <si>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</si>
  <si>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</si>
  <si>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</si>
  <si>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</si>
  <si>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</si>
  <si>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</si>
  <si>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</si>
  <si>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</si>
  <si>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</si>
  <si>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</si>
  <si>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</si>
  <si>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</si>
  <si>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</si>
  <si>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</si>
  <si>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</si>
  <si>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</si>
  <si>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</si>
  <si>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</si>
  <si>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</si>
  <si>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</si>
  <si>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</si>
  <si>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</si>
  <si>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</si>
  <si>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</si>
  <si>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</si>
  <si>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</si>
  <si>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</si>
  <si>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</si>
  <si>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</si>
  <si>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</si>
  <si>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</si>
  <si>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</si>
  <si>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</si>
  <si>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</si>
  <si>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</si>
  <si>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</si>
  <si>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</si>
  <si>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</si>
  <si>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</si>
  <si>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</si>
  <si>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</si>
  <si>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</si>
  <si>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</si>
  <si>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</si>
  <si>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</si>
  <si>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</si>
  <si>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</si>
  <si>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</si>
  <si>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</si>
  <si>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</si>
  <si>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</si>
  <si>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</si>
  <si>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</si>
  <si>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</si>
  <si>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</si>
  <si>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</si>
  <si>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</si>
  <si>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</si>
  <si>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</si>
  <si>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</si>
  <si>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</si>
  <si>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</si>
  <si>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</si>
  <si>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</si>
  <si>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</si>
  <si>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</si>
  <si>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</si>
  <si>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</si>
  <si>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</si>
  <si>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</si>
  <si>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</si>
  <si>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</si>
  <si>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</si>
  <si>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</si>
  <si>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</si>
  <si>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</si>
  <si>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</si>
  <si>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</si>
  <si>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</si>
  <si>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</si>
  <si>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</si>
  <si>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</si>
  <si>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</si>
  <si>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</si>
  <si>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</si>
  <si>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</si>
  <si>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</si>
  <si>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</si>
  <si>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</si>
  <si>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</si>
  <si>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</si>
  <si>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</si>
  <si>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</si>
  <si>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</si>
  <si>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</si>
  <si>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</si>
  <si>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</si>
  <si>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</si>
  <si>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</si>
  <si>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</si>
  <si>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</si>
  <si>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</si>
  <si>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</si>
  <si>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</si>
  <si>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</si>
  <si>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</si>
  <si>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</si>
  <si>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</si>
  <si>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</si>
  <si>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</si>
  <si>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</si>
  <si>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</si>
  <si>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</si>
  <si>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</si>
  <si>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</si>
  <si>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</si>
  <si>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</si>
  <si>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</si>
  <si>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</si>
  <si>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</si>
  <si>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</si>
  <si>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</si>
  <si>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</si>
  <si>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</si>
  <si>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</si>
  <si>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</si>
  <si>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</si>
  <si>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</si>
  <si>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</si>
  <si>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</si>
  <si>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</si>
  <si>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</si>
  <si>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</si>
  <si>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</si>
  <si>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</si>
  <si>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</si>
  <si>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</si>
  <si>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</si>
  <si>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</si>
  <si>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</si>
  <si>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</si>
  <si>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</si>
  <si>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</si>
  <si>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</si>
  <si>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</si>
  <si>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</si>
  <si>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</si>
  <si>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</si>
  <si>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</si>
  <si>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</si>
  <si>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</si>
  <si>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</si>
  <si>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</si>
  <si>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</si>
  <si>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</si>
  <si>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</si>
  <si>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</si>
  <si>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</si>
  <si>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</si>
  <si>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</si>
  <si>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</si>
  <si>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</si>
  <si>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</si>
  <si>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</si>
  <si>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</si>
  <si>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</si>
  <si>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</si>
  <si>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</si>
  <si>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</si>
  <si>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</si>
  <si>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</si>
  <si>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</si>
  <si>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</si>
  <si>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</si>
  <si>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</si>
  <si>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</si>
  <si>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</si>
  <si>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</si>
  <si>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</si>
  <si>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</si>
  <si>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</si>
  <si>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</si>
  <si>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</si>
  <si>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</si>
  <si>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</si>
  <si>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</si>
  <si>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</si>
  <si>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</si>
  <si>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</si>
  <si>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</si>
  <si>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</si>
  <si>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</si>
  <si>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</si>
  <si>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</si>
  <si>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</si>
  <si>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</si>
  <si>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</si>
  <si>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</si>
  <si>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</si>
  <si>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</si>
  <si>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</si>
  <si>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</si>
  <si>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</si>
  <si>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</si>
  <si>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</si>
  <si>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</si>
  <si>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</si>
  <si>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</si>
  <si>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</si>
  <si>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</si>
  <si>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</si>
  <si>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</si>
  <si>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</si>
  <si>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</si>
  <si>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</si>
  <si>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</si>
  <si>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</si>
  <si>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</si>
  <si>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</si>
  <si>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</si>
  <si>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</si>
  <si>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</si>
  <si>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</si>
  <si>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</si>
  <si>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</si>
  <si>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</si>
  <si>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</si>
  <si>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</si>
  <si>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</si>
  <si>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</si>
  <si>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</si>
  <si>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</si>
  <si>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</si>
  <si>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</si>
  <si>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</si>
  <si>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</si>
  <si>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</si>
  <si>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</si>
  <si>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</si>
  <si>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</si>
  <si>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</si>
  <si>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</si>
  <si>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</si>
  <si>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</si>
  <si>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</si>
  <si>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</si>
  <si>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</si>
  <si>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</si>
  <si>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</si>
  <si>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</si>
  <si>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</si>
  <si>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</si>
  <si>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</si>
  <si>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</si>
  <si>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</si>
  <si>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</si>
  <si>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</si>
  <si>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</si>
  <si>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</si>
  <si>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</si>
  <si>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</si>
  <si>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</si>
  <si>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</si>
  <si>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</si>
  <si>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</si>
  <si>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</si>
  <si>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</si>
  <si>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</si>
  <si>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</si>
  <si>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</si>
  <si>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</si>
  <si>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</si>
  <si>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</si>
  <si>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</si>
  <si>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</si>
  <si>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</si>
  <si>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</si>
  <si>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</si>
  <si>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</si>
  <si>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</si>
  <si>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</si>
  <si>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</si>
  <si>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</si>
  <si>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</si>
  <si>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</si>
  <si>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</si>
  <si>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</si>
  <si>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</si>
  <si>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</si>
  <si>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</si>
  <si>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</si>
  <si>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</si>
  <si>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</si>
  <si>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</si>
  <si>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</si>
  <si>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</si>
  <si>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</si>
  <si>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</si>
  <si>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</si>
  <si>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</si>
  <si>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</si>
  <si>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</si>
  <si>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</si>
  <si>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</si>
  <si>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</si>
  <si>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</si>
  <si>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</si>
  <si>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</si>
  <si>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</si>
  <si>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</si>
  <si>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</si>
  <si>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</si>
  <si>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</si>
  <si>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</si>
  <si>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</si>
  <si>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</si>
  <si>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</si>
  <si>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</si>
  <si>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</si>
  <si>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</si>
  <si>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</si>
  <si>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</si>
  <si>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</si>
  <si>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</si>
  <si>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</si>
  <si>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</si>
  <si>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</si>
  <si>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</si>
  <si>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</si>
  <si>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</si>
  <si>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</si>
  <si>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</si>
  <si>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</si>
  <si>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</si>
  <si>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</si>
  <si>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</si>
  <si>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</si>
  <si>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</si>
  <si>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</si>
  <si>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</si>
  <si>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</si>
  <si>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</si>
  <si>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</si>
  <si>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</si>
  <si>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</si>
  <si>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</si>
  <si>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</si>
  <si>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</si>
  <si>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</si>
  <si>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</si>
  <si>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</si>
  <si>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</si>
  <si>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</si>
  <si>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</si>
  <si>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</si>
  <si>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</si>
  <si>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</si>
  <si>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</si>
  <si>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</si>
  <si>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</si>
  <si>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</si>
  <si>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</si>
  <si>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</si>
  <si>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</si>
  <si>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</si>
  <si>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</si>
  <si>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</si>
  <si>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</si>
  <si>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</si>
  <si>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</si>
  <si>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</si>
  <si>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</si>
  <si>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</si>
  <si>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</si>
  <si>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</si>
  <si>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</si>
  <si>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</si>
  <si>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</si>
  <si>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</si>
  <si>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</si>
  <si>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</si>
  <si>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</si>
  <si>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</si>
  <si>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</si>
  <si>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</si>
  <si>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</si>
  <si>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</si>
  <si>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</si>
  <si>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</si>
  <si>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</si>
  <si>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</si>
  <si>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</si>
  <si>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</si>
  <si>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</si>
  <si>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</si>
  <si>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</si>
  <si>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</si>
  <si>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</si>
  <si>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</si>
  <si>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</si>
  <si>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</si>
  <si>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</si>
  <si>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</si>
  <si>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</si>
  <si>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</si>
  <si>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</si>
  <si>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</si>
  <si>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</si>
  <si>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</si>
  <si>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</si>
  <si>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</si>
  <si>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</si>
  <si>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</si>
  <si>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</si>
  <si>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</si>
  <si>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</si>
  <si>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</si>
  <si>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</si>
  <si>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</si>
  <si>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</si>
  <si>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</si>
  <si>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</si>
  <si>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</si>
  <si>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</si>
  <si>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</si>
  <si>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</si>
  <si>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</si>
  <si>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</si>
  <si>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</si>
  <si>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</si>
  <si>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</si>
  <si>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</si>
  <si>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</si>
  <si>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</si>
  <si>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</si>
  <si>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</si>
  <si>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</si>
  <si>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</si>
  <si>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</si>
  <si>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</si>
  <si>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</si>
  <si>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</si>
  <si>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</si>
  <si>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</si>
  <si>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</si>
  <si>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</si>
  <si>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</si>
  <si>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</si>
  <si>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</si>
  <si>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</si>
  <si>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</si>
  <si>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</si>
  <si>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</si>
  <si>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</si>
  <si>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</si>
  <si>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</si>
  <si>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</si>
  <si>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</si>
  <si>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</si>
  <si>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</si>
  <si>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</si>
  <si>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</si>
  <si>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</si>
  <si>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</si>
  <si>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</si>
  <si>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</si>
  <si>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</si>
  <si>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</si>
  <si>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</si>
  <si>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</si>
  <si>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</si>
  <si>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</si>
  <si>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</si>
  <si>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</si>
  <si>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</si>
  <si>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</si>
  <si>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</si>
  <si>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</si>
  <si>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</si>
  <si>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</si>
  <si>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</si>
  <si>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</si>
  <si>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</si>
  <si>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</si>
  <si>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</si>
  <si>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</si>
  <si>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</si>
  <si>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</si>
  <si>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</si>
  <si>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</si>
  <si>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</si>
  <si>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</si>
  <si>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</si>
  <si>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</si>
  <si>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</si>
  <si>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</si>
  <si>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</si>
  <si>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</si>
  <si>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</si>
  <si>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</si>
  <si>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</si>
  <si>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</si>
  <si>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</si>
  <si>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</si>
  <si>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</si>
  <si>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</si>
  <si>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</si>
  <si>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</si>
  <si>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</si>
  <si>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</si>
  <si>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</si>
  <si>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</si>
  <si>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</si>
  <si>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</si>
  <si>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</si>
  <si>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</si>
  <si>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</si>
  <si>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</si>
  <si>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</si>
  <si>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</si>
  <si>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</si>
  <si>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</si>
  <si>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</si>
  <si>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</si>
  <si>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</si>
  <si>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</si>
  <si>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</si>
  <si>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</si>
  <si>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</si>
  <si>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</si>
  <si>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</si>
  <si>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</si>
  <si>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</si>
  <si>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</si>
  <si>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</si>
  <si>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</si>
  <si>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</si>
  <si>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</si>
  <si>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</si>
  <si>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</si>
  <si>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</si>
  <si>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</si>
  <si>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</si>
  <si>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</si>
  <si>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</si>
  <si>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</si>
  <si>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</si>
  <si>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</si>
  <si>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</si>
  <si>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</si>
  <si>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</si>
  <si>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</si>
  <si>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</si>
  <si>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</si>
  <si>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</si>
  <si>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</si>
  <si>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</si>
  <si>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</si>
  <si>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</si>
  <si>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</si>
  <si>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</si>
  <si>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</si>
  <si>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</si>
  <si>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</si>
  <si>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</si>
  <si>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</si>
  <si>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</si>
  <si>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</si>
  <si>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</si>
  <si>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</si>
  <si>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</si>
  <si>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</si>
  <si>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</si>
  <si>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</si>
  <si>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</si>
  <si>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</si>
  <si>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</si>
  <si>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</si>
  <si>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</si>
  <si>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</si>
  <si>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</si>
  <si>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</si>
  <si>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</si>
  <si>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</si>
  <si>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</si>
  <si>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</si>
  <si>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</si>
  <si>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</si>
  <si>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</si>
  <si>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</si>
  <si>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</si>
  <si>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</si>
  <si>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</si>
  <si>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</si>
  <si>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</si>
  <si>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</si>
  <si>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</si>
  <si>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</si>
  <si>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</si>
  <si>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</si>
  <si>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</si>
  <si>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</si>
  <si>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</si>
  <si>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</si>
  <si>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</si>
  <si>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</si>
  <si>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</si>
  <si>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</si>
  <si>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</si>
  <si>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</si>
  <si>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</si>
  <si>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</si>
  <si>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</si>
  <si>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</si>
  <si>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</si>
  <si>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</si>
  <si>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</si>
  <si>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</si>
  <si>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</si>
  <si>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</si>
  <si>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</si>
  <si>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</si>
  <si>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</si>
  <si>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</si>
  <si>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</si>
  <si>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</si>
  <si>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</si>
  <si>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</si>
  <si>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</si>
  <si>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</si>
  <si>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</si>
  <si>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</si>
  <si>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</si>
  <si>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</si>
  <si>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</si>
  <si>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</si>
  <si>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</si>
  <si>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</si>
  <si>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</si>
  <si>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</si>
  <si>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</si>
  <si>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</si>
  <si>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</si>
  <si>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</si>
  <si>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</si>
  <si>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</si>
  <si>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</si>
  <si>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</si>
  <si>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</si>
  <si>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</si>
  <si>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</si>
  <si>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</si>
  <si>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</si>
  <si>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</si>
  <si>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</si>
  <si>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</si>
  <si>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</si>
  <si>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</si>
  <si>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</si>
  <si>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</si>
  <si>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</si>
  <si>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</si>
  <si>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</si>
  <si>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</si>
  <si>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</si>
  <si>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</si>
  <si>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</si>
  <si>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</si>
  <si>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</si>
  <si>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</si>
  <si>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</si>
  <si>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</si>
  <si>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</si>
  <si>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</si>
  <si>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</si>
  <si>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</si>
  <si>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</si>
  <si>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</si>
  <si>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</si>
  <si>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</si>
  <si>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</si>
  <si>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</si>
  <si>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</si>
  <si>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</si>
  <si>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</si>
  <si>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</si>
  <si>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</si>
  <si>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</si>
  <si>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</si>
  <si>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</si>
  <si>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</si>
  <si>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</si>
  <si>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</si>
  <si>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</si>
  <si>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</si>
  <si>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</si>
  <si>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</si>
  <si>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</si>
  <si>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</si>
  <si>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</si>
  <si>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</si>
  <si>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</si>
  <si>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</si>
  <si>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</si>
  <si>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</si>
  <si>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</si>
  <si>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</si>
  <si>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</si>
  <si>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</si>
  <si>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</si>
  <si>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</si>
  <si>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</si>
  <si>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</si>
  <si>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</si>
  <si>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</si>
  <si>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</si>
  <si>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</si>
  <si>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</si>
  <si>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</si>
  <si>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</si>
  <si>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</si>
  <si>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</si>
  <si>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</si>
  <si>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</si>
  <si>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</si>
  <si>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</si>
  <si>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</si>
  <si>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</si>
  <si>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</si>
  <si>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</si>
  <si>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</si>
  <si>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</si>
  <si>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</si>
  <si>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</si>
  <si>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</si>
  <si>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</si>
  <si>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</si>
  <si>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</si>
  <si>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</si>
  <si>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</si>
  <si>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</si>
  <si>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</si>
  <si>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</si>
  <si>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</si>
  <si>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</si>
  <si>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</si>
  <si>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</si>
  <si>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</si>
  <si>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</si>
  <si>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</si>
  <si>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</si>
  <si>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</si>
  <si>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</si>
  <si>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</si>
  <si>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</si>
  <si>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</si>
  <si>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</si>
  <si>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</si>
  <si>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</si>
  <si>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</si>
  <si>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</si>
  <si>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</si>
  <si>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</si>
  <si>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</si>
  <si>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</si>
  <si>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</si>
  <si>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</si>
  <si>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</si>
  <si>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</si>
  <si>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</si>
  <si>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</si>
  <si>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</si>
  <si>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</si>
  <si>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</si>
  <si>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</si>
  <si>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</si>
  <si>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</si>
  <si>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</si>
  <si>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</si>
  <si>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</si>
  <si>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</si>
  <si>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</si>
  <si>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</si>
  <si>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</si>
  <si>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</si>
  <si>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</si>
  <si>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</si>
  <si>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</si>
  <si>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</si>
  <si>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</si>
  <si>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</si>
  <si>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</si>
  <si>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</si>
  <si>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</si>
  <si>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</si>
  <si>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</si>
  <si>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</si>
  <si>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</si>
  <si>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</si>
  <si>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</si>
  <si>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</si>
  <si>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</si>
  <si>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</si>
  <si>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</si>
  <si>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</si>
  <si>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</si>
  <si>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</si>
  <si>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</si>
  <si>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</si>
  <si>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</si>
  <si>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</si>
  <si>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</si>
  <si>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</si>
  <si>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</si>
  <si>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</si>
  <si>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</si>
  <si>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</si>
  <si>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</si>
  <si>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</si>
  <si>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</si>
  <si>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</si>
  <si>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</si>
  <si>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</si>
  <si>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</si>
  <si>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</si>
  <si>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</si>
  <si>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</si>
  <si>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</si>
  <si>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</si>
  <si>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</si>
  <si>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</si>
  <si>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</si>
  <si>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</si>
  <si>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</si>
  <si>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</si>
  <si>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</si>
  <si>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</si>
  <si>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</si>
  <si>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</si>
  <si>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</si>
  <si>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</si>
  <si>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</si>
  <si>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</si>
  <si>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</si>
  <si>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</si>
  <si>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</si>
  <si>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</si>
  <si>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</si>
  <si>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</si>
  <si>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</si>
  <si>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</si>
  <si>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</si>
  <si>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</si>
  <si>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</si>
  <si>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</si>
  <si>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</si>
  <si>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</si>
  <si>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</si>
  <si>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</si>
  <si>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</si>
  <si>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</si>
  <si>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</si>
  <si>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</si>
  <si>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</si>
  <si>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</si>
  <si>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</si>
  <si>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</si>
  <si>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</si>
  <si>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</si>
  <si>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</si>
  <si>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</si>
  <si>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</si>
  <si>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</si>
  <si>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</si>
  <si>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</si>
  <si>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</si>
  <si>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</si>
  <si>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</si>
  <si>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</si>
  <si>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</si>
  <si>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</si>
  <si>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</si>
  <si>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</si>
  <si>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</si>
  <si>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</si>
  <si>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</si>
  <si>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</si>
  <si>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</si>
  <si>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</si>
  <si>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</si>
  <si>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</si>
  <si>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</si>
  <si>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</si>
  <si>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</si>
  <si>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</si>
  <si>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</si>
  <si>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</si>
  <si>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</si>
  <si>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</si>
  <si>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</si>
  <si>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</si>
  <si>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</si>
  <si>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</si>
  <si>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</si>
  <si>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</si>
  <si>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</si>
  <si>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</si>
  <si>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</si>
  <si>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</si>
  <si>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</si>
  <si>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</si>
  <si>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</si>
  <si>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</si>
  <si>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</si>
  <si>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</si>
  <si>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</si>
  <si>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</si>
  <si>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</si>
  <si>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</si>
  <si>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</si>
  <si>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</si>
  <si>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</si>
  <si>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</si>
  <si>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</si>
  <si>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</si>
  <si>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</si>
  <si>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</si>
  <si>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</si>
  <si>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</si>
  <si>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</si>
  <si>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</si>
  <si>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</si>
  <si>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</si>
  <si>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</si>
  <si>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</si>
  <si>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</si>
  <si>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</si>
  <si>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</si>
  <si>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</si>
  <si>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</si>
  <si>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</si>
  <si>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</si>
  <si>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</si>
  <si>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</si>
  <si>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</si>
  <si>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</si>
  <si>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</si>
  <si>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</si>
  <si>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</si>
  <si>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</si>
  <si>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</si>
  <si>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</si>
  <si>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</si>
  <si>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</si>
  <si>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</si>
  <si>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</si>
  <si>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</si>
  <si>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</si>
  <si>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</si>
  <si>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</si>
  <si>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</si>
  <si>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</si>
  <si>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</si>
  <si>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</si>
  <si>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</si>
  <si>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</si>
  <si>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</si>
  <si>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</si>
  <si>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</si>
  <si>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</si>
  <si>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</si>
  <si>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</si>
  <si>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</si>
  <si>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</si>
  <si>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</si>
  <si>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</si>
  <si>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</si>
  <si>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</si>
  <si>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</si>
  <si>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</si>
  <si>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</si>
  <si>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</si>
  <si>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</si>
  <si>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</si>
  <si>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</si>
  <si>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</si>
  <si>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</si>
  <si>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</si>
  <si>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</si>
  <si>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</si>
  <si>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</si>
  <si>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</si>
  <si>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</si>
  <si>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</si>
  <si>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</si>
  <si>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</si>
  <si>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</si>
  <si>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</si>
  <si>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</si>
  <si>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</si>
  <si>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</si>
  <si>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</si>
  <si>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</si>
  <si>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</si>
  <si>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</si>
  <si>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</si>
  <si>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</si>
  <si>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</si>
  <si>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</si>
  <si>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</si>
  <si>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</si>
  <si>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</si>
  <si>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</si>
  <si>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</si>
  <si>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</si>
  <si>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</si>
  <si>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</si>
  <si>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</si>
  <si>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</si>
  <si>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</si>
  <si>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</si>
  <si>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</si>
  <si>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</si>
  <si>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</si>
  <si>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</si>
  <si>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</si>
  <si>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</si>
  <si>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</si>
  <si>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</si>
  <si>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</si>
  <si>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</si>
  <si>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</si>
  <si>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</si>
  <si>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</si>
  <si>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</si>
  <si>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</si>
  <si>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</si>
  <si>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</si>
  <si>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</si>
  <si>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</si>
  <si>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</si>
  <si>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</si>
  <si>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</si>
  <si>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</si>
  <si>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</si>
  <si>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</si>
  <si>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</si>
  <si>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</si>
  <si>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</si>
  <si>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</si>
  <si>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</si>
  <si>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</si>
  <si>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</si>
  <si>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</si>
  <si>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</si>
  <si>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</si>
  <si>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</si>
  <si>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</si>
  <si>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</si>
  <si>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</si>
  <si>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</si>
  <si>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</si>
  <si>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</si>
  <si>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</si>
  <si>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</si>
  <si>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</si>
  <si>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</si>
  <si>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</si>
  <si>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</si>
  <si>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</si>
  <si>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</si>
  <si>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</si>
  <si>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</si>
  <si>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</si>
  <si>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</si>
  <si>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</si>
  <si>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</si>
  <si>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</si>
  <si>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</si>
  <si>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</si>
  <si>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</si>
  <si>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</si>
  <si>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</si>
  <si>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</si>
  <si>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</si>
  <si>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</si>
  <si>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</si>
  <si>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</si>
  <si>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</si>
  <si>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</si>
  <si>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</si>
  <si>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</si>
  <si>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</si>
  <si>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</si>
  <si>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</si>
  <si>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</si>
  <si>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</si>
  <si>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</si>
  <si>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</si>
  <si>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</si>
  <si>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</si>
  <si>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</si>
  <si>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</si>
  <si>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</si>
  <si>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</si>
  <si>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</si>
  <si>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</si>
  <si>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</si>
  <si>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</si>
  <si>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</si>
  <si>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</si>
  <si>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</si>
  <si>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</si>
  <si>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</si>
  <si>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</si>
  <si>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</si>
  <si>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</si>
  <si>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</si>
  <si>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</si>
  <si>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</si>
  <si>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</si>
  <si>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</si>
  <si>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</si>
  <si>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</si>
  <si>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</si>
  <si>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</si>
  <si>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</si>
  <si>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</si>
  <si>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</si>
  <si>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</si>
  <si>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</si>
  <si>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</si>
  <si>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</si>
  <si>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</si>
  <si>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</si>
  <si>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</si>
  <si>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</si>
  <si>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</si>
  <si>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</si>
  <si>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</si>
  <si>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</si>
  <si>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</si>
  <si>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</si>
  <si>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</si>
  <si>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</si>
  <si>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</si>
  <si>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</si>
  <si>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</si>
  <si>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</si>
  <si>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</si>
  <si>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</si>
  <si>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</si>
  <si>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</si>
  <si>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</si>
  <si>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</si>
  <si>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</si>
  <si>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</si>
  <si>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</si>
  <si>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</si>
  <si>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</si>
  <si>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</si>
  <si>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</si>
  <si>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</si>
  <si>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</si>
  <si>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</si>
  <si>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</si>
  <si>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</si>
  <si>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</si>
  <si>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</si>
  <si>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</si>
  <si>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</si>
  <si>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</si>
  <si>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</si>
  <si>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</si>
  <si>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</si>
  <si>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</si>
  <si>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</si>
  <si>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</si>
  <si>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</si>
  <si>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</si>
  <si>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</si>
  <si>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</si>
  <si>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</si>
  <si>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</si>
  <si>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</si>
  <si>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</si>
  <si>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</si>
  <si>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</si>
  <si>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</si>
  <si>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</si>
  <si>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</si>
  <si>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</si>
  <si>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</si>
  <si>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</si>
  <si>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</si>
  <si>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</si>
  <si>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</si>
  <si>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</si>
  <si>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</si>
  <si>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</si>
  <si>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</si>
  <si>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</si>
  <si>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</si>
  <si>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</si>
  <si>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</si>
  <si>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</si>
  <si>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</si>
  <si>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</si>
  <si>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</si>
  <si>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</si>
  <si>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</si>
  <si>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</si>
  <si>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</si>
  <si>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</si>
  <si>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</si>
  <si>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</si>
  <si>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</si>
  <si>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</si>
  <si>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</si>
  <si>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</si>
  <si>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</si>
  <si>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</si>
  <si>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</si>
  <si>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</si>
  <si>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</si>
  <si>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</si>
  <si>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</si>
  <si>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</si>
  <si>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</si>
  <si>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</si>
  <si>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</si>
  <si>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</si>
  <si>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</si>
  <si>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</si>
  <si>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</si>
  <si>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</si>
  <si>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</si>
  <si>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</si>
  <si>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</si>
  <si>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</si>
  <si>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</si>
  <si>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</si>
  <si>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</si>
  <si>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</si>
  <si>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</si>
  <si>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</si>
  <si>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</si>
  <si>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</si>
  <si>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</si>
  <si>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</si>
  <si>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</si>
  <si>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</si>
  <si>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</si>
  <si>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</si>
  <si>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</si>
  <si>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</si>
  <si>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</si>
  <si>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</si>
  <si>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</si>
  <si>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</si>
  <si>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</si>
  <si>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</si>
  <si>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</si>
  <si>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</si>
  <si>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</si>
  <si>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</si>
  <si>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</si>
  <si>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</si>
  <si>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</si>
  <si>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</si>
  <si>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</si>
  <si>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</si>
  <si>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</si>
  <si>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</si>
  <si>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</si>
  <si>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</si>
  <si>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</si>
  <si>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</si>
  <si>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</si>
  <si>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</si>
  <si>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</si>
  <si>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</si>
  <si>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</si>
  <si>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</si>
  <si>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</si>
  <si>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</si>
  <si>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</si>
  <si>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</si>
  <si>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</si>
  <si>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</si>
  <si>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</si>
  <si>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</si>
  <si>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</si>
  <si>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</si>
  <si>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</si>
  <si>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</si>
  <si>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</si>
  <si>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</si>
  <si>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</si>
  <si>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</si>
  <si>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</si>
  <si>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</si>
  <si>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</si>
  <si>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</si>
  <si>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</si>
  <si>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</si>
  <si>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</si>
  <si>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</si>
  <si>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</si>
  <si>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</si>
  <si>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</si>
  <si>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</si>
  <si>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</si>
  <si>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</si>
  <si>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</si>
  <si>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</si>
  <si>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</si>
  <si>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</si>
  <si>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</si>
  <si>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</si>
  <si>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отгружен</t>
  </si>
  <si>
    <t>15,09,26</t>
  </si>
  <si>
    <t>TSO001120838</t>
  </si>
  <si>
    <t>TSO001120857</t>
  </si>
  <si>
    <t>TSO001121014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</si>
  <si>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</si>
  <si>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</si>
  <si>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</si>
  <si>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</si>
  <si>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</si>
  <si>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</si>
  <si>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</si>
  <si>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</si>
  <si>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</si>
  <si>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</si>
  <si>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</si>
  <si>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</si>
  <si>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</si>
  <si>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</si>
  <si>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</si>
  <si>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</si>
  <si>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</si>
  <si>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</si>
  <si>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</si>
  <si>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</si>
  <si>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</si>
  <si>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</si>
  <si>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</si>
  <si>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</si>
  <si>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</si>
  <si>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</si>
  <si>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</si>
  <si>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</si>
  <si>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</si>
  <si>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</si>
  <si>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</si>
  <si>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</si>
  <si>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</si>
  <si>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</si>
  <si>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</si>
  <si>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</si>
  <si>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</si>
  <si>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</si>
  <si>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</si>
  <si>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</si>
  <si>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</si>
  <si>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</si>
  <si>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</si>
  <si>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</si>
  <si>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</si>
  <si>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</si>
  <si>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</si>
  <si>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</si>
  <si>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</si>
  <si>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+</t>
  </si>
  <si>
    <t>TSO001121620</t>
  </si>
  <si>
    <t>ООО НВ Тс195771-26 12.09.2026 Донецк 16681кг (Шадриков)</t>
  </si>
  <si>
    <t>ООО НВ Тс197433-26 12.09.2026 Донецк(2) 797кг (Шадриков)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</si>
</sst>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89"/>
  <sheetViews>
    <sheetView tabSelected="1" zoomScale="70" zoomScaleNormal="70" workbookViewId="0">
      <pane ySplit="2" topLeftCell="A7222" activePane="bottomLeft" state="frozen"/>
      <selection pane="bottomLeft" activeCell="P7233" sqref="P723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47" t="s">
        <v>0</v>
      </c>
      <c r="B1" s="1047"/>
      <c r="C1" s="1047"/>
      <c r="D1" s="1047"/>
      <c r="E1" s="1047"/>
      <c r="F1" s="1047"/>
      <c r="G1" s="1047"/>
      <c r="H1" s="1047"/>
      <c r="I1" s="1047"/>
      <c r="J1" s="104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8">
        <v>1</v>
      </c>
      <c r="B3" s="104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8"/>
      <c r="B4" s="104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4">
        <v>3</v>
      </c>
      <c r="B6" s="10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4"/>
      <c r="B7" s="10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4"/>
      <c r="B8" s="10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4">
        <v>5</v>
      </c>
      <c r="B10" s="10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4"/>
      <c r="B11" s="10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2">
        <v>8</v>
      </c>
      <c r="B14" s="104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2"/>
      <c r="B15" s="104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4">
        <v>11</v>
      </c>
      <c r="B18" s="10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4"/>
      <c r="B19" s="10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4"/>
      <c r="B20" s="10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4"/>
      <c r="B21" s="10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4">
        <v>13</v>
      </c>
      <c r="B23" s="10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4"/>
      <c r="B24" s="10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2">
        <v>14</v>
      </c>
      <c r="B25" s="104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2"/>
      <c r="B26" s="104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4">
        <v>15</v>
      </c>
      <c r="B27" s="10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4"/>
      <c r="B28" s="10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4"/>
      <c r="B29" s="10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4"/>
      <c r="B30" s="10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2">
        <v>16</v>
      </c>
      <c r="B31" s="104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2"/>
      <c r="B32" s="104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2"/>
      <c r="B33" s="104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2"/>
      <c r="B34" s="104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4">
        <v>17</v>
      </c>
      <c r="B35" s="10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4"/>
      <c r="B36" s="10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4">
        <v>21</v>
      </c>
      <c r="B40" s="10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4"/>
      <c r="B41" s="10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4">
        <v>23</v>
      </c>
      <c r="B43" s="10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4"/>
      <c r="B44" s="10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4"/>
      <c r="B45" s="10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2">
        <v>24</v>
      </c>
      <c r="B46" s="104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2"/>
      <c r="B47" s="104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4">
        <v>25</v>
      </c>
      <c r="B48" s="10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4"/>
      <c r="B49" s="10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4"/>
      <c r="B50" s="10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2">
        <v>26</v>
      </c>
      <c r="B51" s="104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2"/>
      <c r="B52" s="104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4">
        <v>29</v>
      </c>
      <c r="B55" s="10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4"/>
      <c r="B56" s="10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2">
        <v>32</v>
      </c>
      <c r="B59" s="104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2"/>
      <c r="B60" s="104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2">
        <v>34</v>
      </c>
      <c r="B62" s="104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2"/>
      <c r="B63" s="104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2"/>
      <c r="B64" s="104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2"/>
      <c r="B65" s="104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2"/>
      <c r="B66" s="104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4">
        <v>35</v>
      </c>
      <c r="B67" s="10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4"/>
      <c r="B68" s="10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9">
        <v>40</v>
      </c>
      <c r="B73" s="104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9"/>
      <c r="B74" s="104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8">
        <v>41</v>
      </c>
      <c r="B75" s="10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8"/>
      <c r="B76" s="10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8"/>
      <c r="B77" s="10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9">
        <v>42</v>
      </c>
      <c r="B78" s="104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9"/>
      <c r="B79" s="104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8">
        <v>49</v>
      </c>
      <c r="B86" s="10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8"/>
      <c r="B87" s="10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8"/>
      <c r="B88" s="10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9">
        <v>50</v>
      </c>
      <c r="B89" s="104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9"/>
      <c r="B90" s="104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8">
        <v>51</v>
      </c>
      <c r="B91" s="10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8"/>
      <c r="B92" s="10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8">
        <v>53</v>
      </c>
      <c r="B94" s="10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8"/>
      <c r="B95" s="10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9">
        <v>54</v>
      </c>
      <c r="B96" s="104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9"/>
      <c r="B97" s="104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9"/>
      <c r="B98" s="104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9">
        <v>58</v>
      </c>
      <c r="B102" s="104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9"/>
      <c r="B103" s="104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9">
        <v>60</v>
      </c>
      <c r="B105" s="104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9"/>
      <c r="B106" s="104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9"/>
      <c r="B107" s="104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8">
        <v>61</v>
      </c>
      <c r="B108" s="10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8"/>
      <c r="B109" s="10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8"/>
      <c r="B110" s="10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9">
        <v>64</v>
      </c>
      <c r="B113" s="104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9"/>
      <c r="B114" s="104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9">
        <v>66</v>
      </c>
      <c r="B116" s="104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9"/>
      <c r="B117" s="104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8">
        <v>67</v>
      </c>
      <c r="B118" s="10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8"/>
      <c r="B119" s="10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8"/>
      <c r="B120" s="10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9">
        <v>68</v>
      </c>
      <c r="B121" s="104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9"/>
      <c r="B122" s="104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8">
        <v>69</v>
      </c>
      <c r="B123" s="10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8"/>
      <c r="B124" s="10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9">
        <v>72</v>
      </c>
      <c r="B127" s="1042" t="s">
        <v>65</v>
      </c>
      <c r="C127" s="119" t="s">
        <v>26</v>
      </c>
      <c r="D127" s="120">
        <v>3.3</v>
      </c>
      <c r="E127" s="121"/>
      <c r="F127" s="122" t="s">
        <v>30</v>
      </c>
      <c r="G127" s="104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9"/>
      <c r="B128" s="1042"/>
      <c r="C128" s="103" t="s">
        <v>26</v>
      </c>
      <c r="D128" s="88">
        <v>12.9</v>
      </c>
      <c r="E128" s="106"/>
      <c r="F128" s="107" t="s">
        <v>16</v>
      </c>
      <c r="G128" s="104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9">
        <v>76</v>
      </c>
      <c r="B132" s="104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9"/>
      <c r="B133" s="104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9"/>
      <c r="B134" s="104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9"/>
      <c r="B135" s="104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9">
        <v>78</v>
      </c>
      <c r="B137" s="105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9"/>
      <c r="B138" s="105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3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3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3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3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9" t="s">
        <v>133</v>
      </c>
      <c r="J420" s="104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3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3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3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3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3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3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3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3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3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3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3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3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3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3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3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3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3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3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3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3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3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3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3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3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3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3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3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3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3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3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3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3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3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3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3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3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3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3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3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3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3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3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3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3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3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6" t="s">
        <v>467</v>
      </c>
      <c r="H2160" s="414" t="s">
        <v>515</v>
      </c>
      <c r="I2160" s="415" t="s">
        <v>516</v>
      </c>
      <c r="J2160" s="105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6"/>
      <c r="H2161" s="421" t="s">
        <v>515</v>
      </c>
      <c r="I2161" s="422" t="s">
        <v>516</v>
      </c>
      <c r="J2161" s="105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6"/>
      <c r="H2162" s="429" t="s">
        <v>515</v>
      </c>
      <c r="I2162" s="430" t="s">
        <v>516</v>
      </c>
      <c r="J2162" s="105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6" t="s">
        <v>467</v>
      </c>
      <c r="H2165" s="414" t="s">
        <v>516</v>
      </c>
      <c r="I2165" s="415" t="s">
        <v>516</v>
      </c>
      <c r="J2165" s="105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6"/>
      <c r="H2166" s="429" t="s">
        <v>516</v>
      </c>
      <c r="I2166" s="430" t="s">
        <v>516</v>
      </c>
      <c r="J2166" s="105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3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3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3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3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6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6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3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3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3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3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3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3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3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3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3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3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3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3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3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3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3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3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3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3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0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0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0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0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0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0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0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0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0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0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0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0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0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0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0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0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0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0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0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0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0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0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0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0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0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0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0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0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0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0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0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0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0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0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0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0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0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0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0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0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0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0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0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0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0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0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0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0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0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0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0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0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0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0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0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0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0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0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0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0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0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0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0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0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0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0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0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0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0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0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0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0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0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0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0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0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0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0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0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0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0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0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0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0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0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0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0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0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0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0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0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0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0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0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0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0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0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0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0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0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0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0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0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0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0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0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0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0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0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0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0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0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0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0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0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0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0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0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0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0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0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0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0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6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0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0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0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0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0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0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0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0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0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0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0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0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0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0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0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0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0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0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0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0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0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0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0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0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0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0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0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0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0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0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0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0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0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0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0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0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0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0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0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0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0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0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0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0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0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0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0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0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0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0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0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0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0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0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0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0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0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0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0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0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0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0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0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0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0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0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0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0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0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0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0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0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0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0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0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0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0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0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0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0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0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0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0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0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0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0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0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0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0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0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0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0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0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0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0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0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0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0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0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0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0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0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0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0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0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0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0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0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0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0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0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0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0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0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0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0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0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0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0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0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0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0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0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0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0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0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0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0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0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0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0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0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0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0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0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0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0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0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0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0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0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0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0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0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0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0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0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0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0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0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0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0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0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0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0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0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0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0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0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0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0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0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0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0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0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0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0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0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0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0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0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0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0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0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0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0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0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0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0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0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0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0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0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0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0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0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0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0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0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0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0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0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0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0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0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0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0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0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0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0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0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0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0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0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0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0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0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0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0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0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0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0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0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0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0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0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0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0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0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0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0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0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0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0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0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0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0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0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0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0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0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0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0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0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0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0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0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0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0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0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0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0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0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0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0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0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0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0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0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0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0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0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0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0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0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0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0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0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0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0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0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0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0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0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0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0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0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0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0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0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0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0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0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0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0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0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0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0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0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0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0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0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0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0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0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0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0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0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0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0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0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0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0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0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0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0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0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0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0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0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0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0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0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0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0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0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0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0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0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0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0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0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0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0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0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0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0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0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0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0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0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0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0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0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0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0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0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0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0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0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0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0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0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0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0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0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0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0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0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0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0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0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0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0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0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0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0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0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0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0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0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0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0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0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0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0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0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0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0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0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0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0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0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0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0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0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0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0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0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0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0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0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0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0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0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0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0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0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0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0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0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0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0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0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0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0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0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0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0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0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0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0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0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0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0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0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0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0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0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0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0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0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0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0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0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0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0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0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0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0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0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0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0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0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0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0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0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0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0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0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0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0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0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0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0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0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0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0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0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0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0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0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0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0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0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0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0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0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0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0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0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0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0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0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0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0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0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0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0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0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0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0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0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0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0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0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0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0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0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0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0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0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0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0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0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0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0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0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0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0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0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0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0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0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0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0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0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0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0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0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0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0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0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0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0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0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0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0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0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0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0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0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0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0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0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0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0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0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0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0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0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0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0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0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0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0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0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0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0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0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0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0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0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0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0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0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0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0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0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0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0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0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0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0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0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0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0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0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0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0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0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0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0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0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0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0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0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0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0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0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0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0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0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0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0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0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0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0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0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0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0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7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0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0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7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7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0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0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0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0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0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0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0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0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0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0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0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0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0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0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0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0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0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0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0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0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0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0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0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0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0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0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0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0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0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0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9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0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0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0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7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0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0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0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0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0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0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0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0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0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0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0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0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0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0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0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0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0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0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0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0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0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0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0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0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9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0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0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0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0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0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0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0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0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0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0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0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0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0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0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0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0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0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0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0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0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0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0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0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0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0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0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0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0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9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9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0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0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0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0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0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0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0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0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00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00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00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0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0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0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0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00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0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0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2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2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2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0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0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0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0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0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0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00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00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0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0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0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0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0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0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0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0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0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0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00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00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99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99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0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0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0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91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8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00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00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0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0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0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3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0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14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0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0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0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0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00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00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00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00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99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99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1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2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2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0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99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99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0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0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0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7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00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5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00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5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9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6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79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00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00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00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8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7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9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6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04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0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05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12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8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00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00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04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10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09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10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05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11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8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04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05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8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00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00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9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04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3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09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78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05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78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99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99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99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9" t="str">
        <f t="shared" si="215"/>
        <v/>
      </c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99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997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1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03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8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9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1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03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8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5" t="s">
        <v>2537</v>
      </c>
    </row>
    <row r="7170" spans="1:16" ht="19.5" hidden="1" thickBot="1" x14ac:dyDescent="0.3">
      <c r="A7170" s="1000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5" t="s">
        <v>2536</v>
      </c>
    </row>
    <row r="7171" spans="1:16" ht="19.5" hidden="1" thickBot="1" x14ac:dyDescent="0.3">
      <c r="A7171" s="1000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8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76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00"/>
      <c r="B7174" s="983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77"/>
      <c r="H7174" s="915" t="s">
        <v>2424</v>
      </c>
      <c r="I7174" s="917" t="s">
        <v>1496</v>
      </c>
      <c r="J7174" s="984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00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77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9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77"/>
      <c r="H7176" s="594" t="s">
        <v>2424</v>
      </c>
      <c r="I7176" s="596" t="s">
        <v>2424</v>
      </c>
      <c r="J7176" s="980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1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2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03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998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1000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1000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x14ac:dyDescent="0.25">
      <c r="A7185" s="1001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x14ac:dyDescent="0.25">
      <c r="A7186" s="1002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986"/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thickBot="1" x14ac:dyDescent="0.3">
      <c r="A7187" s="1003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x14ac:dyDescent="0.25">
      <c r="A7188" s="995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x14ac:dyDescent="0.25">
      <c r="A7189" s="996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thickBot="1" x14ac:dyDescent="0.3">
      <c r="A7190" s="997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x14ac:dyDescent="0.25">
      <c r="A7191" s="1001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992" t="s">
        <v>2475</v>
      </c>
      <c r="H7191" s="483" t="s">
        <v>2471</v>
      </c>
      <c r="I7191" s="484" t="s">
        <v>2476</v>
      </c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x14ac:dyDescent="0.25">
      <c r="A7192" s="1002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993"/>
      <c r="H7192" s="763" t="s">
        <v>2471</v>
      </c>
      <c r="I7192" s="768" t="s">
        <v>2476</v>
      </c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x14ac:dyDescent="0.25">
      <c r="A7193" s="1002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993"/>
      <c r="H7193" s="860" t="s">
        <v>2471</v>
      </c>
      <c r="I7193" s="860" t="s">
        <v>2476</v>
      </c>
      <c r="J7193" s="865"/>
      <c r="K7193" s="976"/>
      <c r="L7193" s="860" t="s">
        <v>28</v>
      </c>
      <c r="M7193" s="860">
        <v>870</v>
      </c>
      <c r="N7193" s="981">
        <v>0.5</v>
      </c>
      <c r="O7193" s="897" t="s">
        <v>2533</v>
      </c>
      <c r="P7193" s="867" t="s">
        <v>2578</v>
      </c>
    </row>
    <row r="7194" spans="1:16" ht="19.5" thickBot="1" x14ac:dyDescent="0.3">
      <c r="A7194" s="1003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994"/>
      <c r="H7194" s="808" t="s">
        <v>2471</v>
      </c>
      <c r="I7194" s="808" t="s">
        <v>2476</v>
      </c>
      <c r="J7194" s="810"/>
      <c r="K7194" s="887"/>
      <c r="L7194" s="808" t="s">
        <v>28</v>
      </c>
      <c r="M7194" s="808">
        <v>795</v>
      </c>
      <c r="N7194" s="982">
        <v>0.5</v>
      </c>
      <c r="O7194" s="897" t="s">
        <v>2532</v>
      </c>
      <c r="P7194" s="867" t="s">
        <v>2579</v>
      </c>
    </row>
    <row r="7195" spans="1:16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x14ac:dyDescent="0.25">
      <c r="A7196" s="1004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x14ac:dyDescent="0.25">
      <c r="A7197" s="1009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thickBot="1" x14ac:dyDescent="0.3">
      <c r="A7198" s="1005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x14ac:dyDescent="0.25">
      <c r="A7199" s="995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thickBot="1" x14ac:dyDescent="0.3">
      <c r="A7200" s="997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x14ac:dyDescent="0.25">
      <c r="A7201" s="1001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x14ac:dyDescent="0.25">
      <c r="A7202" s="1002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986"/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thickBot="1" x14ac:dyDescent="0.3">
      <c r="A7203" s="1002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x14ac:dyDescent="0.25">
      <c r="A7204" s="1079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1" t="s">
        <v>1634</v>
      </c>
      <c r="H7204" s="535" t="s">
        <v>2476</v>
      </c>
      <c r="I7204" s="537" t="s">
        <v>2476</v>
      </c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thickBot="1" x14ac:dyDescent="0.3">
      <c r="A7205" s="1080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2"/>
      <c r="H7205" s="801" t="s">
        <v>2476</v>
      </c>
      <c r="I7205" s="801" t="s">
        <v>2476</v>
      </c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x14ac:dyDescent="0.25">
      <c r="A7206" s="1004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3" t="s">
        <v>1634</v>
      </c>
      <c r="H7206" s="483" t="s">
        <v>2476</v>
      </c>
      <c r="I7206" s="484" t="s">
        <v>2546</v>
      </c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thickBot="1" x14ac:dyDescent="0.3">
      <c r="A7207" s="1005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4"/>
      <c r="H7207" s="808" t="s">
        <v>2476</v>
      </c>
      <c r="I7207" s="808" t="s">
        <v>2546</v>
      </c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x14ac:dyDescent="0.25">
      <c r="A7209" s="1004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thickBot="1" x14ac:dyDescent="0.3">
      <c r="A7210" s="1009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thickBot="1" x14ac:dyDescent="0.3">
      <c r="A7211" s="503">
        <f t="shared" ref="A7211:A7216" si="219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4"/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thickBot="1" x14ac:dyDescent="0.3">
      <c r="A7212" s="513">
        <f t="shared" si="219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4"/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2649</v>
      </c>
    </row>
    <row r="7213" spans="1:18" ht="19.5" thickBot="1" x14ac:dyDescent="0.3">
      <c r="A7213" s="503">
        <f t="shared" si="219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4"/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2661</v>
      </c>
    </row>
    <row r="7214" spans="1:18" ht="19.5" thickBot="1" x14ac:dyDescent="0.3">
      <c r="A7214" s="513">
        <f t="shared" si="219"/>
        <v>4442</v>
      </c>
      <c r="B7214" s="663" t="s">
        <v>2476</v>
      </c>
      <c r="C7214" s="664" t="s">
        <v>32</v>
      </c>
      <c r="D7214" s="665">
        <v>17.600000000000001</v>
      </c>
      <c r="E7214" s="666"/>
      <c r="F7214" s="667" t="s">
        <v>16</v>
      </c>
      <c r="G7214" s="668" t="s">
        <v>2299</v>
      </c>
      <c r="H7214" s="667" t="s">
        <v>2525</v>
      </c>
      <c r="I7214" s="669"/>
      <c r="J7214" s="670"/>
      <c r="K7214" s="663"/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2413</v>
      </c>
    </row>
    <row r="7215" spans="1:18" ht="19.5" thickBot="1" x14ac:dyDescent="0.3">
      <c r="A7215" s="551">
        <f t="shared" si="219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2"/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2648</v>
      </c>
    </row>
    <row r="7216" spans="1:18" x14ac:dyDescent="0.25">
      <c r="A7216" s="1001">
        <f t="shared" si="219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79"/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2642</v>
      </c>
      <c r="Q7216" s="847" t="s">
        <v>2643</v>
      </c>
      <c r="R7216" s="847" t="s">
        <v>2644</v>
      </c>
    </row>
    <row r="7217" spans="1:20" ht="19.5" thickBot="1" x14ac:dyDescent="0.3">
      <c r="A7217" s="1003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87"/>
      <c r="L7217" s="808" t="s">
        <v>265</v>
      </c>
      <c r="M7217" s="808">
        <v>3030</v>
      </c>
      <c r="N7217" s="778">
        <v>0.375</v>
      </c>
      <c r="O7217" s="897" t="s">
        <v>2637</v>
      </c>
      <c r="P7217" s="867" t="s">
        <v>2641</v>
      </c>
    </row>
    <row r="7218" spans="1:20" x14ac:dyDescent="0.25">
      <c r="A7218" s="995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3"/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2645</v>
      </c>
      <c r="Q7218" s="847" t="s">
        <v>2647</v>
      </c>
      <c r="T7218" s="833"/>
    </row>
    <row r="7219" spans="1:20" ht="19.5" thickBot="1" x14ac:dyDescent="0.3">
      <c r="A7219" s="997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48"/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2646</v>
      </c>
    </row>
    <row r="7220" spans="1:20" ht="19.5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/>
      <c r="F7220" s="518" t="s">
        <v>30</v>
      </c>
      <c r="G7220" s="519"/>
      <c r="H7220" s="518" t="s">
        <v>2565</v>
      </c>
      <c r="I7220" s="520"/>
      <c r="J7220" s="521"/>
      <c r="K7220" s="514"/>
      <c r="L7220" s="518" t="s">
        <v>28</v>
      </c>
      <c r="M7220" s="518">
        <v>13638.64</v>
      </c>
      <c r="N7220" s="522">
        <v>0.41666666666666669</v>
      </c>
      <c r="O7220" s="897" t="s">
        <v>2569</v>
      </c>
    </row>
    <row r="7221" spans="1:20" x14ac:dyDescent="0.25">
      <c r="A7221" s="995">
        <f t="shared" ref="A7221" si="220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3"/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2659</v>
      </c>
    </row>
    <row r="7222" spans="1:20" ht="19.5" thickBot="1" x14ac:dyDescent="0.3">
      <c r="A7222" s="997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/>
      <c r="H7222" s="801" t="s">
        <v>2568</v>
      </c>
      <c r="I7222" s="801" t="s">
        <v>2587</v>
      </c>
      <c r="J7222" s="803"/>
      <c r="K7222" s="848"/>
      <c r="L7222" s="801" t="s">
        <v>265</v>
      </c>
      <c r="M7222" s="801">
        <v>510</v>
      </c>
      <c r="N7222" s="804">
        <v>0.375</v>
      </c>
      <c r="O7222" s="897" t="s">
        <v>2650</v>
      </c>
      <c r="P7222" s="867" t="s">
        <v>2660</v>
      </c>
    </row>
    <row r="7223" spans="1:20" x14ac:dyDescent="0.25">
      <c r="A7223" s="1001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/>
      <c r="F7223" s="483" t="s">
        <v>16</v>
      </c>
      <c r="G7223" s="549"/>
      <c r="H7223" s="483" t="s">
        <v>2568</v>
      </c>
      <c r="I7223" s="484"/>
      <c r="J7223" s="485"/>
      <c r="K7223" s="479"/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>
        <v>6311080</v>
      </c>
      <c r="R7223" s="833" t="s">
        <v>2619</v>
      </c>
      <c r="S7223" s="2">
        <v>6311970</v>
      </c>
    </row>
    <row r="7224" spans="1:20" ht="19.5" thickBot="1" x14ac:dyDescent="0.3">
      <c r="A7224" s="1003"/>
      <c r="B7224" s="805" t="s">
        <v>2568</v>
      </c>
      <c r="C7224" s="806" t="s">
        <v>24</v>
      </c>
      <c r="D7224" s="807">
        <v>0.67</v>
      </c>
      <c r="E7224" s="807"/>
      <c r="F7224" s="808" t="s">
        <v>16</v>
      </c>
      <c r="G7224" s="809"/>
      <c r="H7224" s="808" t="s">
        <v>2568</v>
      </c>
      <c r="I7224" s="808"/>
      <c r="J7224" s="810"/>
      <c r="K7224" s="887"/>
      <c r="L7224" s="808" t="s">
        <v>28</v>
      </c>
      <c r="M7224" s="808">
        <v>675</v>
      </c>
      <c r="N7224" s="778">
        <v>0.41666666666666669</v>
      </c>
      <c r="O7224" s="897" t="s">
        <v>2638</v>
      </c>
    </row>
    <row r="7225" spans="1:20" x14ac:dyDescent="0.25">
      <c r="A7225" s="995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3"/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2671</v>
      </c>
    </row>
    <row r="7226" spans="1:20" ht="19.5" thickBot="1" x14ac:dyDescent="0.3">
      <c r="A7226" s="997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48"/>
      <c r="L7226" s="801" t="s">
        <v>28</v>
      </c>
      <c r="M7226" s="801">
        <v>795</v>
      </c>
      <c r="N7226" s="804">
        <v>0.45833333333333331</v>
      </c>
      <c r="O7226" s="897" t="s">
        <v>2639</v>
      </c>
      <c r="P7226" s="867" t="s">
        <v>2672</v>
      </c>
    </row>
    <row r="7227" spans="1:20" x14ac:dyDescent="0.25">
      <c r="A7227" s="1001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/>
      <c r="F7227" s="483" t="s">
        <v>16</v>
      </c>
      <c r="G7227" s="549"/>
      <c r="H7227" s="483" t="s">
        <v>2568</v>
      </c>
      <c r="I7227" s="484"/>
      <c r="J7227" s="485"/>
      <c r="K7227" s="479"/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>
        <v>6311078</v>
      </c>
      <c r="Q7227" s="847">
        <v>17050</v>
      </c>
      <c r="R7227" s="833" t="s">
        <v>2615</v>
      </c>
    </row>
    <row r="7228" spans="1:20" ht="19.5" thickBot="1" x14ac:dyDescent="0.3">
      <c r="A7228" s="1003"/>
      <c r="B7228" s="805" t="s">
        <v>2568</v>
      </c>
      <c r="C7228" s="806" t="s">
        <v>47</v>
      </c>
      <c r="D7228" s="807">
        <v>0.8</v>
      </c>
      <c r="E7228" s="807"/>
      <c r="F7228" s="808" t="s">
        <v>16</v>
      </c>
      <c r="G7228" s="809"/>
      <c r="H7228" s="808" t="s">
        <v>2568</v>
      </c>
      <c r="I7228" s="808"/>
      <c r="J7228" s="810"/>
      <c r="K7228" s="887"/>
      <c r="L7228" s="808" t="s">
        <v>28</v>
      </c>
      <c r="M7228" s="808">
        <v>810</v>
      </c>
      <c r="N7228" s="778">
        <v>0.5</v>
      </c>
      <c r="O7228" s="897" t="s">
        <v>2640</v>
      </c>
      <c r="Q7228" s="847">
        <v>809</v>
      </c>
      <c r="R7228" s="833" t="s">
        <v>2615</v>
      </c>
    </row>
    <row r="7229" spans="1:20" ht="19.5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4"/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2664</v>
      </c>
    </row>
    <row r="7230" spans="1:20" x14ac:dyDescent="0.25">
      <c r="A7230" s="1004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79"/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2655</v>
      </c>
    </row>
    <row r="7231" spans="1:20" ht="19.5" thickBot="1" x14ac:dyDescent="0.3">
      <c r="A7231" s="1005"/>
      <c r="B7231" s="645" t="s">
        <v>2525</v>
      </c>
      <c r="C7231" s="646" t="s">
        <v>981</v>
      </c>
      <c r="D7231" s="647">
        <v>4.2160000000000002</v>
      </c>
      <c r="E7231" s="648"/>
      <c r="F7231" s="649" t="s">
        <v>16</v>
      </c>
      <c r="G7231" s="650"/>
      <c r="H7231" s="649" t="s">
        <v>2568</v>
      </c>
      <c r="I7231" s="651"/>
      <c r="J7231" s="652"/>
      <c r="K7231" s="645"/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</row>
    <row r="7232" spans="1:20" x14ac:dyDescent="0.25">
      <c r="A7232" s="998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/>
      <c r="F7232" s="535" t="s">
        <v>16</v>
      </c>
      <c r="G7232" s="536"/>
      <c r="H7232" s="535" t="s">
        <v>2568</v>
      </c>
      <c r="I7232" s="537"/>
      <c r="J7232" s="538"/>
      <c r="K7232" s="531"/>
      <c r="L7232" s="535" t="s">
        <v>266</v>
      </c>
      <c r="M7232" s="535">
        <v>3859.44</v>
      </c>
      <c r="N7232" s="539">
        <v>0.58333333333333337</v>
      </c>
      <c r="O7232" s="897" t="s">
        <v>2595</v>
      </c>
    </row>
    <row r="7233" spans="1:16" x14ac:dyDescent="0.25">
      <c r="A7233" s="1000"/>
      <c r="B7233" s="563" t="s">
        <v>2525</v>
      </c>
      <c r="C7233" s="564" t="s">
        <v>480</v>
      </c>
      <c r="D7233" s="565">
        <v>9.3000000000000007</v>
      </c>
      <c r="E7233" s="566"/>
      <c r="F7233" s="567" t="s">
        <v>16</v>
      </c>
      <c r="G7233" s="568"/>
      <c r="H7233" s="567" t="s">
        <v>2568</v>
      </c>
      <c r="I7233" s="569"/>
      <c r="J7233" s="570"/>
      <c r="K7233" s="563"/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</row>
    <row r="7234" spans="1:16" ht="19.5" thickBot="1" x14ac:dyDescent="0.3">
      <c r="A7234" s="999"/>
      <c r="B7234" s="636" t="s">
        <v>2525</v>
      </c>
      <c r="C7234" s="637" t="s">
        <v>32</v>
      </c>
      <c r="D7234" s="638">
        <v>1.657</v>
      </c>
      <c r="E7234" s="639"/>
      <c r="F7234" s="640" t="s">
        <v>16</v>
      </c>
      <c r="G7234" s="641" t="s">
        <v>1702</v>
      </c>
      <c r="H7234" s="640" t="s">
        <v>2568</v>
      </c>
      <c r="I7234" s="642"/>
      <c r="J7234" s="643"/>
      <c r="K7234" s="636"/>
      <c r="L7234" s="640" t="s">
        <v>266</v>
      </c>
      <c r="M7234" s="640">
        <v>1657</v>
      </c>
      <c r="N7234" s="644">
        <v>0.58333333333333337</v>
      </c>
      <c r="O7234" s="897" t="s">
        <v>2594</v>
      </c>
    </row>
    <row r="7235" spans="1:16" ht="56.25" x14ac:dyDescent="0.25">
      <c r="A7235" s="1004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7" t="s">
        <v>2613</v>
      </c>
      <c r="H7235" s="483" t="s">
        <v>2568</v>
      </c>
      <c r="I7235" s="484" t="s">
        <v>2587</v>
      </c>
      <c r="J7235" s="485"/>
      <c r="K7235" s="479"/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2663</v>
      </c>
    </row>
    <row r="7236" spans="1:16" ht="19.5" thickBot="1" x14ac:dyDescent="0.3">
      <c r="A7236" s="1005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5"/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2662</v>
      </c>
    </row>
    <row r="7237" spans="1:16" x14ac:dyDescent="0.25">
      <c r="A7237" s="998">
        <f>MAX(A7063:A7236)+1</f>
        <v>4455</v>
      </c>
      <c r="B7237" s="750" t="s">
        <v>2525</v>
      </c>
      <c r="C7237" s="751" t="s">
        <v>41</v>
      </c>
      <c r="D7237" s="752">
        <v>2</v>
      </c>
      <c r="E7237" s="753"/>
      <c r="F7237" s="754" t="s">
        <v>16</v>
      </c>
      <c r="G7237" s="931" t="s">
        <v>2299</v>
      </c>
      <c r="H7237" s="754" t="s">
        <v>2568</v>
      </c>
      <c r="I7237" s="932"/>
      <c r="J7237" s="755"/>
      <c r="K7237" s="750"/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2413</v>
      </c>
    </row>
    <row r="7238" spans="1:16" x14ac:dyDescent="0.25">
      <c r="A7238" s="1000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3"/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2657</v>
      </c>
    </row>
    <row r="7239" spans="1:16" x14ac:dyDescent="0.25">
      <c r="A7239" s="1000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3"/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2658</v>
      </c>
    </row>
    <row r="7240" spans="1:16" x14ac:dyDescent="0.25">
      <c r="A7240" s="1000"/>
      <c r="B7240" s="911" t="s">
        <v>2525</v>
      </c>
      <c r="C7240" s="912" t="s">
        <v>981</v>
      </c>
      <c r="D7240" s="913">
        <v>0.998</v>
      </c>
      <c r="E7240" s="914"/>
      <c r="F7240" s="915" t="s">
        <v>16</v>
      </c>
      <c r="G7240" s="916" t="s">
        <v>2299</v>
      </c>
      <c r="H7240" s="915" t="s">
        <v>2568</v>
      </c>
      <c r="I7240" s="917"/>
      <c r="J7240" s="918"/>
      <c r="K7240" s="911"/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2413</v>
      </c>
    </row>
    <row r="7241" spans="1:16" ht="19.5" thickBot="1" x14ac:dyDescent="0.3">
      <c r="A7241" s="999"/>
      <c r="B7241" s="933" t="s">
        <v>2525</v>
      </c>
      <c r="C7241" s="934" t="s">
        <v>32</v>
      </c>
      <c r="D7241" s="935">
        <v>2.496</v>
      </c>
      <c r="E7241" s="936"/>
      <c r="F7241" s="937" t="s">
        <v>16</v>
      </c>
      <c r="G7241" s="938" t="s">
        <v>2586</v>
      </c>
      <c r="H7241" s="937" t="s">
        <v>2568</v>
      </c>
      <c r="I7241" s="939"/>
      <c r="J7241" s="940"/>
      <c r="K7241" s="933"/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2413</v>
      </c>
    </row>
    <row r="7242" spans="1:16" x14ac:dyDescent="0.25">
      <c r="A7242" s="1001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/>
      <c r="F7242" s="483" t="s">
        <v>16</v>
      </c>
      <c r="G7242" s="989"/>
      <c r="H7242" s="483" t="s">
        <v>2587</v>
      </c>
      <c r="I7242" s="484"/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</row>
    <row r="7243" spans="1:16" ht="19.5" thickBot="1" x14ac:dyDescent="0.3">
      <c r="A7243" s="1003"/>
      <c r="B7243" s="805" t="s">
        <v>2614</v>
      </c>
      <c r="C7243" s="806" t="s">
        <v>26</v>
      </c>
      <c r="D7243" s="807">
        <v>1.4</v>
      </c>
      <c r="E7243" s="807"/>
      <c r="F7243" s="808" t="s">
        <v>16</v>
      </c>
      <c r="G7243" s="809" t="s">
        <v>76</v>
      </c>
      <c r="H7243" s="808" t="s">
        <v>2587</v>
      </c>
      <c r="I7243" s="808"/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2669</v>
      </c>
    </row>
    <row r="7244" spans="1:16" x14ac:dyDescent="0.25">
      <c r="A7244" s="998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/>
      <c r="F7244" s="535" t="s">
        <v>16</v>
      </c>
      <c r="G7244" s="536"/>
      <c r="H7244" s="535" t="s">
        <v>2587</v>
      </c>
      <c r="I7244" s="537"/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</row>
    <row r="7245" spans="1:16" x14ac:dyDescent="0.25">
      <c r="A7245" s="1000"/>
      <c r="B7245" s="563" t="s">
        <v>2525</v>
      </c>
      <c r="C7245" s="564" t="s">
        <v>952</v>
      </c>
      <c r="D7245" s="565">
        <v>2.246</v>
      </c>
      <c r="E7245" s="566"/>
      <c r="F7245" s="567" t="s">
        <v>16</v>
      </c>
      <c r="G7245" s="568"/>
      <c r="H7245" s="567" t="s">
        <v>2587</v>
      </c>
      <c r="I7245" s="569"/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</row>
    <row r="7246" spans="1:16" ht="19.5" thickBot="1" x14ac:dyDescent="0.3">
      <c r="A7246" s="999"/>
      <c r="B7246" s="832" t="s">
        <v>2614</v>
      </c>
      <c r="C7246" s="827" t="s">
        <v>26</v>
      </c>
      <c r="D7246" s="828">
        <v>2.1</v>
      </c>
      <c r="E7246" s="828"/>
      <c r="F7246" s="829" t="s">
        <v>16</v>
      </c>
      <c r="G7246" s="830" t="s">
        <v>76</v>
      </c>
      <c r="H7246" s="829" t="s">
        <v>2587</v>
      </c>
      <c r="I7246" s="829"/>
      <c r="J7246" s="831"/>
      <c r="K7246" s="832"/>
      <c r="L7246" s="829" t="s">
        <v>265</v>
      </c>
      <c r="M7246" s="829">
        <v>2130</v>
      </c>
      <c r="N7246" s="644">
        <v>8.3333333333333329E-2</v>
      </c>
      <c r="O7246" s="897" t="s">
        <v>2669</v>
      </c>
    </row>
    <row r="7247" spans="1:16" ht="56.25" x14ac:dyDescent="0.25">
      <c r="A7247" s="1004">
        <f>MAX(A7071:A7246)+1</f>
        <v>4458</v>
      </c>
      <c r="B7247" s="479" t="s">
        <v>2525</v>
      </c>
      <c r="C7247" s="480" t="s">
        <v>587</v>
      </c>
      <c r="D7247" s="481">
        <v>0.96399999999999997</v>
      </c>
      <c r="E7247" s="482"/>
      <c r="F7247" s="483" t="s">
        <v>16</v>
      </c>
      <c r="G7247" s="549" t="s">
        <v>794</v>
      </c>
      <c r="H7247" s="483" t="s">
        <v>2587</v>
      </c>
      <c r="I7247" s="484"/>
      <c r="J7247" s="485"/>
      <c r="K7247" s="479"/>
      <c r="L7247" s="483" t="s">
        <v>28</v>
      </c>
      <c r="M7247" s="483">
        <v>964.8</v>
      </c>
      <c r="N7247" s="486">
        <v>0.41666666666666669</v>
      </c>
      <c r="O7247" s="897" t="s">
        <v>2597</v>
      </c>
      <c r="P7247" s="867">
        <v>6311164</v>
      </c>
    </row>
    <row r="7248" spans="1:16" x14ac:dyDescent="0.25">
      <c r="A7248" s="1009"/>
      <c r="B7248" s="523" t="s">
        <v>2525</v>
      </c>
      <c r="C7248" s="524" t="s">
        <v>587</v>
      </c>
      <c r="D7248" s="525">
        <v>7.2750000000000004</v>
      </c>
      <c r="E7248" s="526"/>
      <c r="F7248" s="527" t="s">
        <v>16</v>
      </c>
      <c r="G7248" s="561" t="s">
        <v>47</v>
      </c>
      <c r="H7248" s="527" t="s">
        <v>2587</v>
      </c>
      <c r="I7248" s="528"/>
      <c r="J7248" s="529"/>
      <c r="K7248" s="523"/>
      <c r="L7248" s="527" t="s">
        <v>28</v>
      </c>
      <c r="M7248" s="527">
        <v>7275.92</v>
      </c>
      <c r="N7248" s="530">
        <v>0.41666666666666669</v>
      </c>
      <c r="O7248" s="897" t="s">
        <v>2598</v>
      </c>
      <c r="P7248" s="867">
        <v>6311156</v>
      </c>
    </row>
    <row r="7249" spans="1:16" x14ac:dyDescent="0.25">
      <c r="A7249" s="1009"/>
      <c r="B7249" s="523" t="s">
        <v>2525</v>
      </c>
      <c r="C7249" s="524" t="s">
        <v>47</v>
      </c>
      <c r="D7249" s="525">
        <v>9.3019999999999996</v>
      </c>
      <c r="E7249" s="526"/>
      <c r="F7249" s="527" t="s">
        <v>16</v>
      </c>
      <c r="G7249" s="561"/>
      <c r="H7249" s="527" t="s">
        <v>2587</v>
      </c>
      <c r="I7249" s="528"/>
      <c r="J7249" s="529"/>
      <c r="K7249" s="523"/>
      <c r="L7249" s="527" t="s">
        <v>28</v>
      </c>
      <c r="M7249" s="527">
        <v>9418.86</v>
      </c>
      <c r="N7249" s="530">
        <v>0.41666666666666669</v>
      </c>
      <c r="O7249" s="897" t="s">
        <v>2596</v>
      </c>
      <c r="P7249" s="867">
        <v>6311183</v>
      </c>
    </row>
    <row r="7250" spans="1:16" ht="19.5" thickBot="1" x14ac:dyDescent="0.3">
      <c r="A7250" s="1005"/>
      <c r="B7250" s="859" t="s">
        <v>2587</v>
      </c>
      <c r="C7250" s="854" t="s">
        <v>47</v>
      </c>
      <c r="D7250" s="855">
        <v>0.8</v>
      </c>
      <c r="E7250" s="855"/>
      <c r="F7250" s="856" t="s">
        <v>16</v>
      </c>
      <c r="G7250" s="857" t="s">
        <v>76</v>
      </c>
      <c r="H7250" s="856" t="s">
        <v>2587</v>
      </c>
      <c r="I7250" s="856"/>
      <c r="J7250" s="858"/>
      <c r="K7250" s="859"/>
      <c r="L7250" s="856" t="s">
        <v>28</v>
      </c>
      <c r="M7250" s="856">
        <v>810</v>
      </c>
      <c r="N7250" s="653">
        <v>0.41666666666666669</v>
      </c>
      <c r="O7250" s="897" t="s">
        <v>2652</v>
      </c>
    </row>
    <row r="7251" spans="1:16" x14ac:dyDescent="0.25">
      <c r="A7251" s="998">
        <f>MAX(A7074:A7250)+1</f>
        <v>4459</v>
      </c>
      <c r="B7251" s="531" t="s">
        <v>2525</v>
      </c>
      <c r="C7251" s="532" t="s">
        <v>913</v>
      </c>
      <c r="D7251" s="533">
        <v>1.55</v>
      </c>
      <c r="E7251" s="534">
        <v>1.4430000000000001</v>
      </c>
      <c r="F7251" s="535" t="s">
        <v>16</v>
      </c>
      <c r="G7251" s="536"/>
      <c r="H7251" s="535" t="s">
        <v>2587</v>
      </c>
      <c r="I7251" s="537" t="s">
        <v>2587</v>
      </c>
      <c r="J7251" s="538"/>
      <c r="K7251" s="531"/>
      <c r="L7251" s="535" t="s">
        <v>266</v>
      </c>
      <c r="M7251" s="535">
        <v>1556.3</v>
      </c>
      <c r="N7251" s="539">
        <v>0.45833333333333331</v>
      </c>
      <c r="O7251" s="897" t="s">
        <v>2600</v>
      </c>
      <c r="P7251" s="867" t="s">
        <v>2656</v>
      </c>
    </row>
    <row r="7252" spans="1:16" x14ac:dyDescent="0.25">
      <c r="A7252" s="1000"/>
      <c r="B7252" s="563" t="s">
        <v>2525</v>
      </c>
      <c r="C7252" s="564" t="s">
        <v>23</v>
      </c>
      <c r="D7252" s="565">
        <v>16.050999999999998</v>
      </c>
      <c r="E7252" s="566"/>
      <c r="F7252" s="567" t="s">
        <v>16</v>
      </c>
      <c r="G7252" s="568"/>
      <c r="H7252" s="567" t="s">
        <v>2587</v>
      </c>
      <c r="I7252" s="569"/>
      <c r="J7252" s="570"/>
      <c r="K7252" s="563"/>
      <c r="L7252" s="567" t="s">
        <v>28</v>
      </c>
      <c r="M7252" s="567">
        <v>16165.960000000001</v>
      </c>
      <c r="N7252" s="571">
        <v>0.45833333333333331</v>
      </c>
      <c r="O7252" s="897" t="s">
        <v>2599</v>
      </c>
      <c r="P7252" s="867">
        <v>6311153</v>
      </c>
    </row>
    <row r="7253" spans="1:16" ht="19.5" thickBot="1" x14ac:dyDescent="0.3">
      <c r="A7253" s="999"/>
      <c r="B7253" s="832" t="s">
        <v>2587</v>
      </c>
      <c r="C7253" s="827" t="s">
        <v>23</v>
      </c>
      <c r="D7253" s="828">
        <v>0.6</v>
      </c>
      <c r="E7253" s="828"/>
      <c r="F7253" s="829" t="s">
        <v>16</v>
      </c>
      <c r="G7253" s="830" t="s">
        <v>76</v>
      </c>
      <c r="H7253" s="829" t="s">
        <v>2587</v>
      </c>
      <c r="I7253" s="829"/>
      <c r="J7253" s="831"/>
      <c r="K7253" s="832"/>
      <c r="L7253" s="829" t="s">
        <v>28</v>
      </c>
      <c r="M7253" s="829">
        <v>600</v>
      </c>
      <c r="N7253" s="644">
        <v>0.45833333333333331</v>
      </c>
      <c r="O7253" s="897" t="s">
        <v>2653</v>
      </c>
    </row>
    <row r="7254" spans="1:16" x14ac:dyDescent="0.25">
      <c r="A7254" s="1001">
        <f>MAX(A7076:A7253)+1</f>
        <v>4460</v>
      </c>
      <c r="B7254" s="610" t="s">
        <v>2525</v>
      </c>
      <c r="C7254" s="480" t="s">
        <v>15</v>
      </c>
      <c r="D7254" s="481">
        <v>17.529</v>
      </c>
      <c r="E7254" s="482"/>
      <c r="F7254" s="483" t="s">
        <v>16</v>
      </c>
      <c r="G7254" s="549"/>
      <c r="H7254" s="483" t="s">
        <v>2587</v>
      </c>
      <c r="I7254" s="484"/>
      <c r="J7254" s="485"/>
      <c r="K7254" s="479"/>
      <c r="L7254" s="483" t="s">
        <v>28</v>
      </c>
      <c r="M7254" s="483">
        <v>17727.21</v>
      </c>
      <c r="N7254" s="486">
        <v>0.5</v>
      </c>
      <c r="O7254" s="897" t="s">
        <v>2601</v>
      </c>
      <c r="P7254" s="867">
        <v>6311144</v>
      </c>
    </row>
    <row r="7255" spans="1:16" ht="19.5" thickBot="1" x14ac:dyDescent="0.3">
      <c r="A7255" s="1003"/>
      <c r="B7255" s="805" t="s">
        <v>2587</v>
      </c>
      <c r="C7255" s="806" t="s">
        <v>15</v>
      </c>
      <c r="D7255" s="807">
        <v>0.5</v>
      </c>
      <c r="E7255" s="807"/>
      <c r="F7255" s="808" t="s">
        <v>16</v>
      </c>
      <c r="G7255" s="857" t="s">
        <v>76</v>
      </c>
      <c r="H7255" s="808" t="s">
        <v>2587</v>
      </c>
      <c r="I7255" s="808"/>
      <c r="J7255" s="810"/>
      <c r="K7255" s="887"/>
      <c r="L7255" s="808" t="s">
        <v>28</v>
      </c>
      <c r="M7255" s="808">
        <v>510</v>
      </c>
      <c r="N7255" s="778">
        <v>0.5</v>
      </c>
      <c r="O7255" s="897" t="s">
        <v>2651</v>
      </c>
    </row>
    <row r="7256" spans="1:16" ht="19.5" thickBot="1" x14ac:dyDescent="0.3">
      <c r="A7256" s="503">
        <f>MAX(A7077:A7254)+1</f>
        <v>4461</v>
      </c>
      <c r="B7256" s="504" t="s">
        <v>2565</v>
      </c>
      <c r="C7256" s="505" t="s">
        <v>26</v>
      </c>
      <c r="D7256" s="506">
        <v>15.423</v>
      </c>
      <c r="E7256" s="507">
        <v>15.423</v>
      </c>
      <c r="F7256" s="508" t="s">
        <v>30</v>
      </c>
      <c r="G7256" s="509"/>
      <c r="H7256" s="508" t="s">
        <v>2587</v>
      </c>
      <c r="I7256" s="510" t="s">
        <v>2587</v>
      </c>
      <c r="J7256" s="511"/>
      <c r="K7256" s="504"/>
      <c r="L7256" s="508" t="s">
        <v>265</v>
      </c>
      <c r="M7256" s="508">
        <v>15423.2</v>
      </c>
      <c r="N7256" s="512">
        <v>4.1666666666666664E-2</v>
      </c>
      <c r="O7256" s="897" t="s">
        <v>2617</v>
      </c>
      <c r="P7256" s="867" t="s">
        <v>2654</v>
      </c>
    </row>
    <row r="7257" spans="1:16" x14ac:dyDescent="0.25">
      <c r="A7257" s="1001">
        <f>MAX(A7078:A7256)+1</f>
        <v>4462</v>
      </c>
      <c r="B7257" s="610" t="s">
        <v>2565</v>
      </c>
      <c r="C7257" s="480" t="s">
        <v>26</v>
      </c>
      <c r="D7257" s="481">
        <v>17.606000000000002</v>
      </c>
      <c r="E7257" s="482"/>
      <c r="F7257" s="483" t="s">
        <v>16</v>
      </c>
      <c r="G7257" s="989"/>
      <c r="H7257" s="483" t="s">
        <v>2614</v>
      </c>
      <c r="I7257" s="484"/>
      <c r="J7257" s="485"/>
      <c r="K7257" s="479"/>
      <c r="L7257" s="483" t="s">
        <v>265</v>
      </c>
      <c r="M7257" s="483">
        <v>17751.039999999997</v>
      </c>
      <c r="N7257" s="486">
        <v>4.1666666666666664E-2</v>
      </c>
      <c r="O7257" s="897" t="s">
        <v>2622</v>
      </c>
    </row>
    <row r="7258" spans="1:16" ht="19.5" thickBot="1" x14ac:dyDescent="0.3">
      <c r="A7258" s="1003"/>
      <c r="B7258" s="805" t="s">
        <v>2614</v>
      </c>
      <c r="C7258" s="806" t="s">
        <v>26</v>
      </c>
      <c r="D7258" s="807">
        <v>2.2000000000000002</v>
      </c>
      <c r="E7258" s="807"/>
      <c r="F7258" s="808" t="s">
        <v>16</v>
      </c>
      <c r="G7258" s="809" t="s">
        <v>76</v>
      </c>
      <c r="H7258" s="808" t="s">
        <v>2614</v>
      </c>
      <c r="I7258" s="808"/>
      <c r="J7258" s="810"/>
      <c r="K7258" s="887"/>
      <c r="L7258" s="808" t="s">
        <v>265</v>
      </c>
      <c r="M7258" s="808">
        <v>2220</v>
      </c>
      <c r="N7258" s="778">
        <v>4.1666666666666664E-2</v>
      </c>
      <c r="O7258" s="897" t="s">
        <v>2669</v>
      </c>
    </row>
    <row r="7259" spans="1:16" x14ac:dyDescent="0.25">
      <c r="A7259" s="998">
        <f>MAX(A7079:A7257)+1</f>
        <v>4463</v>
      </c>
      <c r="B7259" s="531" t="s">
        <v>2565</v>
      </c>
      <c r="C7259" s="532" t="s">
        <v>26</v>
      </c>
      <c r="D7259" s="533">
        <v>10.585000000000001</v>
      </c>
      <c r="E7259" s="534"/>
      <c r="F7259" s="535" t="s">
        <v>16</v>
      </c>
      <c r="G7259" s="536"/>
      <c r="H7259" s="535" t="s">
        <v>2614</v>
      </c>
      <c r="I7259" s="537"/>
      <c r="J7259" s="538"/>
      <c r="K7259" s="531"/>
      <c r="L7259" s="535" t="s">
        <v>265</v>
      </c>
      <c r="M7259" s="535">
        <v>10686.22</v>
      </c>
      <c r="N7259" s="539">
        <v>8.3333333333333329E-2</v>
      </c>
      <c r="O7259" s="897" t="s">
        <v>2624</v>
      </c>
    </row>
    <row r="7260" spans="1:16" x14ac:dyDescent="0.25">
      <c r="A7260" s="1000"/>
      <c r="B7260" s="563" t="s">
        <v>2565</v>
      </c>
      <c r="C7260" s="564" t="s">
        <v>1358</v>
      </c>
      <c r="D7260" s="565">
        <v>2.1509999999999998</v>
      </c>
      <c r="E7260" s="566"/>
      <c r="F7260" s="567" t="s">
        <v>16</v>
      </c>
      <c r="G7260" s="568" t="s">
        <v>844</v>
      </c>
      <c r="H7260" s="567" t="s">
        <v>2614</v>
      </c>
      <c r="I7260" s="569"/>
      <c r="J7260" s="570"/>
      <c r="K7260" s="563"/>
      <c r="L7260" s="567" t="s">
        <v>265</v>
      </c>
      <c r="M7260" s="567">
        <v>2259.3000000000002</v>
      </c>
      <c r="N7260" s="571">
        <v>8.3333333333333329E-2</v>
      </c>
      <c r="O7260" s="897" t="s">
        <v>2625</v>
      </c>
    </row>
    <row r="7261" spans="1:16" x14ac:dyDescent="0.25">
      <c r="A7261" s="1000"/>
      <c r="B7261" s="563" t="s">
        <v>2565</v>
      </c>
      <c r="C7261" s="564" t="s">
        <v>1358</v>
      </c>
      <c r="D7261" s="565">
        <v>4.8019999999999996</v>
      </c>
      <c r="E7261" s="566"/>
      <c r="F7261" s="567" t="s">
        <v>16</v>
      </c>
      <c r="G7261" s="568" t="s">
        <v>845</v>
      </c>
      <c r="H7261" s="567" t="s">
        <v>2614</v>
      </c>
      <c r="I7261" s="569"/>
      <c r="J7261" s="570"/>
      <c r="K7261" s="563"/>
      <c r="L7261" s="567" t="s">
        <v>265</v>
      </c>
      <c r="M7261" s="567">
        <v>4914</v>
      </c>
      <c r="N7261" s="571">
        <v>8.3333333333333329E-2</v>
      </c>
      <c r="O7261" s="897" t="s">
        <v>2626</v>
      </c>
    </row>
    <row r="7262" spans="1:16" ht="19.5" thickBot="1" x14ac:dyDescent="0.3">
      <c r="A7262" s="999"/>
      <c r="B7262" s="832" t="s">
        <v>2614</v>
      </c>
      <c r="C7262" s="827" t="s">
        <v>26</v>
      </c>
      <c r="D7262" s="828">
        <v>3.9</v>
      </c>
      <c r="E7262" s="828"/>
      <c r="F7262" s="829" t="s">
        <v>16</v>
      </c>
      <c r="G7262" s="830" t="s">
        <v>76</v>
      </c>
      <c r="H7262" s="829" t="s">
        <v>2614</v>
      </c>
      <c r="I7262" s="829"/>
      <c r="J7262" s="831"/>
      <c r="K7262" s="832"/>
      <c r="L7262" s="829" t="s">
        <v>265</v>
      </c>
      <c r="M7262" s="829">
        <v>3930</v>
      </c>
      <c r="N7262" s="644">
        <v>8.3333333333333329E-2</v>
      </c>
      <c r="O7262" s="897" t="s">
        <v>2669</v>
      </c>
    </row>
    <row r="7263" spans="1:16" x14ac:dyDescent="0.25">
      <c r="A7263" s="1004">
        <f>MAX(A7082:A7262)+1</f>
        <v>4464</v>
      </c>
      <c r="B7263" s="479" t="s">
        <v>2565</v>
      </c>
      <c r="C7263" s="480" t="s">
        <v>15</v>
      </c>
      <c r="D7263" s="481">
        <v>9.3030000000000008</v>
      </c>
      <c r="E7263" s="482"/>
      <c r="F7263" s="483" t="s">
        <v>16</v>
      </c>
      <c r="G7263" s="549"/>
      <c r="H7263" s="483" t="s">
        <v>2614</v>
      </c>
      <c r="I7263" s="484"/>
      <c r="J7263" s="485"/>
      <c r="K7263" s="479"/>
      <c r="L7263" s="483" t="s">
        <v>28</v>
      </c>
      <c r="M7263" s="483">
        <v>9525.1799999999985</v>
      </c>
      <c r="N7263" s="486">
        <v>0.41666666666666669</v>
      </c>
      <c r="O7263" s="897" t="s">
        <v>2632</v>
      </c>
    </row>
    <row r="7264" spans="1:16" ht="19.5" thickBot="1" x14ac:dyDescent="0.3">
      <c r="A7264" s="1005"/>
      <c r="B7264" s="645" t="s">
        <v>2565</v>
      </c>
      <c r="C7264" s="646" t="s">
        <v>24</v>
      </c>
      <c r="D7264" s="647">
        <v>8.202</v>
      </c>
      <c r="E7264" s="648"/>
      <c r="F7264" s="649" t="s">
        <v>16</v>
      </c>
      <c r="G7264" s="650"/>
      <c r="H7264" s="649" t="s">
        <v>2614</v>
      </c>
      <c r="I7264" s="651"/>
      <c r="J7264" s="652"/>
      <c r="K7264" s="645"/>
      <c r="L7264" s="649" t="s">
        <v>28</v>
      </c>
      <c r="M7264" s="649">
        <v>8393.86</v>
      </c>
      <c r="N7264" s="653">
        <v>0.41666666666666669</v>
      </c>
      <c r="O7264" s="897" t="s">
        <v>2631</v>
      </c>
    </row>
    <row r="7265" spans="1:16" ht="19.5" thickBot="1" x14ac:dyDescent="0.3">
      <c r="A7265" s="503">
        <f>MAX(A7084:A7264)+1</f>
        <v>4465</v>
      </c>
      <c r="B7265" s="504" t="s">
        <v>2565</v>
      </c>
      <c r="C7265" s="505" t="s">
        <v>23</v>
      </c>
      <c r="D7265" s="506">
        <v>17.399999999999999</v>
      </c>
      <c r="E7265" s="507"/>
      <c r="F7265" s="508" t="s">
        <v>16</v>
      </c>
      <c r="G7265" s="509"/>
      <c r="H7265" s="508" t="s">
        <v>2614</v>
      </c>
      <c r="I7265" s="510"/>
      <c r="J7265" s="511"/>
      <c r="K7265" s="504"/>
      <c r="L7265" s="508" t="s">
        <v>28</v>
      </c>
      <c r="M7265" s="508">
        <v>17593.480000000003</v>
      </c>
      <c r="N7265" s="512">
        <v>0.45833333333333331</v>
      </c>
      <c r="O7265" s="897" t="s">
        <v>2633</v>
      </c>
    </row>
    <row r="7266" spans="1:16" ht="19.5" thickBot="1" x14ac:dyDescent="0.3">
      <c r="A7266" s="513">
        <f>MAX(A7085:A7265)+1</f>
        <v>4466</v>
      </c>
      <c r="B7266" s="514" t="s">
        <v>2565</v>
      </c>
      <c r="C7266" s="515" t="s">
        <v>47</v>
      </c>
      <c r="D7266" s="516">
        <v>17.597999999999999</v>
      </c>
      <c r="E7266" s="517"/>
      <c r="F7266" s="518" t="s">
        <v>16</v>
      </c>
      <c r="G7266" s="519"/>
      <c r="H7266" s="518" t="s">
        <v>2614</v>
      </c>
      <c r="I7266" s="520"/>
      <c r="J7266" s="521"/>
      <c r="K7266" s="514"/>
      <c r="L7266" s="518" t="s">
        <v>28</v>
      </c>
      <c r="M7266" s="518">
        <v>17815.55</v>
      </c>
      <c r="N7266" s="522">
        <v>0.5</v>
      </c>
      <c r="O7266" s="897" t="s">
        <v>2634</v>
      </c>
    </row>
    <row r="7267" spans="1:16" x14ac:dyDescent="0.25">
      <c r="A7267" s="998">
        <f>MAX(A7086:A7266)+1</f>
        <v>4467</v>
      </c>
      <c r="B7267" s="531" t="s">
        <v>2565</v>
      </c>
      <c r="C7267" s="532" t="s">
        <v>23</v>
      </c>
      <c r="D7267" s="533">
        <v>6.44</v>
      </c>
      <c r="E7267" s="534"/>
      <c r="F7267" s="535" t="s">
        <v>30</v>
      </c>
      <c r="G7267" s="536"/>
      <c r="H7267" s="535" t="s">
        <v>2614</v>
      </c>
      <c r="I7267" s="537"/>
      <c r="J7267" s="538"/>
      <c r="K7267" s="531"/>
      <c r="L7267" s="535" t="s">
        <v>28</v>
      </c>
      <c r="M7267" s="535">
        <v>6440.84</v>
      </c>
      <c r="N7267" s="539">
        <v>0.41666666666666669</v>
      </c>
      <c r="O7267" s="897" t="s">
        <v>2627</v>
      </c>
    </row>
    <row r="7268" spans="1:16" ht="19.5" thickBot="1" x14ac:dyDescent="0.3">
      <c r="A7268" s="999"/>
      <c r="B7268" s="636" t="s">
        <v>2565</v>
      </c>
      <c r="C7268" s="637" t="s">
        <v>587</v>
      </c>
      <c r="D7268" s="638">
        <v>6.43</v>
      </c>
      <c r="E7268" s="639"/>
      <c r="F7268" s="640" t="s">
        <v>30</v>
      </c>
      <c r="G7268" s="641" t="s">
        <v>23</v>
      </c>
      <c r="H7268" s="640" t="s">
        <v>2614</v>
      </c>
      <c r="I7268" s="642"/>
      <c r="J7268" s="643"/>
      <c r="K7268" s="636"/>
      <c r="L7268" s="640" t="s">
        <v>28</v>
      </c>
      <c r="M7268" s="640">
        <v>6430.28</v>
      </c>
      <c r="N7268" s="644">
        <v>0.41666666666666669</v>
      </c>
      <c r="O7268" s="897" t="s">
        <v>2630</v>
      </c>
    </row>
    <row r="7269" spans="1:16" ht="19.5" thickBot="1" x14ac:dyDescent="0.3">
      <c r="A7269" s="513">
        <f>MAX(A7088:A7268)+1</f>
        <v>4468</v>
      </c>
      <c r="B7269" s="514" t="s">
        <v>2565</v>
      </c>
      <c r="C7269" s="515" t="s">
        <v>26</v>
      </c>
      <c r="D7269" s="516">
        <v>15.627000000000001</v>
      </c>
      <c r="E7269" s="517"/>
      <c r="F7269" s="518" t="s">
        <v>30</v>
      </c>
      <c r="G7269" s="519"/>
      <c r="H7269" s="518" t="s">
        <v>2616</v>
      </c>
      <c r="I7269" s="520"/>
      <c r="J7269" s="521"/>
      <c r="K7269" s="514"/>
      <c r="L7269" s="518" t="s">
        <v>265</v>
      </c>
      <c r="M7269" s="518">
        <v>15627.560000000001</v>
      </c>
      <c r="N7269" s="522">
        <v>4.1666666666666664E-2</v>
      </c>
      <c r="O7269" s="897" t="s">
        <v>2618</v>
      </c>
    </row>
    <row r="7270" spans="1:16" ht="19.5" thickBot="1" x14ac:dyDescent="0.3">
      <c r="A7270" s="503">
        <f>MAX(A7089:A7269)+1</f>
        <v>4469</v>
      </c>
      <c r="B7270" s="504" t="s">
        <v>2565</v>
      </c>
      <c r="C7270" s="505" t="s">
        <v>26</v>
      </c>
      <c r="D7270" s="506">
        <v>18.628</v>
      </c>
      <c r="E7270" s="507"/>
      <c r="F7270" s="508" t="s">
        <v>16</v>
      </c>
      <c r="G7270" s="509"/>
      <c r="H7270" s="508" t="s">
        <v>2616</v>
      </c>
      <c r="I7270" s="510"/>
      <c r="J7270" s="511"/>
      <c r="K7270" s="504"/>
      <c r="L7270" s="508" t="s">
        <v>265</v>
      </c>
      <c r="M7270" s="508">
        <v>18819.259999999998</v>
      </c>
      <c r="N7270" s="512">
        <v>4.1666666666666664E-2</v>
      </c>
      <c r="O7270" s="897" t="s">
        <v>2623</v>
      </c>
    </row>
    <row r="7271" spans="1:16" ht="169.5" thickBot="1" x14ac:dyDescent="0.3">
      <c r="A7271" s="513">
        <f>MAX(A7090:A7270)+1</f>
        <v>4470</v>
      </c>
      <c r="B7271" s="514" t="s">
        <v>2565</v>
      </c>
      <c r="C7271" s="515" t="s">
        <v>24</v>
      </c>
      <c r="D7271" s="516">
        <v>5.4640000000000004</v>
      </c>
      <c r="E7271" s="517"/>
      <c r="F7271" s="518" t="s">
        <v>16</v>
      </c>
      <c r="G7271" s="519" t="s">
        <v>2620</v>
      </c>
      <c r="H7271" s="518" t="s">
        <v>2616</v>
      </c>
      <c r="I7271" s="520"/>
      <c r="J7271" s="521"/>
      <c r="K7271" s="514"/>
      <c r="L7271" s="518" t="s">
        <v>28</v>
      </c>
      <c r="M7271" s="518">
        <v>5549.28</v>
      </c>
      <c r="N7271" s="522">
        <v>0.41666666666666669</v>
      </c>
      <c r="O7271" s="897" t="s">
        <v>2635</v>
      </c>
      <c r="P7271" s="867">
        <v>6312213</v>
      </c>
    </row>
    <row r="7272" spans="1:16" ht="57" thickBot="1" x14ac:dyDescent="0.3">
      <c r="A7272" s="503">
        <f>MAX(A7091:A7271)+1</f>
        <v>4471</v>
      </c>
      <c r="B7272" s="504" t="s">
        <v>2565</v>
      </c>
      <c r="C7272" s="505" t="s">
        <v>47</v>
      </c>
      <c r="D7272" s="506">
        <v>17.265000000000001</v>
      </c>
      <c r="E7272" s="507"/>
      <c r="F7272" s="508" t="s">
        <v>16</v>
      </c>
      <c r="G7272" s="509" t="s">
        <v>2621</v>
      </c>
      <c r="H7272" s="508" t="s">
        <v>2616</v>
      </c>
      <c r="I7272" s="510"/>
      <c r="J7272" s="511"/>
      <c r="K7272" s="504"/>
      <c r="L7272" s="508" t="s">
        <v>28</v>
      </c>
      <c r="M7272" s="508">
        <v>17410.560000000001</v>
      </c>
      <c r="N7272" s="512">
        <v>0.45833333333333331</v>
      </c>
      <c r="O7272" s="897" t="s">
        <v>2636</v>
      </c>
      <c r="P7272" s="867">
        <v>6312214</v>
      </c>
    </row>
    <row r="7273" spans="1:16" x14ac:dyDescent="0.25">
      <c r="A7273" s="1004">
        <f>MAX(A7092:A7272)+1</f>
        <v>4472</v>
      </c>
      <c r="B7273" s="479" t="s">
        <v>2565</v>
      </c>
      <c r="C7273" s="480" t="s">
        <v>15</v>
      </c>
      <c r="D7273" s="481">
        <v>10.851000000000001</v>
      </c>
      <c r="E7273" s="482"/>
      <c r="F7273" s="483" t="s">
        <v>30</v>
      </c>
      <c r="G7273" s="549"/>
      <c r="H7273" s="483" t="s">
        <v>2616</v>
      </c>
      <c r="I7273" s="484"/>
      <c r="J7273" s="485"/>
      <c r="K7273" s="479"/>
      <c r="L7273" s="483" t="s">
        <v>28</v>
      </c>
      <c r="M7273" s="483">
        <v>10851.199999999999</v>
      </c>
      <c r="N7273" s="486">
        <v>0.41666666666666669</v>
      </c>
      <c r="O7273" s="897" t="s">
        <v>2629</v>
      </c>
    </row>
    <row r="7274" spans="1:16" ht="19.5" thickBot="1" x14ac:dyDescent="0.3">
      <c r="A7274" s="1005"/>
      <c r="B7274" s="645" t="s">
        <v>2565</v>
      </c>
      <c r="C7274" s="646" t="s">
        <v>24</v>
      </c>
      <c r="D7274" s="647">
        <v>3.746</v>
      </c>
      <c r="E7274" s="648"/>
      <c r="F7274" s="649" t="s">
        <v>30</v>
      </c>
      <c r="G7274" s="650"/>
      <c r="H7274" s="649" t="s">
        <v>2616</v>
      </c>
      <c r="I7274" s="651"/>
      <c r="J7274" s="652"/>
      <c r="K7274" s="645"/>
      <c r="L7274" s="649" t="s">
        <v>28</v>
      </c>
      <c r="M7274" s="649">
        <v>3746.52</v>
      </c>
      <c r="N7274" s="653">
        <v>0.41666666666666669</v>
      </c>
      <c r="O7274" s="897" t="s">
        <v>2628</v>
      </c>
      <c r="P7274" s="867">
        <v>6312119</v>
      </c>
    </row>
    <row r="7275" spans="1:16" x14ac:dyDescent="0.25">
      <c r="A7275" s="998">
        <f>MAX(A7094:A7274)+1</f>
        <v>4473</v>
      </c>
      <c r="B7275" s="531" t="s">
        <v>2614</v>
      </c>
      <c r="C7275" s="532" t="s">
        <v>2665</v>
      </c>
      <c r="D7275" s="533">
        <v>4.085</v>
      </c>
      <c r="E7275" s="534"/>
      <c r="F7275" s="535" t="s">
        <v>16</v>
      </c>
      <c r="G7275" s="536" t="s">
        <v>844</v>
      </c>
      <c r="H7275" s="535" t="s">
        <v>2666</v>
      </c>
      <c r="I7275" s="537"/>
      <c r="J7275" s="538"/>
      <c r="K7275" s="531"/>
      <c r="L7275" s="535" t="s">
        <v>266</v>
      </c>
      <c r="M7275" s="535">
        <v>4197.7699999999995</v>
      </c>
      <c r="N7275" s="539">
        <v>0.41666666666666669</v>
      </c>
      <c r="O7275" s="897" t="s">
        <v>2667</v>
      </c>
    </row>
    <row r="7276" spans="1:16" ht="19.5" thickBot="1" x14ac:dyDescent="0.3">
      <c r="A7276" s="999"/>
      <c r="B7276" s="636" t="s">
        <v>2614</v>
      </c>
      <c r="C7276" s="637" t="s">
        <v>2665</v>
      </c>
      <c r="D7276" s="638">
        <v>2.1040000000000001</v>
      </c>
      <c r="E7276" s="639"/>
      <c r="F7276" s="640" t="s">
        <v>16</v>
      </c>
      <c r="G7276" s="988" t="s">
        <v>845</v>
      </c>
      <c r="H7276" s="640" t="s">
        <v>2666</v>
      </c>
      <c r="I7276" s="642"/>
      <c r="J7276" s="643"/>
      <c r="K7276" s="636"/>
      <c r="L7276" s="640" t="s">
        <v>266</v>
      </c>
      <c r="M7276" s="640">
        <v>2167.4700000000003</v>
      </c>
      <c r="N7276" s="644">
        <v>0.41666666666666669</v>
      </c>
      <c r="O7276" s="897" t="s">
        <v>2668</v>
      </c>
    </row>
    <row r="7277" spans="1:16" ht="19.5" thickBot="1" x14ac:dyDescent="0.3">
      <c r="A7277" s="513">
        <f t="shared" ref="A7277:A7289" si="221">MAX(A7096:A7276)+1</f>
        <v>4474</v>
      </c>
      <c r="B7277" s="514" t="s">
        <v>2614</v>
      </c>
      <c r="C7277" s="515" t="s">
        <v>32</v>
      </c>
      <c r="D7277" s="516">
        <v>17.600000000000001</v>
      </c>
      <c r="E7277" s="517"/>
      <c r="F7277" s="518" t="s">
        <v>16</v>
      </c>
      <c r="G7277" s="519" t="s">
        <v>2299</v>
      </c>
      <c r="H7277" s="518" t="s">
        <v>2666</v>
      </c>
      <c r="I7277" s="520"/>
      <c r="J7277" s="521"/>
      <c r="K7277" s="514"/>
      <c r="L7277" s="518" t="s">
        <v>266</v>
      </c>
      <c r="M7277" s="518">
        <v>17604.599999999999</v>
      </c>
      <c r="N7277" s="522">
        <v>0.45833333333333331</v>
      </c>
      <c r="O7277" s="897" t="s">
        <v>2670</v>
      </c>
    </row>
    <row r="7278" spans="1:16" x14ac:dyDescent="0.25">
      <c r="A7278" s="676">
        <f t="shared" si="221"/>
        <v>4475</v>
      </c>
      <c r="B7278" s="676"/>
      <c r="C7278" s="473"/>
      <c r="D7278" s="474"/>
      <c r="E7278" s="475"/>
      <c r="F7278" s="676"/>
      <c r="G7278" s="476"/>
      <c r="H7278" s="676"/>
      <c r="I7278" s="477"/>
      <c r="J7278" s="478"/>
      <c r="K7278" s="676"/>
      <c r="L7278" s="676"/>
      <c r="M7278" s="676"/>
      <c r="N7278" s="676"/>
    </row>
    <row r="7279" spans="1:16" x14ac:dyDescent="0.25">
      <c r="A7279" s="676">
        <f t="shared" si="221"/>
        <v>4476</v>
      </c>
      <c r="B7279" s="676"/>
      <c r="C7279" s="473"/>
      <c r="D7279" s="474"/>
      <c r="E7279" s="475"/>
      <c r="F7279" s="676"/>
      <c r="G7279" s="476"/>
      <c r="H7279" s="676"/>
      <c r="I7279" s="477"/>
      <c r="J7279" s="478"/>
      <c r="K7279" s="676"/>
      <c r="L7279" s="676"/>
      <c r="M7279" s="676"/>
      <c r="N7279" s="676"/>
    </row>
    <row r="7280" spans="1:16" x14ac:dyDescent="0.25">
      <c r="A7280" s="676">
        <f t="shared" si="221"/>
        <v>4477</v>
      </c>
      <c r="B7280" s="676"/>
      <c r="C7280" s="473"/>
      <c r="D7280" s="474"/>
      <c r="E7280" s="475"/>
      <c r="F7280" s="676"/>
      <c r="G7280" s="476"/>
      <c r="H7280" s="676"/>
      <c r="I7280" s="477"/>
      <c r="J7280" s="478"/>
      <c r="K7280" s="676"/>
      <c r="L7280" s="676"/>
      <c r="M7280" s="676"/>
      <c r="N7280" s="676"/>
    </row>
    <row r="7281" spans="1:14" x14ac:dyDescent="0.25">
      <c r="A7281" s="676">
        <f t="shared" si="221"/>
        <v>4478</v>
      </c>
      <c r="B7281" s="676"/>
      <c r="C7281" s="473"/>
      <c r="D7281" s="474"/>
      <c r="E7281" s="475"/>
      <c r="F7281" s="676"/>
      <c r="G7281" s="476"/>
      <c r="H7281" s="676"/>
      <c r="I7281" s="477"/>
      <c r="J7281" s="478"/>
      <c r="K7281" s="676"/>
      <c r="L7281" s="676"/>
      <c r="M7281" s="676"/>
      <c r="N7281" s="676"/>
    </row>
    <row r="7282" spans="1:14" x14ac:dyDescent="0.25">
      <c r="A7282" s="676">
        <f t="shared" si="221"/>
        <v>4479</v>
      </c>
      <c r="B7282" s="676"/>
      <c r="C7282" s="473"/>
      <c r="D7282" s="474"/>
      <c r="E7282" s="475"/>
      <c r="F7282" s="676"/>
      <c r="G7282" s="476"/>
      <c r="H7282" s="676"/>
      <c r="I7282" s="477"/>
      <c r="J7282" s="478"/>
      <c r="K7282" s="676"/>
      <c r="L7282" s="676"/>
      <c r="M7282" s="676"/>
      <c r="N7282" s="676"/>
    </row>
    <row r="7283" spans="1:14" x14ac:dyDescent="0.25">
      <c r="A7283" s="676">
        <f t="shared" si="221"/>
        <v>4480</v>
      </c>
      <c r="B7283" s="676"/>
      <c r="C7283" s="473"/>
      <c r="D7283" s="474"/>
      <c r="E7283" s="475"/>
      <c r="F7283" s="676"/>
      <c r="G7283" s="476"/>
      <c r="H7283" s="676"/>
      <c r="I7283" s="477"/>
      <c r="J7283" s="478"/>
      <c r="K7283" s="676"/>
      <c r="L7283" s="676"/>
      <c r="M7283" s="676"/>
      <c r="N7283" s="676"/>
    </row>
    <row r="7284" spans="1:14" x14ac:dyDescent="0.25">
      <c r="A7284" s="676">
        <f t="shared" si="221"/>
        <v>4481</v>
      </c>
      <c r="B7284" s="676"/>
      <c r="C7284" s="473"/>
      <c r="D7284" s="474"/>
      <c r="E7284" s="475"/>
      <c r="F7284" s="676"/>
      <c r="G7284" s="476"/>
      <c r="H7284" s="676"/>
      <c r="I7284" s="477"/>
      <c r="J7284" s="478"/>
      <c r="K7284" s="676"/>
      <c r="L7284" s="676"/>
      <c r="M7284" s="676"/>
      <c r="N7284" s="676"/>
    </row>
    <row r="7285" spans="1:14" x14ac:dyDescent="0.25">
      <c r="A7285" s="676">
        <f t="shared" si="221"/>
        <v>4482</v>
      </c>
      <c r="B7285" s="676"/>
      <c r="C7285" s="473"/>
      <c r="D7285" s="474"/>
      <c r="E7285" s="475"/>
      <c r="F7285" s="676"/>
      <c r="G7285" s="476"/>
      <c r="H7285" s="676"/>
      <c r="I7285" s="477"/>
      <c r="J7285" s="478"/>
      <c r="K7285" s="676"/>
      <c r="L7285" s="676"/>
      <c r="M7285" s="676"/>
      <c r="N7285" s="676"/>
    </row>
    <row r="7286" spans="1:14" x14ac:dyDescent="0.25">
      <c r="A7286" s="676">
        <f t="shared" si="221"/>
        <v>4483</v>
      </c>
      <c r="B7286" s="676"/>
      <c r="C7286" s="473"/>
      <c r="D7286" s="474"/>
      <c r="E7286" s="475"/>
      <c r="F7286" s="676"/>
      <c r="G7286" s="476"/>
      <c r="H7286" s="676"/>
      <c r="I7286" s="477"/>
      <c r="J7286" s="478"/>
      <c r="K7286" s="676"/>
      <c r="L7286" s="676"/>
      <c r="M7286" s="676"/>
      <c r="N7286" s="676"/>
    </row>
    <row r="7287" spans="1:14" x14ac:dyDescent="0.25">
      <c r="A7287" s="676">
        <f t="shared" si="221"/>
        <v>4484</v>
      </c>
      <c r="B7287" s="676"/>
      <c r="C7287" s="473"/>
      <c r="D7287" s="474"/>
      <c r="E7287" s="475"/>
      <c r="F7287" s="676"/>
      <c r="G7287" s="476"/>
      <c r="H7287" s="676"/>
      <c r="I7287" s="477"/>
      <c r="J7287" s="478"/>
      <c r="K7287" s="676"/>
      <c r="L7287" s="676"/>
      <c r="M7287" s="676"/>
      <c r="N7287" s="676"/>
    </row>
    <row r="7288" spans="1:14" x14ac:dyDescent="0.25">
      <c r="A7288" s="676">
        <f t="shared" si="221"/>
        <v>4485</v>
      </c>
      <c r="B7288" s="676"/>
      <c r="C7288" s="473"/>
      <c r="D7288" s="474"/>
      <c r="E7288" s="475"/>
      <c r="F7288" s="676"/>
      <c r="G7288" s="476"/>
      <c r="H7288" s="676"/>
      <c r="I7288" s="477"/>
      <c r="J7288" s="478"/>
      <c r="K7288" s="676"/>
      <c r="L7288" s="676"/>
      <c r="M7288" s="676"/>
      <c r="N7288" s="676"/>
    </row>
    <row r="7289" spans="1:14" x14ac:dyDescent="0.25">
      <c r="A7289" s="676">
        <f t="shared" si="221"/>
        <v>4486</v>
      </c>
      <c r="B7289" s="676"/>
      <c r="C7289" s="473"/>
      <c r="D7289" s="474"/>
      <c r="E7289" s="475"/>
      <c r="F7289" s="676"/>
      <c r="G7289" s="476"/>
      <c r="H7289" s="676"/>
      <c r="I7289" s="477"/>
      <c r="J7289" s="478"/>
      <c r="K7289" s="676"/>
      <c r="L7289" s="676"/>
      <c r="M7289" s="676"/>
      <c r="N7289" s="676"/>
    </row>
  </sheetData>
  <autoFilter ref="A2:R7289" xr:uid="{9E4C531E-AD50-422A-AC7C-8C5AF4C19268}">
    <filterColumn colId="10">
      <filters blank="1"/>
    </filterColumn>
  </autoFilter>
  <mergeCells count="1928">
    <mergeCell ref="A7275:A7276"/>
    <mergeCell ref="A7263:A7264"/>
    <mergeCell ref="A7267:A7268"/>
    <mergeCell ref="A7273:A7274"/>
    <mergeCell ref="A7230:A7231"/>
    <mergeCell ref="A7232:A7234"/>
    <mergeCell ref="A7235:A7236"/>
    <mergeCell ref="A7237:A7241"/>
    <mergeCell ref="A7244:A7246"/>
    <mergeCell ref="A7247:A7250"/>
    <mergeCell ref="A7251:A7253"/>
    <mergeCell ref="A7218:A7219"/>
    <mergeCell ref="A7204:A7205"/>
    <mergeCell ref="G7204:G7205"/>
    <mergeCell ref="A7206:A7207"/>
    <mergeCell ref="G7206:G7207"/>
    <mergeCell ref="A7199:A7200"/>
    <mergeCell ref="A7201:A7203"/>
    <mergeCell ref="A7259:A7262"/>
    <mergeCell ref="A7216:A7217"/>
    <mergeCell ref="A7225:A7226"/>
    <mergeCell ref="A7223:A7224"/>
    <mergeCell ref="A7227:A7228"/>
    <mergeCell ref="A7254:A7255"/>
    <mergeCell ref="A7221:A7222"/>
    <mergeCell ref="A7242:A7243"/>
    <mergeCell ref="A7257:A725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2026-09-14T13:35:51Z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