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183D2924-820C-4489-B9C1-867B7DD50A34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Лист1!$A$2:$N$6803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s="1"/>
  <c r="A6763" i="1" l="1"/>
  <c r="A6766" i="1"/>
  <c r="A6768" i="1" l="1"/>
  <c r="A6769" i="1" s="1"/>
  <c r="A6771" i="1" l="1"/>
  <c r="A6775" i="1" l="1"/>
  <c r="A6778" i="1" l="1"/>
  <c r="A6779" i="1" s="1"/>
  <c r="A6780" i="1" s="1"/>
  <c r="A6781" i="1" s="1"/>
  <c r="A6783" i="1" l="1"/>
  <c r="A6784" i="1" l="1"/>
  <c r="A6785" i="1" s="1"/>
  <c r="A6787" i="1"/>
  <c r="A6788" i="1" s="1"/>
  <c r="A6789" i="1" s="1"/>
  <c r="A6790" i="1" l="1"/>
  <c r="A6791" i="1"/>
  <c r="A6792" i="1" l="1"/>
  <c r="A6793" i="1" s="1"/>
  <c r="A6794" i="1" s="1"/>
  <c r="A6795" i="1" l="1"/>
  <c r="A6796" i="1" s="1"/>
  <c r="A6797" i="1" l="1"/>
  <c r="A6798" i="1" s="1"/>
  <c r="A6799" i="1" s="1"/>
  <c r="A6800" i="1" s="1"/>
  <c r="A6801" i="1" s="1"/>
  <c r="A6802" i="1" s="1"/>
  <c r="A6803" i="1" s="1"/>
</calcChain>
</file>

<file path=xl/sharedStrings.xml><?xml version="1.0" encoding="utf-8"?>
<sst xmlns="http://schemas.openxmlformats.org/spreadsheetml/2006/main" count="42834" uniqueCount="1726">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</sst>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5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0" fontId="44" fillId="17" borderId="83" xfId="0" applyFont="1" applyFill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0" fontId="44" fillId="16" borderId="83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803"/>
  <sheetViews>
    <sheetView tabSelected="1" zoomScale="85" zoomScaleNormal="85" workbookViewId="0">
      <pane ySplit="2" topLeftCell="A6757" activePane="bottomLeft" state="frozen"/>
      <selection pane="bottomLeft" activeCell="O6771" sqref="O677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873" customWidth="1"/>
    <col min="16" max="16" width="14.140625" style="850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944" t="s">
        <v>0</v>
      </c>
      <c r="B1" s="944"/>
      <c r="C1" s="944"/>
      <c r="D1" s="944"/>
      <c r="E1" s="944"/>
      <c r="F1" s="944"/>
      <c r="G1" s="944"/>
      <c r="H1" s="944"/>
      <c r="I1" s="944"/>
      <c r="J1" s="944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945">
        <v>1</v>
      </c>
      <c r="B3" s="94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945"/>
      <c r="B4" s="94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938">
        <v>3</v>
      </c>
      <c r="B6" s="93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938"/>
      <c r="B7" s="93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938"/>
      <c r="B8" s="93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938">
        <v>5</v>
      </c>
      <c r="B10" s="93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938"/>
      <c r="B11" s="93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943">
        <v>8</v>
      </c>
      <c r="B14" s="94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943"/>
      <c r="B15" s="94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938">
        <v>11</v>
      </c>
      <c r="B18" s="93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938"/>
      <c r="B19" s="93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938"/>
      <c r="B20" s="93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938"/>
      <c r="B21" s="93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938">
        <v>13</v>
      </c>
      <c r="B23" s="93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938"/>
      <c r="B24" s="93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943">
        <v>14</v>
      </c>
      <c r="B25" s="94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943"/>
      <c r="B26" s="94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938">
        <v>15</v>
      </c>
      <c r="B27" s="93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938"/>
      <c r="B28" s="93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938"/>
      <c r="B29" s="93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938"/>
      <c r="B30" s="93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943">
        <v>16</v>
      </c>
      <c r="B31" s="94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943"/>
      <c r="B32" s="94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943"/>
      <c r="B33" s="94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943"/>
      <c r="B34" s="94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938">
        <v>17</v>
      </c>
      <c r="B35" s="93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938"/>
      <c r="B36" s="93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938">
        <v>21</v>
      </c>
      <c r="B40" s="93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938"/>
      <c r="B41" s="93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938">
        <v>23</v>
      </c>
      <c r="B43" s="93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938"/>
      <c r="B44" s="93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938"/>
      <c r="B45" s="93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943">
        <v>24</v>
      </c>
      <c r="B46" s="94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943"/>
      <c r="B47" s="94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938">
        <v>25</v>
      </c>
      <c r="B48" s="93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938"/>
      <c r="B49" s="93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938"/>
      <c r="B50" s="93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943">
        <v>26</v>
      </c>
      <c r="B51" s="94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943"/>
      <c r="B52" s="94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938">
        <v>29</v>
      </c>
      <c r="B55" s="93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938"/>
      <c r="B56" s="93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943">
        <v>32</v>
      </c>
      <c r="B59" s="94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943"/>
      <c r="B60" s="94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943">
        <v>34</v>
      </c>
      <c r="B62" s="94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943"/>
      <c r="B63" s="94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943"/>
      <c r="B64" s="94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943"/>
      <c r="B65" s="94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943"/>
      <c r="B66" s="94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938">
        <v>35</v>
      </c>
      <c r="B67" s="93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938"/>
      <c r="B68" s="93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914">
        <v>40</v>
      </c>
      <c r="B73" s="94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914"/>
      <c r="B74" s="94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915">
        <v>41</v>
      </c>
      <c r="B75" s="93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915"/>
      <c r="B76" s="93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915"/>
      <c r="B77" s="93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914">
        <v>42</v>
      </c>
      <c r="B78" s="94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914"/>
      <c r="B79" s="94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915">
        <v>49</v>
      </c>
      <c r="B86" s="93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915"/>
      <c r="B87" s="93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915"/>
      <c r="B88" s="93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914">
        <v>50</v>
      </c>
      <c r="B89" s="94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914"/>
      <c r="B90" s="94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915">
        <v>51</v>
      </c>
      <c r="B91" s="93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915"/>
      <c r="B92" s="93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915">
        <v>53</v>
      </c>
      <c r="B94" s="93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915"/>
      <c r="B95" s="93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914">
        <v>54</v>
      </c>
      <c r="B96" s="94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914"/>
      <c r="B97" s="94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914"/>
      <c r="B98" s="94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914">
        <v>58</v>
      </c>
      <c r="B102" s="94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914"/>
      <c r="B103" s="94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914">
        <v>60</v>
      </c>
      <c r="B105" s="94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914"/>
      <c r="B106" s="94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914"/>
      <c r="B107" s="94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915">
        <v>61</v>
      </c>
      <c r="B108" s="93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915"/>
      <c r="B109" s="93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915"/>
      <c r="B110" s="93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914">
        <v>64</v>
      </c>
      <c r="B113" s="94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914"/>
      <c r="B114" s="94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914">
        <v>66</v>
      </c>
      <c r="B116" s="94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914"/>
      <c r="B117" s="94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915">
        <v>67</v>
      </c>
      <c r="B118" s="93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915"/>
      <c r="B119" s="93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915"/>
      <c r="B120" s="93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914">
        <v>68</v>
      </c>
      <c r="B121" s="94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914"/>
      <c r="B122" s="94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915">
        <v>69</v>
      </c>
      <c r="B123" s="93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915"/>
      <c r="B124" s="93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914">
        <v>72</v>
      </c>
      <c r="B127" s="943" t="s">
        <v>65</v>
      </c>
      <c r="C127" s="119" t="s">
        <v>26</v>
      </c>
      <c r="D127" s="120">
        <v>3.3</v>
      </c>
      <c r="E127" s="121"/>
      <c r="F127" s="122" t="s">
        <v>30</v>
      </c>
      <c r="G127" s="94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914"/>
      <c r="B128" s="943"/>
      <c r="C128" s="103" t="s">
        <v>26</v>
      </c>
      <c r="D128" s="88">
        <v>12.9</v>
      </c>
      <c r="E128" s="106"/>
      <c r="F128" s="107" t="s">
        <v>16</v>
      </c>
      <c r="G128" s="94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914">
        <v>76</v>
      </c>
      <c r="B132" s="93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914"/>
      <c r="B133" s="93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914"/>
      <c r="B134" s="93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914"/>
      <c r="B135" s="93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914">
        <v>78</v>
      </c>
      <c r="B137" s="94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914"/>
      <c r="B138" s="94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93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93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91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91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91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91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91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91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91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91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91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91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91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91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91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91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91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91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91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91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91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91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91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91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4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91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4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91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91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91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91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91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91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91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91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91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91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91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91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91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91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91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91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91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91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91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91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91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91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91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91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91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91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91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91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91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91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91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91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91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91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91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91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91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91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91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91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91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91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91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91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91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91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91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91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91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91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91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91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91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91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91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91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91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91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91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91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91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91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91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91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91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91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91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91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91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91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91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91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91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91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26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91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26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91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91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91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91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91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91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91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91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91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91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91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91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91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91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91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91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91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91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91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91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91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91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91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91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91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91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91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91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91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91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91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91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91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4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91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4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91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91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91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91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91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91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91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91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91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91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91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91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91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91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91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91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91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91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91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91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91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91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91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91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91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91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91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91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91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91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91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91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91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91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2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91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2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91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91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91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91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91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91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91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91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91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91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91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91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91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91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91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91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91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91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91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91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91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91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91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91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91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91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91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91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91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91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91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91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91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91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2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91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2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91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91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91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91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91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91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36" t="s">
        <v>133</v>
      </c>
      <c r="J420" s="936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91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91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91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91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91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91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91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91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91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91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91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91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91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91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91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91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91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91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91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91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91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91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91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91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91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1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91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1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91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91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91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91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91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91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91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91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91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91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91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91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91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91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91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91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91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91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91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91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91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91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91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91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91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91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91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91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91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91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91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91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91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2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91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2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91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91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91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3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91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35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91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35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91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35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91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35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91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91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91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91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91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91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91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91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91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91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91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91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91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91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91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91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91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91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91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91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91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91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91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91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91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91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91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91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91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91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91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91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91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91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91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91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91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91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91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91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1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91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1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91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91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91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91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91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91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91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91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91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91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91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91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91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91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91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91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91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91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91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91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91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91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91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91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91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91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91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91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91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91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91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91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91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2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91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2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91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91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91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91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91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91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91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91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91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91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91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91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91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91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91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91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91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91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91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91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91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91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91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91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91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91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91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91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91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91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91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91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91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91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91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91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91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91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91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91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91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91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91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91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2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91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2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91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91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32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91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32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91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91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91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91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91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91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91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91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91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91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91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91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91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91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91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91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91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91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91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91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91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91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91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91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91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91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91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91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91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2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91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2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933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933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933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91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91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91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933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933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91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91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91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933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933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91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91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91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91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91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91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91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91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91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91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91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91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91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91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91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91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91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91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91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91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91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91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34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91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34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91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91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91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91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91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91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91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91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91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91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91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91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91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91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91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91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94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94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94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94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94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94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91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2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91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2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91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91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91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91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91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91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91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91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91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91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91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91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91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91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91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91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94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94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91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91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91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91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91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91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91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91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91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91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91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91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91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91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91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91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91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91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91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91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91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91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91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91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91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1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91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1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91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91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91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91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91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91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91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91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91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91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91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91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91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91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91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91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91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91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91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91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91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91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91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91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91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91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91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91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91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91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91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91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91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91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91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91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91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91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91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91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91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91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91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91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91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91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91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91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91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91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91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91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91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91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91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91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91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91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91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91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91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91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91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91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91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91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91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91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91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91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91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91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91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91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91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91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91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91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91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91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91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91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91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91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91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91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91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91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91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91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91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91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91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1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91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1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91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91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91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91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91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91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91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91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91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91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91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91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91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91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91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91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91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91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91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91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91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93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93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91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91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91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91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91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91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91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91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91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91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91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91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91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91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91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91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91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91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91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91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91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91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91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91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2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91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2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91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91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91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91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91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91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91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91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91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91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91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91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91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91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91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91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91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91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91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91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91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91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91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91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91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91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91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91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91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91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91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91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91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91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91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91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91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91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91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91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91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91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2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91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2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91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91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91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91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91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91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91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91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91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91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91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91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91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91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91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91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91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91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91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91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91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91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91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91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91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91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91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91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91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91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91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91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91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91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91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91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91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91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1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91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1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91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91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91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91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91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91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91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91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91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91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91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91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91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91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91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91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91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91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91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91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91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91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91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91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91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91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1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91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1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91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91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91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91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91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91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91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91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91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91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91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91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91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91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91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91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91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91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91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91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91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91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91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91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91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91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91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91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91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91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91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1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91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1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91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91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91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91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91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91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91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91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91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91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91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91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91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91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91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91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91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91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91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91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91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91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91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91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91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91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1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91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1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91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91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91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91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91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91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91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91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91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91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91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91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91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91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91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91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91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91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91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91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91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91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91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91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91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91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91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91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91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91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91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91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91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91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91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91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1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91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1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91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91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91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91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91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91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91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91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91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91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91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91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91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91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91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91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91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91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91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91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91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91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91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91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91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91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91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91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91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2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91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2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91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91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91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91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91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91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91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91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91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91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91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91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91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91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91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91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91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91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91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91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91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91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91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91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91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91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91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30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91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30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91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91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91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91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91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91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91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91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91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91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91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91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91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91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91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91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91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91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91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91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91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91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91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91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91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91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91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2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91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2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91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91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91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91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91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91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91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91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91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91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91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91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91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91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91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2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91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2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91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2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91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2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91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91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91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91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91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91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91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91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91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2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91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2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91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91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91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91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91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91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91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91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91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91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91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91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91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91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91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91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91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91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91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91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91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91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91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91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91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2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91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2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91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91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91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91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91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91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91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91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91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91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91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91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91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91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91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91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91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91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91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91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1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91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1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91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91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91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91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91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91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91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91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91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91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91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91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91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91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91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91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91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91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91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91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91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2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91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2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91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91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91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91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91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91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91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91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91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91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91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91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91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91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91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91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91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91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91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91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91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91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91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91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91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91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91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91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91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91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91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91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91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91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91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91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91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91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91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91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91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91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91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91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91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91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91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1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91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1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91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91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91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91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91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91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91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91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91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91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91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91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91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91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91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91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91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91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91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91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91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91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91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91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91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91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2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91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2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91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91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91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91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91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91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91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91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91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91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91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91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1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91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1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91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91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91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91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91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91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91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91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91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91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91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91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91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91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91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91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91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91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91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91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91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91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91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2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91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2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91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91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91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91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91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91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91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91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91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91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91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91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91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91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91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91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91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91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91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91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91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91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91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91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2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91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2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91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2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91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91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91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91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91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91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91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91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91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91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91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91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1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91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1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91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91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91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91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91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91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91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91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91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91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91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91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91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91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91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91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91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91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91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91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91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91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91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91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91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91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91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91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91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91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2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91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2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91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91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91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91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91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91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91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91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91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91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91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91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91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91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91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91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91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91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91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91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2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91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2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91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91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91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91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91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91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91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91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91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91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91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91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91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91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91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91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91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91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91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91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91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91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2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91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2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91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91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91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91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91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91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91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91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91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91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91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91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91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91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91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91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91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91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91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91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1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91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1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91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91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91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91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91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91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91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91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91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91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91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91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91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91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91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91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91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91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91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91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91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91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91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91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91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91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91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91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91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91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91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91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91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91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91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91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91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91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91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91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91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91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91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91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91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91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91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91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2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91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2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91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91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91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91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91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91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91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91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91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91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2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91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2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91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91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91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91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91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91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91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91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91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91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91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91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91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91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91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91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91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1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91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1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91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91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91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91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91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91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91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91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91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91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91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91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91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91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91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91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91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91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91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91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91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91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91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91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91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91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91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91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91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91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91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91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91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91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91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91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91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91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91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91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91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91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91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91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91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91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91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91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91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91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91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91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91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91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91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91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91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91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91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91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91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927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28" t="s">
        <v>467</v>
      </c>
      <c r="H2160" s="414" t="s">
        <v>515</v>
      </c>
      <c r="I2160" s="415" t="s">
        <v>516</v>
      </c>
      <c r="J2160" s="929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927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28"/>
      <c r="H2161" s="421" t="s">
        <v>515</v>
      </c>
      <c r="I2161" s="422" t="s">
        <v>516</v>
      </c>
      <c r="J2161" s="929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927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28"/>
      <c r="H2162" s="429" t="s">
        <v>515</v>
      </c>
      <c r="I2162" s="430" t="s">
        <v>516</v>
      </c>
      <c r="J2162" s="929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927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28" t="s">
        <v>467</v>
      </c>
      <c r="H2165" s="414" t="s">
        <v>516</v>
      </c>
      <c r="I2165" s="415" t="s">
        <v>516</v>
      </c>
      <c r="J2165" s="929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927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28"/>
      <c r="H2166" s="429" t="s">
        <v>516</v>
      </c>
      <c r="I2166" s="430" t="s">
        <v>516</v>
      </c>
      <c r="J2166" s="929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91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91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91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91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91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91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91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91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91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91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91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91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2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91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2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91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91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91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91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1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91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1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91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2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91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2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91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26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91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26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91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91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91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91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91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91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91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91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91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91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91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91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91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91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91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91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91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91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91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91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91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91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91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91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91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91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91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91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91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91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91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91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91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91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91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91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91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91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91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91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91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91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91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91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91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91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91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91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91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91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91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91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91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91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91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91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91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91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91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91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91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91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91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91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91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91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91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91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91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91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91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91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91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91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91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91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91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91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91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91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91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91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91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91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91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91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91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91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916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91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91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91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91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91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91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91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91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91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91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91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91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91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91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91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91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91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91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91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91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91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91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91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91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91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91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91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91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91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91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91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91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91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91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91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91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91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91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91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91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91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91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91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91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91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91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91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91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91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91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91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91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91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91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91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91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91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91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91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91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91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91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91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91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91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91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91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91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91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91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91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91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91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91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91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91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91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91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91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91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91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91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91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91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91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91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91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91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91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91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91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91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91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91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91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91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91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91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91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91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91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91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91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91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1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91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1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91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1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91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91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91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91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91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91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91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91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91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91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91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1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91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1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91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91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91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91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91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91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91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91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91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91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91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91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2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91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91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91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2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91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2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91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91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91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91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91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91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91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91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91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91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91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91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91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91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91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91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91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91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1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91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1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91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91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91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1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91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1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91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91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91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91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91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91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91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91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91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91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91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91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91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91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91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91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91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91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91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91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91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91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91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1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91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1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91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91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91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91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91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91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91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91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91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91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91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91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91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91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91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91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91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91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91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91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91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91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91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91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22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22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91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91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91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91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91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91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91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91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91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91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91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91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91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91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91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91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91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91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91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91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91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91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91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91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91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91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91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91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91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91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91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91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91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91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91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91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91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91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91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91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91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91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1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91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1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91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1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91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91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91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91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91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91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91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91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91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91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91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91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91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91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91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91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91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91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91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91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91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91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91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91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91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91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91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91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91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91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91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91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91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91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91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91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91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91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91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91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91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91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91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91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91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91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91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91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91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2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91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2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91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91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91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2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91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2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91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91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91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91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91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91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91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91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91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91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91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91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91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91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91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91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91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91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91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916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91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91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91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91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91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91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91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1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91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1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91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91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91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91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91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91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91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91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91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91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91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91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91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91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91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91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91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91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91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2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91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2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91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91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91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91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91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91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91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2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91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2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91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91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91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91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91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91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91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91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91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91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91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91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91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91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91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916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91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91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91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91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91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91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91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91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91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91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91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91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2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91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2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91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91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91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91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91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91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91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91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91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91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91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91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91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91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91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91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91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91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91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91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91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91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91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91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91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91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91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1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91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1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91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1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91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91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91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91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91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91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91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91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91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91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91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91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91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91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91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91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91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91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91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91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1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91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1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91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1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91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1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91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91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91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91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91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91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91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91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1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91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1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91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1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91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91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91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91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91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91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91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91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91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91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91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91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91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91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91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91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91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91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91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91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1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91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1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91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91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91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91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91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91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91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91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91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91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91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91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91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91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91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91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91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91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91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91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91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91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91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91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91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91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91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91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91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91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91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91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91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91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91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91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91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91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91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91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91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91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91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91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91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91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91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91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91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91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91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91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91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91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91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91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91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91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91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91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2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91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2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91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2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91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2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91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91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91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91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91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91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91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91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91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91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91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91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91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91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91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91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91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91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91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91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91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91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91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91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91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91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91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91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91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91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91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91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91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91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91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91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91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91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91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91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91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91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1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91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1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91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1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91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1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91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1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91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1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91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91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91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91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91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91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91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91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91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91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91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91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91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91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91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91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91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91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91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91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91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91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91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91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91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91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91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91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91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91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91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91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91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91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91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91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91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91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91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91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91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91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91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91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91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91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91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91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91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91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91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91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91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91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91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91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91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91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91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91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91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91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91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91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91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91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91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91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91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91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91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91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91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91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91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91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91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91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91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91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91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91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91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91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91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91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91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91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91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91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91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91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91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91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91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91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91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91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91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91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91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91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91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91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91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91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91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91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91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91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91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91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91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91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91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91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91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91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2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91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2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91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91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91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91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91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91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91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91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91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91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2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91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2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91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91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91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91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91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91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91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91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91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91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91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91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91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2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91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2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91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91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91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91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91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91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91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91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91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91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91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91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91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91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91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91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91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91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91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91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91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91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91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91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91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91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1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91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1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91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1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91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91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91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91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91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91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91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91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91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91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91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91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91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916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91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91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91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91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91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91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91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1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91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1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91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91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91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91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91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91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91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91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91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91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91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91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91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91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916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91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91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91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91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91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91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91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91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91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1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91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1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91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91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91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91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91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91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91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91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91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91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91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91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91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91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91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91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1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91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1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25">
      <c r="A3552" s="87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0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8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0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7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0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8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0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8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0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8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0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74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0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7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0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7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0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0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10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7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8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8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8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74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8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8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8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0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7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0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74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0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7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8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8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8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8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8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25">
      <c r="A3598" s="874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9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0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1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7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0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74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9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0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1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7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8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8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0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7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8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74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8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8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0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74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8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8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7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8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8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8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8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8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74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0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7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0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0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10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7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0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0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10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7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0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74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0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7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8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7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0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74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0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7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8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0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74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8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0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74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8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8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8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8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8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7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0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74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9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0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1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7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0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74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0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7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8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8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0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25">
      <c r="A3694" s="87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0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0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10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74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8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0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7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0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25">
      <c r="A3703" s="874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9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0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1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7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8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8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8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8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8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7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0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74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0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74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9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0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1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7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8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0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74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8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0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7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8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0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74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8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8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8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74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0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7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8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0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7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8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8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8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74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8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74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8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8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8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8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8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7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0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7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0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8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0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0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10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7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8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0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7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8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0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7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8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8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25">
      <c r="A3779" s="87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0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0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10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74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8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8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0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7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0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7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0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74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0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74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8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8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8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8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7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0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7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8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0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74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0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7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0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74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0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7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0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0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10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74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8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7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8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0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74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0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7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0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74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0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7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0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7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8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8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8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8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8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8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8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7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0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7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0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74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8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8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0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7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8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8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8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8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0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7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0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74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8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8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0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74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8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8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8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8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8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7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0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7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0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0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10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74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8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0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7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8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8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0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74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8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0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7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0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8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0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0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10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74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9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0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1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7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0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74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0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7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8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8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8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8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8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74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0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7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0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74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8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0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7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8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8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0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74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0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7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0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0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10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7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0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74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8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0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74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0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7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8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74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8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74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8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8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8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8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7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0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7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8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74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9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0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1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7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8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8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8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8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8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0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74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8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8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8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7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8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0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7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0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74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0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7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8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0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7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0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89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1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1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7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8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8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8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8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0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74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0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7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8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0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74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0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7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0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7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0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74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8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7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7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8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8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74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7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7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0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8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0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7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8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74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9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7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9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7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8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8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8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8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74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7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7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8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7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8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8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74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7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7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8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8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25">
      <c r="A4090" s="874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9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25">
      <c r="A4091" s="88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0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7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9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74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7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74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8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7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7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8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8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74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8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8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8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8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7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8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74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8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7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7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8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8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8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74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7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7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8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8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8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7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8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74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8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8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7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8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74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8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8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8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8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7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8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74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8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7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7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8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74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7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7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8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7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8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8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7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8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74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7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74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8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7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7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8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8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8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8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7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8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74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7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74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7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74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7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7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8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8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74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8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8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7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7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8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8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25">
      <c r="A4231" s="87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0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8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0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74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8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7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74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8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7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7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8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8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8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7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8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25">
      <c r="A4251" s="874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9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25">
      <c r="A4252" s="88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0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25">
      <c r="A4253" s="88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0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7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9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7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8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8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7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8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74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8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7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7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8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74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8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8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25">
      <c r="A4278" s="874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9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7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9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7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8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74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8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7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74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7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7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8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74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8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7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8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74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8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8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8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8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7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8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8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7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0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8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0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8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0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8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0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74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7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7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8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7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8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74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8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7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7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8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25">
      <c r="A4331" s="874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9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7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9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74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8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74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8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8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8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8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7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7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8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74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8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7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7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8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7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8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8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74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8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7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7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8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8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74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8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7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74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7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7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8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7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8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7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7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8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8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8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7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9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8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9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7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8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8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74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7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7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8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8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8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74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7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7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8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74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8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8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7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7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8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7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7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7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7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7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8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7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8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7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8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8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8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7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8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7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8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8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8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74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7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74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7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7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8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8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74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8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7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74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8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7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74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8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7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7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8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7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8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8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8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74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9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8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0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7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8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74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7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7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8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74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7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7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8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7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8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8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74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7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7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8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74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8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7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7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8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8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74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7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7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8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7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8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74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8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7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7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8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8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7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8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7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8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74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7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7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8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74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7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7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8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8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74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8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7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74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8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7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7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8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74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8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7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25">
      <c r="A4579" s="87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0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25">
      <c r="A4580" s="88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0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8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0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74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8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7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74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7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74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7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7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8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8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7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8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74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8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7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8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8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8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7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8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25">
      <c r="A4615" s="87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0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8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0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74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7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74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8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74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7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7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8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8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8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74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8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7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8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7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8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7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8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8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74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8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7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7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8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74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8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7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7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8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74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7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7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8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74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8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7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8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8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74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8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7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8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74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8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8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7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7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8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74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7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7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8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25">
      <c r="A4700" s="87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0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8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0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7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8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8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74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8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7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7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8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8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74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8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74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7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7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8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74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7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7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8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74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9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8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0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8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0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7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9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74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8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7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74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9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7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9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7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8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7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8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8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74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8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7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7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0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8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0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7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8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74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8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74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8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8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7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7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0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8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0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74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7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74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7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7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8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74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7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25">
      <c r="A4776" s="87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0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8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0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7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8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8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74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8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7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25">
      <c r="A4792" s="874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9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7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9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7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8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7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8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7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8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74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8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8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8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7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8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74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7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7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8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74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9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8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0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7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9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7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8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7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0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8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0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74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7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7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8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8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8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25">
      <c r="A4838" s="874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9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7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9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7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8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74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7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7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8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74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8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7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0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8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0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74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8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8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7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8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25">
      <c r="A4866" s="87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0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8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0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74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8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8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7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7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8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74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8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7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7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8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8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8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74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7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7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8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74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7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25">
      <c r="A4893" s="87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0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8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0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74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8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74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8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7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25">
      <c r="A4903" s="87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0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8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0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74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7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74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8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7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7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8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8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7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8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7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8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74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8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8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7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7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0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8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0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7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8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25">
      <c r="A4935" s="874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9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7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9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7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8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8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74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7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7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8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74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7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25">
      <c r="A4950" s="87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0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8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0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74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7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7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8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74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9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7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9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7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8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74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8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7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7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8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74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8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7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74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9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7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9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7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8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74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8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8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7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8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7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8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8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74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8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7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25">
      <c r="A4996" s="874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9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7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9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74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9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7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9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7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8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7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8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8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74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8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7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7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8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74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7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25">
      <c r="A5019" s="874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9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7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9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74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8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8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7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8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25">
      <c r="A5035" s="874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9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7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9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7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8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74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8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7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7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0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8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0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8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0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74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9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7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9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8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8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8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8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8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8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7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8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74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7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7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0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8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0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8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8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8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74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7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7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8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8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74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7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7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8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7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8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74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9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8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0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7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9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7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8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74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9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7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9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74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8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8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7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74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8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7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7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8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8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7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0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8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0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8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0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8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0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74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7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7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0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8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0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7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8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74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8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7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7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0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8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0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74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8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7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8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8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8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74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7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25">
      <c r="A5140" s="87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0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8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0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74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8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7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74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8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7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8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8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74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7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74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8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8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7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74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7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74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8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7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8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8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8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74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8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7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7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8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74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7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7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8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7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0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8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0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74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8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8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7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7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0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8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0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7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8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25">
      <c r="A5202" s="87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0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8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0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7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8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8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74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7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7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8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74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9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7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9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74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8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7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7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8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8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8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74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8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7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7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8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7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0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8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0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74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8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7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8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8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74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7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7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8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8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74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7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7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8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74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7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7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8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7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8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74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8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7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7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8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74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7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74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9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8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0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7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8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8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74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7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7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8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8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8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74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8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7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7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8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7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8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74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8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7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7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8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8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8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74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7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7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8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7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8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7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0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8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0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8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0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8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0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8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0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74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7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74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8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8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7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74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8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8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7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7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8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74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8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7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7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8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8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7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8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8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74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7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74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9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7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9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74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9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8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0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8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0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8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0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7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8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74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7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7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8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7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8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74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7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74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8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8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7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8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8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74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7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25">
      <c r="A5402" s="88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0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8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0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74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8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7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0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8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0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74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8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7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0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8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0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74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7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7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8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74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7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7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8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74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7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7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0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8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0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7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8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74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7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7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8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74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7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7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8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8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74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7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74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7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74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8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8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7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8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7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8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74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8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7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74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8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7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7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8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8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74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8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7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7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8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74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9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7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9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7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8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8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7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8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74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7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7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8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7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0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8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0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7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8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74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7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7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8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74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9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7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9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74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8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8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8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7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7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8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8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7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8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74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9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7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9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74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9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8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0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8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0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8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0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7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9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7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8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8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74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8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8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8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7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25">
      <c r="A5549" s="87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0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8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0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7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7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7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8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8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7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8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7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8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74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8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7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7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8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74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7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7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8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7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8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8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8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74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7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7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8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8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74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7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7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8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74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9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7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9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74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8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7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8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7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8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7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8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8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8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7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8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74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7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7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8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25">
      <c r="A5623" s="874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9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7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9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7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8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9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9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758"/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758"/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758"/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758"/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758"/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758"/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758"/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758"/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758"/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758"/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88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88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88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74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7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88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25">
      <c r="A6560" s="88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82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88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83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88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88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74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8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89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8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89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89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77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0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0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0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89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89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74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7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74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8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8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8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8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74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7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74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9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7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9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7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8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7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8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7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8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8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74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7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74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7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74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8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7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7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8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8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74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8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8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7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8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74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8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7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74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8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8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7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74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8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7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7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8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74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9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7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9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74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8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89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89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0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77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77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78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8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89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7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8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7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8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8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89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7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78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8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90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90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89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7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77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78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8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89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7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78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8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90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89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7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78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8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90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89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7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79"/>
      <c r="L6703" s="483" t="s">
        <v>28</v>
      </c>
      <c r="M6703" s="483">
        <v>517.44000000000005</v>
      </c>
      <c r="N6703" s="486">
        <v>0.5</v>
      </c>
      <c r="O6703" s="873" t="s">
        <v>1666</v>
      </c>
    </row>
    <row r="6704" spans="1:16" x14ac:dyDescent="0.25">
      <c r="A6704" s="88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3"/>
      <c r="L6704" s="527" t="s">
        <v>28</v>
      </c>
      <c r="M6704" s="527">
        <v>8268.52</v>
      </c>
      <c r="N6704" s="530">
        <v>0.5</v>
      </c>
      <c r="O6704" s="873" t="s">
        <v>1667</v>
      </c>
    </row>
    <row r="6705" spans="1:16" x14ac:dyDescent="0.25">
      <c r="A6705" s="88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5"/>
      <c r="L6705" s="499" t="s">
        <v>28</v>
      </c>
      <c r="M6705" s="499">
        <v>8438.4</v>
      </c>
      <c r="N6705" s="502">
        <v>0.5</v>
      </c>
      <c r="O6705" s="873" t="s">
        <v>1668</v>
      </c>
    </row>
    <row r="6706" spans="1:16" ht="19.5" thickBot="1" x14ac:dyDescent="0.3">
      <c r="A6706" s="887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11"/>
      <c r="L6706" s="809" t="s">
        <v>28</v>
      </c>
      <c r="M6706" s="809">
        <v>4020</v>
      </c>
      <c r="N6706" s="778">
        <v>0.5</v>
      </c>
      <c r="O6706" s="873" t="s">
        <v>1024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873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873" t="s">
        <v>1659</v>
      </c>
    </row>
    <row r="6709" spans="1:16" x14ac:dyDescent="0.25">
      <c r="A6709" s="874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1"/>
      <c r="L6709" s="535" t="s">
        <v>265</v>
      </c>
      <c r="M6709" s="535">
        <v>12827.199999999999</v>
      </c>
      <c r="N6709" s="539">
        <v>0.375</v>
      </c>
      <c r="O6709" s="873" t="s">
        <v>1673</v>
      </c>
      <c r="P6709" s="850" t="s">
        <v>1675</v>
      </c>
    </row>
    <row r="6710" spans="1:16" x14ac:dyDescent="0.25">
      <c r="A6710" s="88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3"/>
      <c r="L6710" s="567" t="s">
        <v>265</v>
      </c>
      <c r="M6710" s="567">
        <v>2894.42</v>
      </c>
      <c r="N6710" s="571">
        <v>0.375</v>
      </c>
      <c r="O6710" s="873" t="s">
        <v>1671</v>
      </c>
    </row>
    <row r="6711" spans="1:16" x14ac:dyDescent="0.25">
      <c r="A6711" s="88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3"/>
      <c r="L6711" s="567" t="s">
        <v>265</v>
      </c>
      <c r="M6711" s="567">
        <v>1925.24</v>
      </c>
      <c r="N6711" s="571">
        <v>0.375</v>
      </c>
      <c r="O6711" s="873" t="s">
        <v>1672</v>
      </c>
    </row>
    <row r="6712" spans="1:16" ht="19.5" thickBot="1" x14ac:dyDescent="0.3">
      <c r="A6712" s="875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4"/>
      <c r="L6712" s="831" t="s">
        <v>265</v>
      </c>
      <c r="M6712" s="831">
        <v>2010</v>
      </c>
      <c r="N6712" s="644">
        <v>0.375</v>
      </c>
      <c r="O6712" s="873" t="s">
        <v>1674</v>
      </c>
    </row>
    <row r="6713" spans="1:16" x14ac:dyDescent="0.25">
      <c r="A6713" s="87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79"/>
      <c r="L6713" s="483" t="s">
        <v>265</v>
      </c>
      <c r="M6713" s="483">
        <v>17672.740000000002</v>
      </c>
      <c r="N6713" s="486">
        <v>0.41666666666666669</v>
      </c>
      <c r="O6713" s="873" t="s">
        <v>1698</v>
      </c>
    </row>
    <row r="6714" spans="1:16" ht="19.5" thickBot="1" x14ac:dyDescent="0.3">
      <c r="A6714" s="878"/>
      <c r="B6714" s="806" t="s">
        <v>1615</v>
      </c>
      <c r="C6714" s="807" t="s">
        <v>26</v>
      </c>
      <c r="D6714" s="808">
        <v>2.2000000000000002</v>
      </c>
      <c r="E6714" s="808">
        <v>2.2309999999999999</v>
      </c>
      <c r="F6714" s="809" t="s">
        <v>16</v>
      </c>
      <c r="G6714" s="810" t="s">
        <v>76</v>
      </c>
      <c r="H6714" s="809" t="s">
        <v>1631</v>
      </c>
      <c r="I6714" s="809" t="s">
        <v>1635</v>
      </c>
      <c r="J6714" s="812"/>
      <c r="K6714" s="811"/>
      <c r="L6714" s="809" t="s">
        <v>265</v>
      </c>
      <c r="M6714" s="809">
        <v>2220</v>
      </c>
      <c r="N6714" s="778">
        <v>0.41666666666666669</v>
      </c>
      <c r="O6714" s="873" t="s">
        <v>1699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873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873" t="s">
        <v>1664</v>
      </c>
      <c r="P6717" s="850" t="s">
        <v>1665</v>
      </c>
    </row>
    <row r="6718" spans="1:16" x14ac:dyDescent="0.25">
      <c r="A6718" s="87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49" t="s">
        <v>1633</v>
      </c>
      <c r="H6718" s="483" t="s">
        <v>1631</v>
      </c>
      <c r="I6718" s="484" t="s">
        <v>1635</v>
      </c>
      <c r="J6718" s="485"/>
      <c r="K6718" s="479"/>
      <c r="L6718" s="483" t="s">
        <v>28</v>
      </c>
      <c r="M6718" s="483">
        <v>7917.2999999999993</v>
      </c>
      <c r="N6718" s="486">
        <v>0.45833333333333331</v>
      </c>
      <c r="O6718" s="873" t="s">
        <v>1690</v>
      </c>
    </row>
    <row r="6719" spans="1:16" x14ac:dyDescent="0.25">
      <c r="A6719" s="877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50"/>
      <c r="H6719" s="763" t="s">
        <v>1631</v>
      </c>
      <c r="I6719" s="768" t="s">
        <v>1635</v>
      </c>
      <c r="J6719" s="779"/>
      <c r="K6719" s="792"/>
      <c r="L6719" s="763" t="s">
        <v>28</v>
      </c>
      <c r="M6719" s="763">
        <v>8185.32</v>
      </c>
      <c r="N6719" s="770">
        <v>0.45833333333333331</v>
      </c>
      <c r="O6719" s="873" t="s">
        <v>1689</v>
      </c>
    </row>
    <row r="6720" spans="1:16" ht="19.5" thickBot="1" x14ac:dyDescent="0.3">
      <c r="A6720" s="878"/>
      <c r="B6720" s="806" t="s">
        <v>1631</v>
      </c>
      <c r="C6720" s="807" t="s">
        <v>24</v>
      </c>
      <c r="D6720" s="808">
        <v>1.5</v>
      </c>
      <c r="E6720" s="808">
        <v>1.5249999999999999</v>
      </c>
      <c r="F6720" s="809" t="s">
        <v>16</v>
      </c>
      <c r="G6720" s="951"/>
      <c r="H6720" s="809" t="s">
        <v>1631</v>
      </c>
      <c r="I6720" s="809" t="s">
        <v>1635</v>
      </c>
      <c r="J6720" s="812"/>
      <c r="K6720" s="811"/>
      <c r="L6720" s="809" t="s">
        <v>28</v>
      </c>
      <c r="M6720" s="809">
        <v>1525.2</v>
      </c>
      <c r="N6720" s="778">
        <v>0.45833333333333331</v>
      </c>
      <c r="O6720" s="873" t="s">
        <v>1691</v>
      </c>
    </row>
    <row r="6721" spans="1:17" x14ac:dyDescent="0.25">
      <c r="A6721" s="874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05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873" t="s">
        <v>1682</v>
      </c>
    </row>
    <row r="6722" spans="1:17" ht="19.5" thickBot="1" x14ac:dyDescent="0.3">
      <c r="A6722" s="875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905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873" t="s">
        <v>1683</v>
      </c>
    </row>
    <row r="6723" spans="1:17" x14ac:dyDescent="0.25">
      <c r="A6723" s="87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03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873" t="s">
        <v>1669</v>
      </c>
    </row>
    <row r="6724" spans="1:17" ht="19.5" thickBot="1" x14ac:dyDescent="0.3">
      <c r="A6724" s="878"/>
      <c r="B6724" s="843" t="s">
        <v>1631</v>
      </c>
      <c r="C6724" s="844" t="s">
        <v>23</v>
      </c>
      <c r="D6724" s="845">
        <v>1.7</v>
      </c>
      <c r="E6724" s="845">
        <v>1.722</v>
      </c>
      <c r="F6724" s="846" t="s">
        <v>16</v>
      </c>
      <c r="G6724" s="906"/>
      <c r="H6724" s="846" t="s">
        <v>1631</v>
      </c>
      <c r="I6724" s="846" t="s">
        <v>1635</v>
      </c>
      <c r="J6724" s="847"/>
      <c r="K6724" s="848"/>
      <c r="L6724" s="846" t="s">
        <v>28</v>
      </c>
      <c r="M6724" s="846">
        <v>1728</v>
      </c>
      <c r="N6724" s="849">
        <v>0.54166666666666663</v>
      </c>
      <c r="O6724" s="873" t="s">
        <v>1670</v>
      </c>
      <c r="Q6724" s="837"/>
    </row>
    <row r="6725" spans="1:17" x14ac:dyDescent="0.25">
      <c r="A6725" s="88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1"/>
      <c r="L6725" s="535" t="s">
        <v>265</v>
      </c>
      <c r="M6725" s="535">
        <v>17496.179999999997</v>
      </c>
      <c r="N6725" s="539">
        <v>0.375</v>
      </c>
      <c r="O6725" s="873" t="s">
        <v>1685</v>
      </c>
      <c r="P6725" s="836"/>
    </row>
    <row r="6726" spans="1:17" ht="19.5" thickBot="1" x14ac:dyDescent="0.3">
      <c r="A6726" s="889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91"/>
      <c r="L6726" s="788" t="s">
        <v>265</v>
      </c>
      <c r="M6726" s="788">
        <v>1305</v>
      </c>
      <c r="N6726" s="784">
        <v>0.375</v>
      </c>
      <c r="O6726" s="873" t="s">
        <v>1686</v>
      </c>
      <c r="P6726" s="836"/>
    </row>
    <row r="6727" spans="1:17" x14ac:dyDescent="0.25">
      <c r="A6727" s="87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3"/>
      <c r="L6727" s="527" t="s">
        <v>28</v>
      </c>
      <c r="M6727" s="527">
        <v>3586.8</v>
      </c>
      <c r="N6727" s="530">
        <v>0.41666666666666669</v>
      </c>
      <c r="O6727" s="873" t="s">
        <v>1687</v>
      </c>
    </row>
    <row r="6728" spans="1:17" ht="19.5" thickBot="1" x14ac:dyDescent="0.3">
      <c r="A6728" s="88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5"/>
      <c r="L6728" s="649" t="s">
        <v>28</v>
      </c>
      <c r="M6728" s="649">
        <v>6921.6</v>
      </c>
      <c r="N6728" s="653">
        <v>0.41666666666666669</v>
      </c>
      <c r="O6728" s="873" t="s">
        <v>1688</v>
      </c>
    </row>
    <row r="6729" spans="1:17" x14ac:dyDescent="0.25">
      <c r="A6729" s="874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1"/>
      <c r="L6729" s="535" t="s">
        <v>28</v>
      </c>
      <c r="M6729" s="535">
        <v>4043.64</v>
      </c>
      <c r="N6729" s="539">
        <v>0.41666666666666669</v>
      </c>
      <c r="O6729" s="873" t="s">
        <v>1696</v>
      </c>
    </row>
    <row r="6730" spans="1:17" ht="19.5" thickBot="1" x14ac:dyDescent="0.3">
      <c r="A6730" s="87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36"/>
      <c r="L6730" s="640" t="s">
        <v>266</v>
      </c>
      <c r="M6730" s="640">
        <v>13282.3</v>
      </c>
      <c r="N6730" s="644">
        <v>0.41666666666666669</v>
      </c>
      <c r="O6730" s="873" t="s">
        <v>1697</v>
      </c>
      <c r="P6730" s="836"/>
    </row>
    <row r="6731" spans="1:17" x14ac:dyDescent="0.25">
      <c r="A6731" s="87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79"/>
      <c r="L6731" s="483" t="s">
        <v>28</v>
      </c>
      <c r="M6731" s="483">
        <v>3401.82</v>
      </c>
      <c r="N6731" s="486">
        <v>0.45833333333333331</v>
      </c>
      <c r="O6731" s="873" t="s">
        <v>1694</v>
      </c>
    </row>
    <row r="6732" spans="1:17" ht="19.5" thickBot="1" x14ac:dyDescent="0.3">
      <c r="A6732" s="88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O6732" s="873" t="s">
        <v>1695</v>
      </c>
      <c r="P6732" s="836"/>
    </row>
    <row r="6733" spans="1:17" x14ac:dyDescent="0.25">
      <c r="A6733" s="89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1"/>
      <c r="L6733" s="535" t="s">
        <v>265</v>
      </c>
      <c r="M6733" s="535">
        <v>17527.2</v>
      </c>
      <c r="N6733" s="539">
        <v>0.66666666666666663</v>
      </c>
      <c r="O6733" s="873" t="s">
        <v>1692</v>
      </c>
      <c r="P6733" s="836"/>
    </row>
    <row r="6734" spans="1:17" ht="19.5" thickBot="1" x14ac:dyDescent="0.3">
      <c r="A6734" s="948"/>
      <c r="B6734" s="851" t="s">
        <v>1631</v>
      </c>
      <c r="C6734" s="800" t="s">
        <v>26</v>
      </c>
      <c r="D6734" s="801">
        <v>0.8</v>
      </c>
      <c r="E6734" s="801">
        <v>0.82499999999999996</v>
      </c>
      <c r="F6734" s="802" t="s">
        <v>16</v>
      </c>
      <c r="G6734" s="803" t="s">
        <v>76</v>
      </c>
      <c r="H6734" s="802" t="s">
        <v>1635</v>
      </c>
      <c r="I6734" s="802" t="s">
        <v>1635</v>
      </c>
      <c r="J6734" s="804"/>
      <c r="K6734" s="851"/>
      <c r="L6734" s="802" t="s">
        <v>265</v>
      </c>
      <c r="M6734" s="802">
        <v>810</v>
      </c>
      <c r="N6734" s="805">
        <v>0.66666666666666663</v>
      </c>
      <c r="O6734" s="873" t="s">
        <v>1693</v>
      </c>
      <c r="P6734" s="836"/>
    </row>
    <row r="6735" spans="1:17" x14ac:dyDescent="0.25">
      <c r="A6735" s="87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79"/>
      <c r="L6735" s="483" t="s">
        <v>266</v>
      </c>
      <c r="M6735" s="483">
        <v>18153.29</v>
      </c>
      <c r="N6735" s="486">
        <v>0.41666666666666669</v>
      </c>
      <c r="O6735" s="873" t="s">
        <v>1709</v>
      </c>
      <c r="P6735" s="836"/>
    </row>
    <row r="6736" spans="1:17" ht="19.5" thickBot="1" x14ac:dyDescent="0.3">
      <c r="A6736" s="878"/>
      <c r="B6736" s="806" t="s">
        <v>1684</v>
      </c>
      <c r="C6736" s="807" t="s">
        <v>32</v>
      </c>
      <c r="D6736" s="808">
        <v>2.2999999999999998</v>
      </c>
      <c r="E6736" s="808">
        <v>2.319</v>
      </c>
      <c r="F6736" s="809" t="s">
        <v>16</v>
      </c>
      <c r="G6736" s="810" t="s">
        <v>76</v>
      </c>
      <c r="H6736" s="809" t="s">
        <v>1684</v>
      </c>
      <c r="I6736" s="809" t="s">
        <v>1684</v>
      </c>
      <c r="J6736" s="812"/>
      <c r="K6736" s="811"/>
      <c r="L6736" s="809" t="s">
        <v>266</v>
      </c>
      <c r="M6736" s="809">
        <v>2310</v>
      </c>
      <c r="N6736" s="778">
        <v>0.41666666666666669</v>
      </c>
      <c r="O6736" s="873" t="s">
        <v>1710</v>
      </c>
      <c r="P6736" s="836"/>
    </row>
    <row r="6737" spans="1:16" ht="19.5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36"/>
      <c r="L6737" s="640" t="s">
        <v>266</v>
      </c>
      <c r="M6737" s="640">
        <v>18135.710000000003</v>
      </c>
      <c r="N6737" s="644">
        <v>0.45833333333333331</v>
      </c>
      <c r="O6737" s="873" t="s">
        <v>1706</v>
      </c>
      <c r="P6737" s="836"/>
    </row>
    <row r="6738" spans="1:16" x14ac:dyDescent="0.25">
      <c r="A6738" s="87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79"/>
      <c r="L6738" s="483" t="s">
        <v>266</v>
      </c>
      <c r="M6738" s="483">
        <v>18078.599999999999</v>
      </c>
      <c r="N6738" s="486">
        <v>0.5</v>
      </c>
      <c r="O6738" s="873" t="s">
        <v>1707</v>
      </c>
      <c r="P6738" s="836"/>
    </row>
    <row r="6739" spans="1:16" ht="19.5" thickBot="1" x14ac:dyDescent="0.3">
      <c r="A6739" s="878"/>
      <c r="B6739" s="806" t="s">
        <v>1684</v>
      </c>
      <c r="C6739" s="807" t="s">
        <v>32</v>
      </c>
      <c r="D6739" s="808">
        <v>3.5</v>
      </c>
      <c r="E6739" s="808">
        <v>3.52</v>
      </c>
      <c r="F6739" s="809" t="s">
        <v>16</v>
      </c>
      <c r="G6739" s="810" t="s">
        <v>76</v>
      </c>
      <c r="H6739" s="809" t="s">
        <v>1684</v>
      </c>
      <c r="I6739" s="809" t="s">
        <v>1684</v>
      </c>
      <c r="J6739" s="812"/>
      <c r="K6739" s="811"/>
      <c r="L6739" s="809" t="s">
        <v>266</v>
      </c>
      <c r="M6739" s="809">
        <v>3510</v>
      </c>
      <c r="N6739" s="778">
        <v>0.5</v>
      </c>
      <c r="O6739" s="873" t="s">
        <v>1708</v>
      </c>
      <c r="P6739" s="836"/>
    </row>
    <row r="6740" spans="1:16" ht="19.5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2"/>
      <c r="L6740" s="556" t="s">
        <v>266</v>
      </c>
      <c r="M6740" s="556">
        <v>18156.96</v>
      </c>
      <c r="N6740" s="560">
        <v>0.54166666666666663</v>
      </c>
      <c r="O6740" s="873" t="s">
        <v>1716</v>
      </c>
    </row>
    <row r="6741" spans="1:16" x14ac:dyDescent="0.25">
      <c r="A6741" s="87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/>
      <c r="F6741" s="483" t="s">
        <v>16</v>
      </c>
      <c r="G6741" s="549"/>
      <c r="H6741" s="483" t="s">
        <v>1701</v>
      </c>
      <c r="I6741" s="484"/>
      <c r="J6741" s="485"/>
      <c r="K6741" s="479"/>
      <c r="L6741" s="483" t="s">
        <v>265</v>
      </c>
      <c r="M6741" s="483">
        <v>17734.39</v>
      </c>
      <c r="N6741" s="486">
        <v>0.375</v>
      </c>
    </row>
    <row r="6742" spans="1:16" x14ac:dyDescent="0.25">
      <c r="A6742" s="877"/>
      <c r="B6742" s="843" t="s">
        <v>1701</v>
      </c>
      <c r="C6742" s="844" t="s">
        <v>26</v>
      </c>
      <c r="D6742" s="845">
        <v>0.2</v>
      </c>
      <c r="E6742" s="845"/>
      <c r="F6742" s="846" t="s">
        <v>16</v>
      </c>
      <c r="G6742" s="856" t="s">
        <v>76</v>
      </c>
      <c r="H6742" s="846" t="s">
        <v>1701</v>
      </c>
      <c r="I6742" s="846"/>
      <c r="J6742" s="847"/>
      <c r="K6742" s="848"/>
      <c r="L6742" s="846" t="s">
        <v>265</v>
      </c>
      <c r="M6742" s="846">
        <v>210</v>
      </c>
      <c r="N6742" s="502">
        <v>0.375</v>
      </c>
    </row>
    <row r="6743" spans="1:16" ht="19.5" thickBot="1" x14ac:dyDescent="0.3">
      <c r="A6743" s="878"/>
      <c r="B6743" s="843" t="s">
        <v>1700</v>
      </c>
      <c r="C6743" s="844" t="s">
        <v>26</v>
      </c>
      <c r="D6743" s="845">
        <v>1.2</v>
      </c>
      <c r="E6743" s="845"/>
      <c r="F6743" s="846" t="s">
        <v>16</v>
      </c>
      <c r="G6743" s="856" t="s">
        <v>76</v>
      </c>
      <c r="H6743" s="846" t="s">
        <v>1701</v>
      </c>
      <c r="I6743" s="846"/>
      <c r="J6743" s="847"/>
      <c r="K6743" s="848"/>
      <c r="L6743" s="846" t="s">
        <v>265</v>
      </c>
      <c r="M6743" s="846">
        <v>1200</v>
      </c>
      <c r="N6743" s="849">
        <v>0.375</v>
      </c>
    </row>
    <row r="6744" spans="1:16" x14ac:dyDescent="0.25">
      <c r="A6744" s="874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1"/>
      <c r="L6744" s="535" t="s">
        <v>265</v>
      </c>
      <c r="M6744" s="535">
        <v>17497.330000000002</v>
      </c>
      <c r="N6744" s="539">
        <v>0.41666666666666669</v>
      </c>
      <c r="O6744" s="873" t="s">
        <v>1712</v>
      </c>
      <c r="P6744" s="850" t="s">
        <v>1715</v>
      </c>
    </row>
    <row r="6745" spans="1:16" x14ac:dyDescent="0.25">
      <c r="A6745" s="881"/>
      <c r="B6745" s="857" t="s">
        <v>1701</v>
      </c>
      <c r="C6745" s="839" t="s">
        <v>26</v>
      </c>
      <c r="D6745" s="840">
        <v>0.5</v>
      </c>
      <c r="E6745" s="840">
        <v>0.50700000000000001</v>
      </c>
      <c r="F6745" s="841" t="s">
        <v>16</v>
      </c>
      <c r="G6745" s="855" t="s">
        <v>76</v>
      </c>
      <c r="H6745" s="841" t="s">
        <v>1701</v>
      </c>
      <c r="I6745" s="841" t="s">
        <v>1701</v>
      </c>
      <c r="J6745" s="842"/>
      <c r="K6745" s="838"/>
      <c r="L6745" s="841" t="s">
        <v>265</v>
      </c>
      <c r="M6745" s="841">
        <v>510</v>
      </c>
      <c r="N6745" s="598">
        <v>0.41666666666666669</v>
      </c>
      <c r="O6745" s="873" t="s">
        <v>1714</v>
      </c>
    </row>
    <row r="6746" spans="1:16" ht="19.5" thickBot="1" x14ac:dyDescent="0.3">
      <c r="A6746" s="875"/>
      <c r="B6746" s="799" t="s">
        <v>1700</v>
      </c>
      <c r="C6746" s="800" t="s">
        <v>26</v>
      </c>
      <c r="D6746" s="801">
        <v>1.5</v>
      </c>
      <c r="E6746" s="801">
        <v>1.5069999999999999</v>
      </c>
      <c r="F6746" s="802" t="s">
        <v>16</v>
      </c>
      <c r="G6746" s="803" t="s">
        <v>76</v>
      </c>
      <c r="H6746" s="802" t="s">
        <v>1701</v>
      </c>
      <c r="I6746" s="802" t="s">
        <v>1701</v>
      </c>
      <c r="J6746" s="804"/>
      <c r="K6746" s="851"/>
      <c r="L6746" s="802" t="s">
        <v>265</v>
      </c>
      <c r="M6746" s="802">
        <v>1500</v>
      </c>
      <c r="N6746" s="805">
        <v>0.41666666666666669</v>
      </c>
      <c r="O6746" s="873" t="s">
        <v>1713</v>
      </c>
      <c r="P6746" s="850" t="s">
        <v>1720</v>
      </c>
    </row>
    <row r="6747" spans="1:16" x14ac:dyDescent="0.25">
      <c r="A6747" s="87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79"/>
      <c r="L6747" s="483" t="s">
        <v>265</v>
      </c>
      <c r="M6747" s="483">
        <v>17469.330000000002</v>
      </c>
      <c r="N6747" s="486">
        <v>0.45833333333333331</v>
      </c>
      <c r="O6747" s="873" t="s">
        <v>1717</v>
      </c>
    </row>
    <row r="6748" spans="1:16" x14ac:dyDescent="0.25">
      <c r="A6748" s="887"/>
      <c r="B6748" s="843" t="s">
        <v>1701</v>
      </c>
      <c r="C6748" s="844" t="s">
        <v>26</v>
      </c>
      <c r="D6748" s="845">
        <v>0.76</v>
      </c>
      <c r="E6748" s="845">
        <v>0.76700000000000002</v>
      </c>
      <c r="F6748" s="846" t="s">
        <v>16</v>
      </c>
      <c r="G6748" s="856" t="s">
        <v>76</v>
      </c>
      <c r="H6748" s="846" t="s">
        <v>1701</v>
      </c>
      <c r="I6748" s="846" t="s">
        <v>1701</v>
      </c>
      <c r="J6748" s="847"/>
      <c r="K6748" s="848"/>
      <c r="L6748" s="846" t="s">
        <v>265</v>
      </c>
      <c r="M6748" s="846">
        <v>765</v>
      </c>
      <c r="N6748" s="502">
        <v>0.45833333333333331</v>
      </c>
      <c r="O6748" s="873" t="s">
        <v>1719</v>
      </c>
    </row>
    <row r="6749" spans="1:16" ht="19.5" thickBot="1" x14ac:dyDescent="0.3">
      <c r="A6749" s="880"/>
      <c r="B6749" s="806" t="s">
        <v>1700</v>
      </c>
      <c r="C6749" s="807" t="s">
        <v>26</v>
      </c>
      <c r="D6749" s="808">
        <v>1.5</v>
      </c>
      <c r="E6749" s="808">
        <v>1.5069999999999999</v>
      </c>
      <c r="F6749" s="809" t="s">
        <v>16</v>
      </c>
      <c r="G6749" s="810" t="s">
        <v>76</v>
      </c>
      <c r="H6749" s="809" t="s">
        <v>1701</v>
      </c>
      <c r="I6749" s="809" t="s">
        <v>1701</v>
      </c>
      <c r="J6749" s="812"/>
      <c r="K6749" s="811"/>
      <c r="L6749" s="809" t="s">
        <v>265</v>
      </c>
      <c r="M6749" s="809">
        <v>1500</v>
      </c>
      <c r="N6749" s="778">
        <v>0.45833333333333331</v>
      </c>
      <c r="O6749" s="873" t="s">
        <v>1718</v>
      </c>
    </row>
    <row r="6750" spans="1:16" x14ac:dyDescent="0.25">
      <c r="A6750" s="874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/>
      <c r="F6750" s="567" t="s">
        <v>16</v>
      </c>
      <c r="G6750" s="568"/>
      <c r="H6750" s="567" t="s">
        <v>1701</v>
      </c>
      <c r="I6750" s="569"/>
      <c r="J6750" s="570"/>
      <c r="K6750" s="563"/>
      <c r="L6750" s="567" t="s">
        <v>266</v>
      </c>
      <c r="M6750" s="567">
        <v>10316.100000000002</v>
      </c>
      <c r="N6750" s="571">
        <v>0.5</v>
      </c>
    </row>
    <row r="6751" spans="1:16" x14ac:dyDescent="0.25">
      <c r="A6751" s="881"/>
      <c r="B6751" s="563" t="s">
        <v>1700</v>
      </c>
      <c r="C6751" s="564" t="s">
        <v>32</v>
      </c>
      <c r="D6751" s="565">
        <v>4.7690000000000001</v>
      </c>
      <c r="E6751" s="566"/>
      <c r="F6751" s="567" t="s">
        <v>16</v>
      </c>
      <c r="G6751" s="568" t="s">
        <v>1702</v>
      </c>
      <c r="H6751" s="567" t="s">
        <v>1701</v>
      </c>
      <c r="I6751" s="569"/>
      <c r="J6751" s="570"/>
      <c r="K6751" s="563"/>
      <c r="L6751" s="567" t="s">
        <v>266</v>
      </c>
      <c r="M6751" s="567">
        <v>4769.0999999999995</v>
      </c>
      <c r="N6751" s="571">
        <v>0.5</v>
      </c>
    </row>
    <row r="6752" spans="1:16" ht="19.5" thickBot="1" x14ac:dyDescent="0.3">
      <c r="A6752" s="875"/>
      <c r="B6752" s="636" t="s">
        <v>1700</v>
      </c>
      <c r="C6752" s="637" t="s">
        <v>32</v>
      </c>
      <c r="D6752" s="638">
        <v>2.5</v>
      </c>
      <c r="E6752" s="639"/>
      <c r="F6752" s="640" t="s">
        <v>16</v>
      </c>
      <c r="G6752" s="641"/>
      <c r="H6752" s="640" t="s">
        <v>1701</v>
      </c>
      <c r="I6752" s="642"/>
      <c r="J6752" s="643"/>
      <c r="K6752" s="636"/>
      <c r="L6752" s="640" t="s">
        <v>266</v>
      </c>
      <c r="M6752" s="640">
        <v>2503.7999999999997</v>
      </c>
      <c r="N6752" s="644">
        <v>0.5</v>
      </c>
    </row>
    <row r="6753" spans="1:15" ht="19.5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3"/>
      <c r="L6753" s="577" t="s">
        <v>265</v>
      </c>
      <c r="M6753" s="577">
        <v>13055.56</v>
      </c>
      <c r="N6753" s="581">
        <v>0.375</v>
      </c>
      <c r="O6753" s="873" t="s">
        <v>1711</v>
      </c>
    </row>
    <row r="6754" spans="1:15" x14ac:dyDescent="0.25">
      <c r="A6754" s="874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/>
      <c r="F6754" s="535" t="s">
        <v>16</v>
      </c>
      <c r="G6754" s="536"/>
      <c r="H6754" s="535" t="s">
        <v>1703</v>
      </c>
      <c r="I6754" s="537"/>
      <c r="J6754" s="538"/>
      <c r="K6754" s="531"/>
      <c r="L6754" s="535" t="s">
        <v>265</v>
      </c>
      <c r="M6754" s="535">
        <v>17758.39</v>
      </c>
      <c r="N6754" s="539">
        <v>0.375</v>
      </c>
    </row>
    <row r="6755" spans="1:15" ht="19.5" thickBot="1" x14ac:dyDescent="0.3">
      <c r="A6755" s="875"/>
      <c r="B6755" s="838" t="s">
        <v>1701</v>
      </c>
      <c r="C6755" s="839" t="s">
        <v>26</v>
      </c>
      <c r="D6755" s="840">
        <v>4.4000000000000004</v>
      </c>
      <c r="E6755" s="840"/>
      <c r="F6755" s="841" t="s">
        <v>16</v>
      </c>
      <c r="G6755" s="855" t="s">
        <v>76</v>
      </c>
      <c r="H6755" s="841" t="s">
        <v>1703</v>
      </c>
      <c r="I6755" s="841"/>
      <c r="J6755" s="842"/>
      <c r="K6755" s="838"/>
      <c r="L6755" s="841" t="s">
        <v>265</v>
      </c>
      <c r="M6755" s="841">
        <v>4410</v>
      </c>
      <c r="N6755" s="805">
        <v>0.375</v>
      </c>
    </row>
    <row r="6756" spans="1:15" x14ac:dyDescent="0.25">
      <c r="A6756" s="87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/>
      <c r="F6756" s="483" t="s">
        <v>16</v>
      </c>
      <c r="G6756" s="549"/>
      <c r="H6756" s="483" t="s">
        <v>1703</v>
      </c>
      <c r="I6756" s="484"/>
      <c r="J6756" s="485"/>
      <c r="K6756" s="479"/>
      <c r="L6756" s="483" t="s">
        <v>265</v>
      </c>
      <c r="M6756" s="483">
        <v>17577.29</v>
      </c>
      <c r="N6756" s="486">
        <v>0.41666666666666669</v>
      </c>
    </row>
    <row r="6757" spans="1:15" x14ac:dyDescent="0.25">
      <c r="A6757" s="877"/>
      <c r="B6757" s="869" t="s">
        <v>1703</v>
      </c>
      <c r="C6757" s="866" t="s">
        <v>26</v>
      </c>
      <c r="D6757" s="867">
        <v>0.3</v>
      </c>
      <c r="E6757" s="867"/>
      <c r="F6757" s="865" t="s">
        <v>16</v>
      </c>
      <c r="G6757" s="868"/>
      <c r="H6757" s="865" t="s">
        <v>1703</v>
      </c>
      <c r="I6757" s="865"/>
      <c r="J6757" s="871"/>
      <c r="K6757" s="870"/>
      <c r="L6757" s="865" t="s">
        <v>265</v>
      </c>
      <c r="M6757" s="865">
        <v>300</v>
      </c>
      <c r="N6757" s="770">
        <v>0.41666666666666669</v>
      </c>
      <c r="O6757" s="873" t="s">
        <v>1725</v>
      </c>
    </row>
    <row r="6758" spans="1:15" ht="19.5" thickBot="1" x14ac:dyDescent="0.3">
      <c r="A6758" s="878"/>
      <c r="B6758" s="858" t="s">
        <v>1701</v>
      </c>
      <c r="C6758" s="859" t="s">
        <v>26</v>
      </c>
      <c r="D6758" s="860">
        <v>4</v>
      </c>
      <c r="E6758" s="860"/>
      <c r="F6758" s="861" t="s">
        <v>16</v>
      </c>
      <c r="G6758" s="862" t="s">
        <v>76</v>
      </c>
      <c r="H6758" s="861" t="s">
        <v>1703</v>
      </c>
      <c r="I6758" s="861"/>
      <c r="J6758" s="863"/>
      <c r="K6758" s="864"/>
      <c r="L6758" s="861" t="s">
        <v>265</v>
      </c>
      <c r="M6758" s="861">
        <v>4020</v>
      </c>
      <c r="N6758" s="653">
        <v>0.41666666666666669</v>
      </c>
    </row>
    <row r="6759" spans="1:15" x14ac:dyDescent="0.25">
      <c r="A6759" s="88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/>
      <c r="F6759" s="535" t="s">
        <v>16</v>
      </c>
      <c r="G6759" s="536"/>
      <c r="H6759" s="535" t="s">
        <v>1703</v>
      </c>
      <c r="I6759" s="537"/>
      <c r="J6759" s="538"/>
      <c r="K6759" s="531"/>
      <c r="L6759" s="535" t="s">
        <v>28</v>
      </c>
      <c r="M6759" s="535">
        <v>9815.5400000000009</v>
      </c>
      <c r="N6759" s="539">
        <v>0.45833333333333331</v>
      </c>
    </row>
    <row r="6760" spans="1:15" x14ac:dyDescent="0.25">
      <c r="A6760" s="890"/>
      <c r="B6760" s="826" t="s">
        <v>1700</v>
      </c>
      <c r="C6760" s="822" t="s">
        <v>24</v>
      </c>
      <c r="D6760" s="823">
        <v>7.4669999999999996</v>
      </c>
      <c r="E6760" s="824"/>
      <c r="F6760" s="821" t="s">
        <v>16</v>
      </c>
      <c r="G6760" s="825"/>
      <c r="H6760" s="821" t="s">
        <v>1703</v>
      </c>
      <c r="I6760" s="782"/>
      <c r="J6760" s="827"/>
      <c r="K6760" s="852"/>
      <c r="L6760" s="821" t="s">
        <v>28</v>
      </c>
      <c r="M6760" s="821">
        <v>7637.880000000001</v>
      </c>
      <c r="N6760" s="813">
        <v>0.45833333333333331</v>
      </c>
      <c r="O6760" s="873">
        <v>6278074</v>
      </c>
    </row>
    <row r="6761" spans="1:15" x14ac:dyDescent="0.25">
      <c r="A6761" s="890"/>
      <c r="B6761" s="815" t="s">
        <v>1684</v>
      </c>
      <c r="C6761" s="816" t="s">
        <v>15</v>
      </c>
      <c r="D6761" s="817">
        <v>2</v>
      </c>
      <c r="E6761" s="817"/>
      <c r="F6761" s="818" t="s">
        <v>16</v>
      </c>
      <c r="G6761" s="819" t="s">
        <v>76</v>
      </c>
      <c r="H6761" s="818" t="s">
        <v>1703</v>
      </c>
      <c r="I6761" s="818"/>
      <c r="J6761" s="820"/>
      <c r="K6761" s="853"/>
      <c r="L6761" s="818" t="s">
        <v>28</v>
      </c>
      <c r="M6761" s="818">
        <v>2010</v>
      </c>
      <c r="N6761" s="813">
        <v>0.45833333333333331</v>
      </c>
    </row>
    <row r="6762" spans="1:15" ht="19.5" thickBot="1" x14ac:dyDescent="0.3">
      <c r="A6762" s="889"/>
      <c r="B6762" s="828" t="s">
        <v>1684</v>
      </c>
      <c r="C6762" s="829" t="s">
        <v>24</v>
      </c>
      <c r="D6762" s="830">
        <v>3.5</v>
      </c>
      <c r="E6762" s="830"/>
      <c r="F6762" s="831" t="s">
        <v>16</v>
      </c>
      <c r="G6762" s="832" t="s">
        <v>76</v>
      </c>
      <c r="H6762" s="831" t="s">
        <v>1703</v>
      </c>
      <c r="I6762" s="831"/>
      <c r="J6762" s="833"/>
      <c r="K6762" s="834"/>
      <c r="L6762" s="831" t="s">
        <v>28</v>
      </c>
      <c r="M6762" s="831">
        <v>3510</v>
      </c>
      <c r="N6762" s="784">
        <v>0.45833333333333331</v>
      </c>
      <c r="O6762" s="873">
        <v>6278508</v>
      </c>
    </row>
    <row r="6763" spans="1:15" x14ac:dyDescent="0.25">
      <c r="A6763" s="876">
        <f>MAX(A6733:A6762)+1</f>
        <v>4238</v>
      </c>
      <c r="B6763" s="610" t="s">
        <v>1700</v>
      </c>
      <c r="C6763" s="480" t="s">
        <v>24</v>
      </c>
      <c r="D6763" s="481">
        <v>6</v>
      </c>
      <c r="E6763" s="482"/>
      <c r="F6763" s="483" t="s">
        <v>16</v>
      </c>
      <c r="G6763" s="549"/>
      <c r="H6763" s="483" t="s">
        <v>1703</v>
      </c>
      <c r="I6763" s="484"/>
      <c r="J6763" s="485"/>
      <c r="K6763" s="479"/>
      <c r="L6763" s="483" t="s">
        <v>28</v>
      </c>
      <c r="M6763" s="483">
        <v>6098.88</v>
      </c>
      <c r="N6763" s="486">
        <v>0.5</v>
      </c>
      <c r="O6763" s="873">
        <v>6278067</v>
      </c>
    </row>
    <row r="6764" spans="1:15" x14ac:dyDescent="0.25">
      <c r="A6764" s="877"/>
      <c r="B6764" s="769" t="s">
        <v>1700</v>
      </c>
      <c r="C6764" s="764" t="s">
        <v>764</v>
      </c>
      <c r="D6764" s="765">
        <v>11.1</v>
      </c>
      <c r="E6764" s="766"/>
      <c r="F6764" s="763" t="s">
        <v>16</v>
      </c>
      <c r="G6764" s="767"/>
      <c r="H6764" s="763" t="s">
        <v>1703</v>
      </c>
      <c r="I6764" s="768"/>
      <c r="J6764" s="779"/>
      <c r="K6764" s="792"/>
      <c r="L6764" s="763" t="s">
        <v>28</v>
      </c>
      <c r="M6764" s="763">
        <v>11147.4</v>
      </c>
      <c r="N6764" s="770">
        <v>0.5</v>
      </c>
      <c r="O6764" s="873">
        <v>6278053</v>
      </c>
    </row>
    <row r="6765" spans="1:15" ht="19.5" thickBot="1" x14ac:dyDescent="0.3">
      <c r="A6765" s="877"/>
      <c r="B6765" s="793" t="s">
        <v>1700</v>
      </c>
      <c r="C6765" s="794" t="s">
        <v>764</v>
      </c>
      <c r="D6765" s="795">
        <v>6.19</v>
      </c>
      <c r="E6765" s="795"/>
      <c r="F6765" s="796" t="s">
        <v>16</v>
      </c>
      <c r="G6765" s="797" t="s">
        <v>76</v>
      </c>
      <c r="H6765" s="796" t="s">
        <v>1703</v>
      </c>
      <c r="I6765" s="796"/>
      <c r="J6765" s="798"/>
      <c r="K6765" s="854"/>
      <c r="L6765" s="796" t="s">
        <v>28</v>
      </c>
      <c r="M6765" s="796">
        <v>6207.6</v>
      </c>
      <c r="N6765" s="502">
        <v>0.5</v>
      </c>
      <c r="O6765" s="873">
        <v>6278509</v>
      </c>
    </row>
    <row r="6766" spans="1:15" x14ac:dyDescent="0.25">
      <c r="A6766" s="874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/>
      <c r="F6766" s="535" t="s">
        <v>16</v>
      </c>
      <c r="G6766" s="536"/>
      <c r="H6766" s="535" t="s">
        <v>1703</v>
      </c>
      <c r="I6766" s="537"/>
      <c r="J6766" s="538"/>
      <c r="K6766" s="531"/>
      <c r="L6766" s="535" t="s">
        <v>28</v>
      </c>
      <c r="M6766" s="535">
        <v>17691.16</v>
      </c>
      <c r="N6766" s="539">
        <v>0.54166666666666663</v>
      </c>
    </row>
    <row r="6767" spans="1:15" ht="19.5" thickBot="1" x14ac:dyDescent="0.3">
      <c r="A6767" s="881"/>
      <c r="B6767" s="838" t="s">
        <v>1684</v>
      </c>
      <c r="C6767" s="839" t="s">
        <v>47</v>
      </c>
      <c r="D6767" s="840">
        <v>4.3</v>
      </c>
      <c r="E6767" s="840"/>
      <c r="F6767" s="841" t="s">
        <v>16</v>
      </c>
      <c r="G6767" s="855" t="s">
        <v>76</v>
      </c>
      <c r="H6767" s="841" t="s">
        <v>1703</v>
      </c>
      <c r="I6767" s="841"/>
      <c r="J6767" s="842"/>
      <c r="K6767" s="838"/>
      <c r="L6767" s="841" t="s">
        <v>28</v>
      </c>
      <c r="M6767" s="841">
        <v>4320</v>
      </c>
      <c r="N6767" s="805">
        <v>0.54166666666666663</v>
      </c>
    </row>
    <row r="6768" spans="1:15" ht="19.5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/>
      <c r="F6768" s="518" t="s">
        <v>16</v>
      </c>
      <c r="G6768" s="519"/>
      <c r="H6768" s="518" t="s">
        <v>1703</v>
      </c>
      <c r="I6768" s="520"/>
      <c r="J6768" s="521"/>
      <c r="K6768" s="514"/>
      <c r="L6768" s="518" t="s">
        <v>266</v>
      </c>
      <c r="M6768" s="518">
        <v>17635.8</v>
      </c>
      <c r="N6768" s="522">
        <v>0.58333333333333337</v>
      </c>
    </row>
    <row r="6769" spans="1:15" x14ac:dyDescent="0.25">
      <c r="A6769" s="874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/>
      <c r="F6769" s="535" t="s">
        <v>30</v>
      </c>
      <c r="G6769" s="536"/>
      <c r="H6769" s="535" t="s">
        <v>1703</v>
      </c>
      <c r="I6769" s="537"/>
      <c r="J6769" s="538"/>
      <c r="K6769" s="531"/>
      <c r="L6769" s="535" t="s">
        <v>28</v>
      </c>
      <c r="M6769" s="535">
        <v>8288.880000000001</v>
      </c>
      <c r="N6769" s="539">
        <v>0.41666666666666669</v>
      </c>
    </row>
    <row r="6770" spans="1:15" ht="19.5" thickBot="1" x14ac:dyDescent="0.3">
      <c r="A6770" s="875"/>
      <c r="B6770" s="636" t="s">
        <v>1684</v>
      </c>
      <c r="C6770" s="637" t="s">
        <v>24</v>
      </c>
      <c r="D6770" s="638">
        <v>5.3079999999999998</v>
      </c>
      <c r="E6770" s="639"/>
      <c r="F6770" s="640" t="s">
        <v>30</v>
      </c>
      <c r="G6770" s="641"/>
      <c r="H6770" s="640" t="s">
        <v>1703</v>
      </c>
      <c r="I6770" s="642"/>
      <c r="J6770" s="643"/>
      <c r="K6770" s="636"/>
      <c r="L6770" s="640" t="s">
        <v>28</v>
      </c>
      <c r="M6770" s="640">
        <v>5308.32</v>
      </c>
      <c r="N6770" s="644">
        <v>0.41666666666666669</v>
      </c>
    </row>
    <row r="6771" spans="1:15" x14ac:dyDescent="0.25">
      <c r="A6771" s="87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/>
      <c r="F6771" s="483" t="s">
        <v>16</v>
      </c>
      <c r="G6771" s="549"/>
      <c r="H6771" s="483" t="s">
        <v>1704</v>
      </c>
      <c r="I6771" s="484"/>
      <c r="J6771" s="485"/>
      <c r="K6771" s="479"/>
      <c r="L6771" s="483" t="s">
        <v>265</v>
      </c>
      <c r="M6771" s="483">
        <v>15056.58</v>
      </c>
      <c r="N6771" s="486">
        <v>0.375</v>
      </c>
    </row>
    <row r="6772" spans="1:15" x14ac:dyDescent="0.25">
      <c r="A6772" s="877"/>
      <c r="B6772" s="872" t="s">
        <v>1684</v>
      </c>
      <c r="C6772" s="524" t="s">
        <v>1705</v>
      </c>
      <c r="D6772" s="525">
        <v>0.83399999999999996</v>
      </c>
      <c r="E6772" s="526"/>
      <c r="F6772" s="527" t="s">
        <v>16</v>
      </c>
      <c r="G6772" s="561"/>
      <c r="H6772" s="527" t="s">
        <v>1704</v>
      </c>
      <c r="I6772" s="528"/>
      <c r="J6772" s="529"/>
      <c r="K6772" s="523"/>
      <c r="L6772" s="527" t="s">
        <v>265</v>
      </c>
      <c r="M6772" s="527">
        <v>834.54000000000008</v>
      </c>
      <c r="N6772" s="530">
        <v>0.375</v>
      </c>
    </row>
    <row r="6773" spans="1:15" x14ac:dyDescent="0.25">
      <c r="A6773" s="877"/>
      <c r="B6773" s="769" t="s">
        <v>1684</v>
      </c>
      <c r="C6773" s="764" t="s">
        <v>952</v>
      </c>
      <c r="D6773" s="765">
        <v>1.619</v>
      </c>
      <c r="E6773" s="766"/>
      <c r="F6773" s="763" t="s">
        <v>16</v>
      </c>
      <c r="G6773" s="767"/>
      <c r="H6773" s="763" t="s">
        <v>1704</v>
      </c>
      <c r="I6773" s="768"/>
      <c r="J6773" s="779"/>
      <c r="K6773" s="792"/>
      <c r="L6773" s="763" t="s">
        <v>265</v>
      </c>
      <c r="M6773" s="763">
        <v>1693.38</v>
      </c>
      <c r="N6773" s="770">
        <v>0.375</v>
      </c>
    </row>
    <row r="6774" spans="1:15" ht="19.5" thickBot="1" x14ac:dyDescent="0.3">
      <c r="A6774" s="878"/>
      <c r="B6774" s="858" t="s">
        <v>1703</v>
      </c>
      <c r="C6774" s="859" t="s">
        <v>26</v>
      </c>
      <c r="D6774" s="860">
        <v>2.9</v>
      </c>
      <c r="E6774" s="860"/>
      <c r="F6774" s="861" t="s">
        <v>16</v>
      </c>
      <c r="G6774" s="862" t="s">
        <v>76</v>
      </c>
      <c r="H6774" s="861" t="s">
        <v>1704</v>
      </c>
      <c r="I6774" s="861"/>
      <c r="J6774" s="863"/>
      <c r="K6774" s="864"/>
      <c r="L6774" s="861" t="s">
        <v>265</v>
      </c>
      <c r="M6774" s="861">
        <v>2910</v>
      </c>
      <c r="N6774" s="653">
        <v>0.375</v>
      </c>
      <c r="O6774" s="873" t="s">
        <v>1725</v>
      </c>
    </row>
    <row r="6775" spans="1:15" x14ac:dyDescent="0.25">
      <c r="A6775" s="88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/>
      <c r="F6775" s="535" t="s">
        <v>16</v>
      </c>
      <c r="G6775" s="536"/>
      <c r="H6775" s="535" t="s">
        <v>1704</v>
      </c>
      <c r="I6775" s="537"/>
      <c r="J6775" s="538"/>
      <c r="K6775" s="531"/>
      <c r="L6775" s="535" t="s">
        <v>266</v>
      </c>
      <c r="M6775" s="535">
        <v>2616.8999999999996</v>
      </c>
      <c r="N6775" s="539">
        <v>0.41666666666666669</v>
      </c>
    </row>
    <row r="6776" spans="1:15" x14ac:dyDescent="0.25">
      <c r="A6776" s="890"/>
      <c r="B6776" s="826" t="s">
        <v>1684</v>
      </c>
      <c r="C6776" s="822" t="s">
        <v>23</v>
      </c>
      <c r="D6776" s="823">
        <v>14.505000000000001</v>
      </c>
      <c r="E6776" s="824"/>
      <c r="F6776" s="821" t="s">
        <v>16</v>
      </c>
      <c r="G6776" s="825"/>
      <c r="H6776" s="821" t="s">
        <v>1704</v>
      </c>
      <c r="I6776" s="782"/>
      <c r="J6776" s="827"/>
      <c r="K6776" s="852"/>
      <c r="L6776" s="821" t="s">
        <v>28</v>
      </c>
      <c r="M6776" s="821">
        <v>14596.900000000001</v>
      </c>
      <c r="N6776" s="813">
        <v>0.41666666666666669</v>
      </c>
    </row>
    <row r="6777" spans="1:15" ht="19.5" thickBot="1" x14ac:dyDescent="0.3">
      <c r="A6777" s="890"/>
      <c r="B6777" s="828" t="s">
        <v>1703</v>
      </c>
      <c r="C6777" s="829" t="s">
        <v>23</v>
      </c>
      <c r="D6777" s="830">
        <v>4.7</v>
      </c>
      <c r="E6777" s="830"/>
      <c r="F6777" s="831" t="s">
        <v>16</v>
      </c>
      <c r="G6777" s="832"/>
      <c r="H6777" s="831" t="s">
        <v>1704</v>
      </c>
      <c r="I6777" s="831"/>
      <c r="J6777" s="833"/>
      <c r="K6777" s="834"/>
      <c r="L6777" s="831" t="s">
        <v>28</v>
      </c>
      <c r="M6777" s="831">
        <v>4710</v>
      </c>
      <c r="N6777" s="644">
        <v>0.41666666666666669</v>
      </c>
      <c r="O6777" s="873" t="s">
        <v>1725</v>
      </c>
    </row>
    <row r="6778" spans="1:15" ht="19.5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/>
      <c r="F6778" s="518" t="s">
        <v>16</v>
      </c>
      <c r="G6778" s="519"/>
      <c r="H6778" s="518" t="s">
        <v>1704</v>
      </c>
      <c r="I6778" s="520"/>
      <c r="J6778" s="521"/>
      <c r="K6778" s="514"/>
      <c r="L6778" s="518" t="s">
        <v>266</v>
      </c>
      <c r="M6778" s="518">
        <v>9332.9999999999982</v>
      </c>
      <c r="N6778" s="522">
        <v>0.45833333333333331</v>
      </c>
    </row>
    <row r="6779" spans="1:15" ht="19.5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/>
      <c r="F6779" s="508" t="s">
        <v>30</v>
      </c>
      <c r="G6779" s="509"/>
      <c r="H6779" s="508" t="s">
        <v>1704</v>
      </c>
      <c r="I6779" s="510"/>
      <c r="J6779" s="511"/>
      <c r="K6779" s="504"/>
      <c r="L6779" s="508" t="s">
        <v>265</v>
      </c>
      <c r="M6779" s="508">
        <v>12856.319999999998</v>
      </c>
      <c r="N6779" s="512">
        <v>0.375</v>
      </c>
    </row>
    <row r="6780" spans="1:15" ht="19.5" thickBot="1" x14ac:dyDescent="0.3">
      <c r="A6780" s="513">
        <f>MAX(A6754:A6779)+1</f>
        <v>4246</v>
      </c>
      <c r="B6780" s="514" t="s">
        <v>1701</v>
      </c>
      <c r="C6780" s="515" t="s">
        <v>26</v>
      </c>
      <c r="D6780" s="516">
        <v>17.457999999999998</v>
      </c>
      <c r="E6780" s="517"/>
      <c r="F6780" s="518" t="s">
        <v>16</v>
      </c>
      <c r="G6780" s="519"/>
      <c r="H6780" s="518" t="s">
        <v>1721</v>
      </c>
      <c r="I6780" s="520"/>
      <c r="J6780" s="521"/>
      <c r="K6780" s="514"/>
      <c r="L6780" s="518" t="s">
        <v>265</v>
      </c>
      <c r="M6780" s="518">
        <v>17646</v>
      </c>
      <c r="N6780" s="522">
        <v>0.375</v>
      </c>
    </row>
    <row r="6781" spans="1:15" x14ac:dyDescent="0.25">
      <c r="A6781" s="874">
        <f>MAX(A6756:A6780)+1</f>
        <v>4247</v>
      </c>
      <c r="B6781" s="531" t="s">
        <v>1701</v>
      </c>
      <c r="C6781" s="532" t="s">
        <v>480</v>
      </c>
      <c r="D6781" s="533">
        <v>9.57</v>
      </c>
      <c r="E6781" s="534"/>
      <c r="F6781" s="535" t="s">
        <v>16</v>
      </c>
      <c r="G6781" s="536"/>
      <c r="H6781" s="535" t="s">
        <v>1721</v>
      </c>
      <c r="I6781" s="537"/>
      <c r="J6781" s="538"/>
      <c r="K6781" s="531"/>
      <c r="L6781" s="535" t="s">
        <v>266</v>
      </c>
      <c r="M6781" s="535">
        <v>9687.74</v>
      </c>
      <c r="N6781" s="539">
        <v>0.41666666666666669</v>
      </c>
    </row>
    <row r="6782" spans="1:15" ht="19.5" thickBot="1" x14ac:dyDescent="0.3">
      <c r="A6782" s="875"/>
      <c r="B6782" s="636" t="s">
        <v>1701</v>
      </c>
      <c r="C6782" s="637" t="s">
        <v>23</v>
      </c>
      <c r="D6782" s="638">
        <v>7.9219999999999997</v>
      </c>
      <c r="E6782" s="639"/>
      <c r="F6782" s="640" t="s">
        <v>16</v>
      </c>
      <c r="G6782" s="641"/>
      <c r="H6782" s="640" t="s">
        <v>1721</v>
      </c>
      <c r="I6782" s="642"/>
      <c r="J6782" s="643"/>
      <c r="K6782" s="636"/>
      <c r="L6782" s="640" t="s">
        <v>28</v>
      </c>
      <c r="M6782" s="640">
        <v>8010.5199999999995</v>
      </c>
      <c r="N6782" s="644">
        <v>0.41666666666666669</v>
      </c>
    </row>
    <row r="6783" spans="1:15" ht="38.25" thickBot="1" x14ac:dyDescent="0.3">
      <c r="A6783" s="513">
        <f>MAX(A6760:A6782)+1</f>
        <v>4248</v>
      </c>
      <c r="B6783" s="514" t="s">
        <v>1701</v>
      </c>
      <c r="C6783" s="515" t="s">
        <v>47</v>
      </c>
      <c r="D6783" s="516">
        <v>15.505000000000001</v>
      </c>
      <c r="E6783" s="517"/>
      <c r="F6783" s="518" t="s">
        <v>16</v>
      </c>
      <c r="G6783" s="519" t="s">
        <v>1634</v>
      </c>
      <c r="H6783" s="518" t="s">
        <v>1721</v>
      </c>
      <c r="I6783" s="520"/>
      <c r="J6783" s="521"/>
      <c r="K6783" s="514"/>
      <c r="L6783" s="518" t="s">
        <v>28</v>
      </c>
      <c r="M6783" s="518">
        <v>15695.96</v>
      </c>
      <c r="N6783" s="522">
        <v>0.45833333333333331</v>
      </c>
    </row>
    <row r="6784" spans="1:15" ht="94.5" thickBot="1" x14ac:dyDescent="0.3">
      <c r="A6784" s="503">
        <f>MAX(A6761:A6783)+1</f>
        <v>4249</v>
      </c>
      <c r="B6784" s="504" t="s">
        <v>1701</v>
      </c>
      <c r="C6784" s="505" t="s">
        <v>24</v>
      </c>
      <c r="D6784" s="506">
        <v>13.52</v>
      </c>
      <c r="E6784" s="507"/>
      <c r="F6784" s="508" t="s">
        <v>16</v>
      </c>
      <c r="G6784" s="509" t="s">
        <v>1722</v>
      </c>
      <c r="H6784" s="508" t="s">
        <v>1721</v>
      </c>
      <c r="I6784" s="510"/>
      <c r="J6784" s="511"/>
      <c r="K6784" s="504"/>
      <c r="L6784" s="508" t="s">
        <v>28</v>
      </c>
      <c r="M6784" s="508">
        <v>13721.14</v>
      </c>
      <c r="N6784" s="512">
        <v>0.5</v>
      </c>
    </row>
    <row r="6785" spans="1:14" x14ac:dyDescent="0.25">
      <c r="A6785" s="879">
        <f>MAX(A6762:A6784)+1</f>
        <v>4250</v>
      </c>
      <c r="B6785" s="479" t="s">
        <v>1701</v>
      </c>
      <c r="C6785" s="480" t="s">
        <v>587</v>
      </c>
      <c r="D6785" s="481">
        <v>5.9189999999999996</v>
      </c>
      <c r="E6785" s="482"/>
      <c r="F6785" s="483" t="s">
        <v>30</v>
      </c>
      <c r="G6785" s="549" t="s">
        <v>23</v>
      </c>
      <c r="H6785" s="483" t="s">
        <v>1721</v>
      </c>
      <c r="I6785" s="484"/>
      <c r="J6785" s="485"/>
      <c r="K6785" s="479"/>
      <c r="L6785" s="483" t="s">
        <v>28</v>
      </c>
      <c r="M6785" s="483">
        <v>5919.48</v>
      </c>
      <c r="N6785" s="486">
        <v>0.41666666666666669</v>
      </c>
    </row>
    <row r="6786" spans="1:14" ht="19.5" thickBot="1" x14ac:dyDescent="0.3">
      <c r="A6786" s="880"/>
      <c r="B6786" s="645" t="s">
        <v>1701</v>
      </c>
      <c r="C6786" s="646" t="s">
        <v>47</v>
      </c>
      <c r="D6786" s="647">
        <v>5.8710000000000004</v>
      </c>
      <c r="E6786" s="648"/>
      <c r="F6786" s="649" t="s">
        <v>30</v>
      </c>
      <c r="G6786" s="650"/>
      <c r="H6786" s="649" t="s">
        <v>1721</v>
      </c>
      <c r="I6786" s="651"/>
      <c r="J6786" s="652"/>
      <c r="K6786" s="645"/>
      <c r="L6786" s="649" t="s">
        <v>28</v>
      </c>
      <c r="M6786" s="649">
        <v>5871.7199999999993</v>
      </c>
      <c r="N6786" s="653">
        <v>0.41666666666666669</v>
      </c>
    </row>
    <row r="6787" spans="1:14" ht="19.5" thickBot="1" x14ac:dyDescent="0.3">
      <c r="A6787" s="503">
        <f t="shared" ref="A6787:A6795" si="203">MAX(A6764:A6786)+1</f>
        <v>4251</v>
      </c>
      <c r="B6787" s="504" t="s">
        <v>1701</v>
      </c>
      <c r="C6787" s="505" t="s">
        <v>26</v>
      </c>
      <c r="D6787" s="506">
        <v>17.286000000000001</v>
      </c>
      <c r="E6787" s="507"/>
      <c r="F6787" s="508" t="s">
        <v>16</v>
      </c>
      <c r="G6787" s="509"/>
      <c r="H6787" s="508" t="s">
        <v>1723</v>
      </c>
      <c r="I6787" s="510"/>
      <c r="J6787" s="511"/>
      <c r="K6787" s="504"/>
      <c r="L6787" s="508" t="s">
        <v>265</v>
      </c>
      <c r="M6787" s="508">
        <v>17478.29</v>
      </c>
      <c r="N6787" s="512">
        <v>0.375</v>
      </c>
    </row>
    <row r="6788" spans="1:14" ht="38.25" thickBot="1" x14ac:dyDescent="0.3">
      <c r="A6788" s="513">
        <f t="shared" si="203"/>
        <v>4252</v>
      </c>
      <c r="B6788" s="514" t="s">
        <v>1701</v>
      </c>
      <c r="C6788" s="515" t="s">
        <v>15</v>
      </c>
      <c r="D6788" s="516">
        <v>14.497999999999999</v>
      </c>
      <c r="E6788" s="517"/>
      <c r="F6788" s="518" t="s">
        <v>16</v>
      </c>
      <c r="G6788" s="519" t="s">
        <v>1724</v>
      </c>
      <c r="H6788" s="518" t="s">
        <v>1723</v>
      </c>
      <c r="I6788" s="520"/>
      <c r="J6788" s="521"/>
      <c r="K6788" s="514"/>
      <c r="L6788" s="518" t="s">
        <v>28</v>
      </c>
      <c r="M6788" s="518">
        <v>14641.119999999999</v>
      </c>
      <c r="N6788" s="522">
        <v>0.41666666666666669</v>
      </c>
    </row>
    <row r="6789" spans="1:14" ht="19.5" thickBot="1" x14ac:dyDescent="0.3">
      <c r="A6789" s="503">
        <f t="shared" si="203"/>
        <v>4253</v>
      </c>
      <c r="B6789" s="504" t="s">
        <v>1701</v>
      </c>
      <c r="C6789" s="505" t="s">
        <v>47</v>
      </c>
      <c r="D6789" s="506">
        <v>17.498999999999999</v>
      </c>
      <c r="E6789" s="507"/>
      <c r="F6789" s="508" t="s">
        <v>16</v>
      </c>
      <c r="G6789" s="509"/>
      <c r="H6789" s="508" t="s">
        <v>1723</v>
      </c>
      <c r="I6789" s="510"/>
      <c r="J6789" s="511"/>
      <c r="K6789" s="504"/>
      <c r="L6789" s="508" t="s">
        <v>28</v>
      </c>
      <c r="M6789" s="508">
        <v>17585.059999999998</v>
      </c>
      <c r="N6789" s="512">
        <v>0.45833333333333331</v>
      </c>
    </row>
    <row r="6790" spans="1:14" ht="19.5" thickBot="1" x14ac:dyDescent="0.3">
      <c r="A6790" s="513">
        <f t="shared" si="203"/>
        <v>4254</v>
      </c>
      <c r="B6790" s="514" t="s">
        <v>1701</v>
      </c>
      <c r="C6790" s="515" t="s">
        <v>1382</v>
      </c>
      <c r="D6790" s="516">
        <v>17.901</v>
      </c>
      <c r="E6790" s="517"/>
      <c r="F6790" s="518" t="s">
        <v>16</v>
      </c>
      <c r="G6790" s="519"/>
      <c r="H6790" s="518" t="s">
        <v>1723</v>
      </c>
      <c r="I6790" s="520"/>
      <c r="J6790" s="521"/>
      <c r="K6790" s="514"/>
      <c r="L6790" s="518" t="s">
        <v>266</v>
      </c>
      <c r="M6790" s="518">
        <v>18026.280000000002</v>
      </c>
      <c r="N6790" s="522">
        <v>0.5</v>
      </c>
    </row>
    <row r="6791" spans="1:14" ht="19.5" thickBot="1" x14ac:dyDescent="0.3">
      <c r="A6791" s="503">
        <f t="shared" si="203"/>
        <v>4255</v>
      </c>
      <c r="B6791" s="504" t="s">
        <v>1701</v>
      </c>
      <c r="C6791" s="505" t="s">
        <v>26</v>
      </c>
      <c r="D6791" s="506">
        <v>17.433</v>
      </c>
      <c r="E6791" s="507"/>
      <c r="F6791" s="508" t="s">
        <v>16</v>
      </c>
      <c r="G6791" s="509"/>
      <c r="H6791" s="508" t="s">
        <v>1723</v>
      </c>
      <c r="I6791" s="510"/>
      <c r="J6791" s="511"/>
      <c r="K6791" s="504"/>
      <c r="L6791" s="508" t="s">
        <v>265</v>
      </c>
      <c r="M6791" s="508">
        <v>17476.72</v>
      </c>
      <c r="N6791" s="512">
        <v>0.58333333333333337</v>
      </c>
    </row>
    <row r="6792" spans="1:14" x14ac:dyDescent="0.25">
      <c r="A6792" s="676">
        <f t="shared" si="203"/>
        <v>4256</v>
      </c>
      <c r="B6792" s="676"/>
      <c r="C6792" s="473"/>
      <c r="D6792" s="474"/>
      <c r="E6792" s="475"/>
      <c r="F6792" s="676"/>
      <c r="G6792" s="476"/>
      <c r="H6792" s="676"/>
      <c r="I6792" s="477"/>
      <c r="J6792" s="478"/>
      <c r="K6792" s="676"/>
      <c r="L6792" s="676"/>
      <c r="M6792" s="676"/>
      <c r="N6792" s="676"/>
    </row>
    <row r="6793" spans="1:14" x14ac:dyDescent="0.25">
      <c r="A6793" s="676">
        <f t="shared" si="203"/>
        <v>4257</v>
      </c>
      <c r="B6793" s="676"/>
      <c r="C6793" s="473"/>
      <c r="D6793" s="474"/>
      <c r="E6793" s="475"/>
      <c r="F6793" s="676"/>
      <c r="G6793" s="476"/>
      <c r="H6793" s="676"/>
      <c r="I6793" s="477"/>
      <c r="J6793" s="478"/>
      <c r="K6793" s="676"/>
      <c r="L6793" s="676"/>
      <c r="M6793" s="676"/>
      <c r="N6793" s="676"/>
    </row>
    <row r="6794" spans="1:14" x14ac:dyDescent="0.25">
      <c r="A6794" s="676">
        <f t="shared" si="203"/>
        <v>4258</v>
      </c>
      <c r="B6794" s="676"/>
      <c r="C6794" s="473"/>
      <c r="D6794" s="474"/>
      <c r="E6794" s="475"/>
      <c r="F6794" s="676"/>
      <c r="G6794" s="476"/>
      <c r="H6794" s="676"/>
      <c r="I6794" s="477"/>
      <c r="J6794" s="478"/>
      <c r="K6794" s="676"/>
      <c r="L6794" s="676"/>
      <c r="M6794" s="676"/>
      <c r="N6794" s="676"/>
    </row>
    <row r="6795" spans="1:14" x14ac:dyDescent="0.25">
      <c r="A6795" s="676">
        <f t="shared" si="203"/>
        <v>4259</v>
      </c>
      <c r="B6795" s="676"/>
      <c r="C6795" s="473"/>
      <c r="D6795" s="474"/>
      <c r="E6795" s="475"/>
      <c r="F6795" s="676"/>
      <c r="G6795" s="476"/>
      <c r="H6795" s="676"/>
      <c r="I6795" s="477"/>
      <c r="J6795" s="478"/>
      <c r="K6795" s="676"/>
      <c r="L6795" s="676"/>
      <c r="M6795" s="676"/>
      <c r="N6795" s="676"/>
    </row>
    <row r="6796" spans="1:14" x14ac:dyDescent="0.25">
      <c r="A6796" s="676">
        <f t="shared" ref="A6796:A6797" si="204">MAX(A6774:A6795)+1</f>
        <v>4260</v>
      </c>
      <c r="B6796" s="676"/>
      <c r="C6796" s="473"/>
      <c r="D6796" s="474"/>
      <c r="E6796" s="475"/>
      <c r="F6796" s="676"/>
      <c r="G6796" s="476"/>
      <c r="H6796" s="676"/>
      <c r="I6796" s="477"/>
      <c r="J6796" s="478"/>
      <c r="K6796" s="676"/>
      <c r="L6796" s="676"/>
      <c r="M6796" s="676"/>
      <c r="N6796" s="676"/>
    </row>
    <row r="6797" spans="1:14" x14ac:dyDescent="0.25">
      <c r="A6797" s="676">
        <f t="shared" si="204"/>
        <v>4261</v>
      </c>
      <c r="B6797" s="676"/>
      <c r="C6797" s="473"/>
      <c r="D6797" s="474"/>
      <c r="E6797" s="475"/>
      <c r="F6797" s="676"/>
      <c r="G6797" s="476"/>
      <c r="H6797" s="676"/>
      <c r="I6797" s="477"/>
      <c r="J6797" s="478"/>
      <c r="K6797" s="676"/>
      <c r="L6797" s="676"/>
      <c r="M6797" s="676"/>
      <c r="N6797" s="676"/>
    </row>
    <row r="6798" spans="1:14" x14ac:dyDescent="0.25">
      <c r="A6798" s="676">
        <f t="shared" ref="A6798:A6803" si="205">MAX(A6777:A6797)+1</f>
        <v>4262</v>
      </c>
      <c r="B6798" s="676"/>
      <c r="C6798" s="473"/>
      <c r="D6798" s="474"/>
      <c r="E6798" s="475"/>
      <c r="F6798" s="676"/>
      <c r="G6798" s="476"/>
      <c r="H6798" s="676"/>
      <c r="I6798" s="477"/>
      <c r="J6798" s="478"/>
      <c r="K6798" s="676"/>
      <c r="L6798" s="676"/>
      <c r="M6798" s="676"/>
      <c r="N6798" s="676"/>
    </row>
    <row r="6799" spans="1:14" x14ac:dyDescent="0.25">
      <c r="A6799" s="676">
        <f t="shared" si="205"/>
        <v>4263</v>
      </c>
      <c r="B6799" s="676"/>
      <c r="C6799" s="473"/>
      <c r="D6799" s="474"/>
      <c r="E6799" s="475"/>
      <c r="F6799" s="676"/>
      <c r="G6799" s="476"/>
      <c r="H6799" s="676"/>
      <c r="I6799" s="477"/>
      <c r="J6799" s="478"/>
      <c r="K6799" s="676"/>
      <c r="L6799" s="676"/>
      <c r="M6799" s="676"/>
      <c r="N6799" s="676"/>
    </row>
    <row r="6800" spans="1:14" x14ac:dyDescent="0.25">
      <c r="A6800" s="676">
        <f t="shared" si="205"/>
        <v>4264</v>
      </c>
      <c r="B6800" s="676"/>
      <c r="C6800" s="473"/>
      <c r="D6800" s="474"/>
      <c r="E6800" s="475"/>
      <c r="F6800" s="676"/>
      <c r="G6800" s="476"/>
      <c r="H6800" s="676"/>
      <c r="I6800" s="477"/>
      <c r="J6800" s="478"/>
      <c r="K6800" s="676"/>
      <c r="L6800" s="676"/>
      <c r="M6800" s="676"/>
      <c r="N6800" s="676"/>
    </row>
    <row r="6801" spans="1:14" x14ac:dyDescent="0.25">
      <c r="A6801" s="676">
        <f t="shared" si="205"/>
        <v>4265</v>
      </c>
      <c r="B6801" s="676"/>
      <c r="C6801" s="473"/>
      <c r="D6801" s="474"/>
      <c r="E6801" s="475"/>
      <c r="F6801" s="676"/>
      <c r="G6801" s="476"/>
      <c r="H6801" s="676"/>
      <c r="I6801" s="477"/>
      <c r="J6801" s="478"/>
      <c r="K6801" s="676"/>
      <c r="L6801" s="676"/>
      <c r="M6801" s="676"/>
      <c r="N6801" s="676"/>
    </row>
    <row r="6802" spans="1:14" x14ac:dyDescent="0.25">
      <c r="A6802" s="676">
        <f t="shared" si="205"/>
        <v>4266</v>
      </c>
      <c r="B6802" s="676"/>
      <c r="C6802" s="473"/>
      <c r="D6802" s="474"/>
      <c r="E6802" s="475"/>
      <c r="F6802" s="676"/>
      <c r="G6802" s="476"/>
      <c r="H6802" s="676"/>
      <c r="I6802" s="477"/>
      <c r="J6802" s="478"/>
      <c r="K6802" s="676"/>
      <c r="L6802" s="676"/>
      <c r="M6802" s="676"/>
      <c r="N6802" s="676"/>
    </row>
    <row r="6803" spans="1:14" x14ac:dyDescent="0.25">
      <c r="A6803" s="676">
        <f t="shared" si="205"/>
        <v>4267</v>
      </c>
      <c r="B6803" s="676"/>
      <c r="C6803" s="473"/>
      <c r="D6803" s="474"/>
      <c r="E6803" s="475"/>
      <c r="F6803" s="676"/>
      <c r="G6803" s="476"/>
      <c r="H6803" s="676"/>
      <c r="I6803" s="477"/>
      <c r="J6803" s="478"/>
      <c r="K6803" s="676"/>
      <c r="L6803" s="676"/>
      <c r="M6803" s="676"/>
      <c r="N6803" s="676"/>
    </row>
  </sheetData>
  <autoFilter ref="A2:N6803" xr:uid="{00000000-0009-0000-0000-000000000000}">
    <filterColumn colId="10">
      <filters blank="1"/>
    </filterColumn>
  </autoFilter>
  <mergeCells count="1762">
    <mergeCell ref="G6721:G6722"/>
    <mergeCell ref="A6723:A6724"/>
    <mergeCell ref="G6723:G6724"/>
    <mergeCell ref="A6725:A6726"/>
    <mergeCell ref="A6750:A6752"/>
    <mergeCell ref="A6733:A673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  <mergeCell ref="A6741:A6743"/>
    <mergeCell ref="A6744:A6746"/>
    <mergeCell ref="A6747:A6749"/>
    <mergeCell ref="A6769:A6770"/>
    <mergeCell ref="A6771:A6774"/>
    <mergeCell ref="A6775:A6777"/>
    <mergeCell ref="A6735:A6736"/>
    <mergeCell ref="A6738:A6739"/>
    <mergeCell ref="A6766:A6767"/>
    <mergeCell ref="A6759:A6762"/>
    <mergeCell ref="A6763:A6765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A5082:A5083"/>
    <mergeCell ref="A5485:A5486"/>
    <mergeCell ref="A5476:A5478"/>
    <mergeCell ref="A5479:A5481"/>
    <mergeCell ref="A5482:A5484"/>
    <mergeCell ref="A5467:A5468"/>
    <mergeCell ref="A5470:A5471"/>
    <mergeCell ref="A5436:A5437"/>
    <mergeCell ref="A5577:A5578"/>
    <mergeCell ref="A6571:A6572"/>
    <mergeCell ref="A5573:A5574"/>
    <mergeCell ref="A5575:A5576"/>
    <mergeCell ref="A5551:A5552"/>
    <mergeCell ref="A5553:A5555"/>
    <mergeCell ref="A5408:A5409"/>
    <mergeCell ref="A5584:A5587"/>
    <mergeCell ref="G5321:G5325"/>
    <mergeCell ref="A5316:A5317"/>
    <mergeCell ref="A5247:A5249"/>
    <mergeCell ref="G5232:G5233"/>
    <mergeCell ref="A5199:A5200"/>
    <mergeCell ref="G5202:G5203"/>
    <mergeCell ref="A5183:A5184"/>
    <mergeCell ref="A5202:A5203"/>
    <mergeCell ref="A5070:A5071"/>
    <mergeCell ref="A5234:A5235"/>
    <mergeCell ref="A5279:A5281"/>
    <mergeCell ref="A4354:A4355"/>
    <mergeCell ref="A4367:A4369"/>
    <mergeCell ref="A4360:A4362"/>
    <mergeCell ref="A4563:A4565"/>
    <mergeCell ref="A4567:A4569"/>
    <mergeCell ref="A4570:A4571"/>
    <mergeCell ref="A4572:A4574"/>
    <mergeCell ref="A4550:A4551"/>
    <mergeCell ref="A4586:A4587"/>
    <mergeCell ref="A5172:A5175"/>
    <mergeCell ref="A4552:A4553"/>
    <mergeCell ref="A4536:A4538"/>
    <mergeCell ref="A4554:A4555"/>
    <mergeCell ref="A4391:A4392"/>
    <mergeCell ref="A4393:A4395"/>
    <mergeCell ref="A4700:A4701"/>
    <mergeCell ref="G4700:G4701"/>
    <mergeCell ref="A4721:A4722"/>
    <mergeCell ref="A4806:A4807"/>
    <mergeCell ref="G4579:G4581"/>
    <mergeCell ref="A4582:A4584"/>
    <mergeCell ref="A1028:A1029"/>
    <mergeCell ref="A1021:A1022"/>
    <mergeCell ref="G4391:G4392"/>
    <mergeCell ref="G4331:G4332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A963:A967"/>
    <mergeCell ref="A5196:A5197"/>
    <mergeCell ref="A5188:A5189"/>
    <mergeCell ref="A5176:A5178"/>
    <mergeCell ref="A5094:A5097"/>
    <mergeCell ref="A4939:A4941"/>
    <mergeCell ref="A1017:A1018"/>
    <mergeCell ref="A1019:A1020"/>
    <mergeCell ref="A1068:A1069"/>
    <mergeCell ref="A5029:A5030"/>
    <mergeCell ref="A1144:A1145"/>
    <mergeCell ref="A1146:A1147"/>
    <mergeCell ref="A1148:A1151"/>
    <mergeCell ref="A1154:A1156"/>
    <mergeCell ref="A1158:A1162"/>
    <mergeCell ref="A1163:A1166"/>
    <mergeCell ref="A1167:A1168"/>
    <mergeCell ref="A1218:A1219"/>
    <mergeCell ref="G596:G597"/>
    <mergeCell ref="A865:A866"/>
    <mergeCell ref="A868:A870"/>
    <mergeCell ref="A872:A874"/>
    <mergeCell ref="A876:A877"/>
    <mergeCell ref="A891:A89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4400:A4401"/>
    <mergeCell ref="A786:A788"/>
    <mergeCell ref="A929:A930"/>
    <mergeCell ref="A817:A819"/>
    <mergeCell ref="A842:A843"/>
    <mergeCell ref="A900:A904"/>
    <mergeCell ref="A621:A623"/>
    <mergeCell ref="A624:A628"/>
    <mergeCell ref="A629:A630"/>
    <mergeCell ref="G654:G655"/>
    <mergeCell ref="G762:G763"/>
    <mergeCell ref="A881:A882"/>
    <mergeCell ref="A968:A969"/>
    <mergeCell ref="A971:A973"/>
    <mergeCell ref="A995:A999"/>
    <mergeCell ref="A1000:A1001"/>
    <mergeCell ref="A1002:A1003"/>
    <mergeCell ref="A915:A916"/>
    <mergeCell ref="A907:A908"/>
    <mergeCell ref="A909:A911"/>
    <mergeCell ref="A801:A802"/>
    <mergeCell ref="A769:A771"/>
    <mergeCell ref="A925:A928"/>
    <mergeCell ref="A809:A812"/>
    <mergeCell ref="A939:A941"/>
    <mergeCell ref="A943:A947"/>
    <mergeCell ref="A839:A841"/>
    <mergeCell ref="A948:A949"/>
    <mergeCell ref="A951:A954"/>
    <mergeCell ref="A601:A603"/>
    <mergeCell ref="A607:A610"/>
    <mergeCell ref="G815:G816"/>
    <mergeCell ref="A4416:A4419"/>
    <mergeCell ref="A1070:A1071"/>
    <mergeCell ref="A1072:A1074"/>
    <mergeCell ref="G929:G930"/>
    <mergeCell ref="A1004:A1005"/>
    <mergeCell ref="A1006:A1007"/>
    <mergeCell ref="A1008:A1014"/>
    <mergeCell ref="A980:A982"/>
    <mergeCell ref="A983:A984"/>
    <mergeCell ref="A977:A979"/>
    <mergeCell ref="A1138:A1139"/>
    <mergeCell ref="A1140:A1141"/>
    <mergeCell ref="A1125:A1126"/>
    <mergeCell ref="A1127:A1128"/>
    <mergeCell ref="A1136:A1137"/>
    <mergeCell ref="A974:A976"/>
    <mergeCell ref="A1023:A1025"/>
    <mergeCell ref="A551:A553"/>
    <mergeCell ref="A815:A816"/>
    <mergeCell ref="A774:A778"/>
    <mergeCell ref="A779:A783"/>
    <mergeCell ref="A755:A760"/>
    <mergeCell ref="A823:A829"/>
    <mergeCell ref="A836:A838"/>
    <mergeCell ref="A571:A573"/>
    <mergeCell ref="A596:A597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734:A740"/>
    <mergeCell ref="A654:A655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262:A263"/>
    <mergeCell ref="A264:A265"/>
    <mergeCell ref="A245:A246"/>
    <mergeCell ref="A247:A251"/>
    <mergeCell ref="A158:A159"/>
    <mergeCell ref="A160:A161"/>
    <mergeCell ref="A163:A166"/>
    <mergeCell ref="A862:A864"/>
    <mergeCell ref="A496:A497"/>
    <mergeCell ref="G556:G557"/>
    <mergeCell ref="A559:A563"/>
    <mergeCell ref="A498:A499"/>
    <mergeCell ref="A502:A503"/>
    <mergeCell ref="A716:A718"/>
    <mergeCell ref="A719:A726"/>
    <mergeCell ref="A556:A557"/>
    <mergeCell ref="A490:A492"/>
    <mergeCell ref="A198:A199"/>
    <mergeCell ref="A200:A202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14:G315"/>
    <mergeCell ref="A48:A50"/>
    <mergeCell ref="A96:A98"/>
    <mergeCell ref="B96:B98"/>
    <mergeCell ref="B43:B45"/>
    <mergeCell ref="A75:A77"/>
    <mergeCell ref="B51:B52"/>
    <mergeCell ref="A55:A56"/>
    <mergeCell ref="A937:A938"/>
    <mergeCell ref="A919:A920"/>
    <mergeCell ref="A931:A933"/>
    <mergeCell ref="A376:A377"/>
    <mergeCell ref="A935:A936"/>
    <mergeCell ref="A415:A418"/>
    <mergeCell ref="A599:A600"/>
    <mergeCell ref="A67:A68"/>
    <mergeCell ref="B67:B68"/>
    <mergeCell ref="G362:G363"/>
    <mergeCell ref="A381:A382"/>
    <mergeCell ref="A383:A384"/>
    <mergeCell ref="A400:A40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121:A122"/>
    <mergeCell ref="B121:B122"/>
    <mergeCell ref="A123:A124"/>
    <mergeCell ref="B123:B124"/>
    <mergeCell ref="A73:A74"/>
    <mergeCell ref="B73:B74"/>
    <mergeCell ref="A91:A92"/>
    <mergeCell ref="A167:A168"/>
    <mergeCell ref="A169:A170"/>
    <mergeCell ref="A174:A178"/>
    <mergeCell ref="A205:A206"/>
    <mergeCell ref="A207:A208"/>
    <mergeCell ref="A209:A210"/>
    <mergeCell ref="A211:A212"/>
    <mergeCell ref="B31:B34"/>
    <mergeCell ref="B27:B30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127:A128"/>
    <mergeCell ref="B127:B128"/>
    <mergeCell ref="B75:B77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55:B56"/>
    <mergeCell ref="B48:B50"/>
    <mergeCell ref="A51:A52"/>
    <mergeCell ref="A59:A60"/>
    <mergeCell ref="B59:B60"/>
    <mergeCell ref="A62:A66"/>
    <mergeCell ref="B62:B66"/>
    <mergeCell ref="B113:B114"/>
    <mergeCell ref="A116:A117"/>
    <mergeCell ref="B116:B117"/>
    <mergeCell ref="A118:A120"/>
    <mergeCell ref="B118:B120"/>
    <mergeCell ref="A132:A135"/>
    <mergeCell ref="B132:B135"/>
    <mergeCell ref="B91:B92"/>
    <mergeCell ref="A94:A95"/>
    <mergeCell ref="B94:B95"/>
    <mergeCell ref="A139:A140"/>
    <mergeCell ref="J264:J265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G218:G219"/>
    <mergeCell ref="A221:A222"/>
    <mergeCell ref="A227:A230"/>
    <mergeCell ref="A105:A107"/>
    <mergeCell ref="B105:B107"/>
    <mergeCell ref="A108:A110"/>
    <mergeCell ref="A113:A114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317:A318"/>
    <mergeCell ref="A320:A323"/>
    <mergeCell ref="A327:A330"/>
    <mergeCell ref="A334:A335"/>
    <mergeCell ref="A337:A338"/>
    <mergeCell ref="A339:A340"/>
    <mergeCell ref="A341:A342"/>
    <mergeCell ref="G408:G409"/>
    <mergeCell ref="A379:A380"/>
    <mergeCell ref="A405:A406"/>
    <mergeCell ref="A410:A411"/>
    <mergeCell ref="A403:A404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G496:G497"/>
    <mergeCell ref="A493:A494"/>
    <mergeCell ref="A486:A48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27:A733"/>
    <mergeCell ref="A1032:A1034"/>
    <mergeCell ref="A1052:A1059"/>
    <mergeCell ref="A1062:A1063"/>
    <mergeCell ref="A1065:A1067"/>
    <mergeCell ref="A1035:A1036"/>
    <mergeCell ref="A1041:A1042"/>
    <mergeCell ref="A1043:A1045"/>
    <mergeCell ref="A1046:A1047"/>
    <mergeCell ref="A1075:A1077"/>
    <mergeCell ref="A1078:A1079"/>
    <mergeCell ref="A1080:A1081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46:A849"/>
    <mergeCell ref="A850:A852"/>
    <mergeCell ref="A855:A860"/>
    <mergeCell ref="A813:A814"/>
    <mergeCell ref="A648:A650"/>
    <mergeCell ref="A651:A653"/>
    <mergeCell ref="A959:A960"/>
    <mergeCell ref="A762:A763"/>
    <mergeCell ref="A766:A768"/>
    <mergeCell ref="A894:A896"/>
    <mergeCell ref="A955:A956"/>
    <mergeCell ref="A957:A958"/>
    <mergeCell ref="A912:A914"/>
    <mergeCell ref="G983:G984"/>
    <mergeCell ref="A985:A987"/>
    <mergeCell ref="A988:A989"/>
    <mergeCell ref="A990:A992"/>
    <mergeCell ref="A1026:A1027"/>
    <mergeCell ref="A897:A89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G1030:G1031"/>
    <mergeCell ref="A1205:A1206"/>
    <mergeCell ref="A1207:A1208"/>
    <mergeCell ref="A1209:A1210"/>
    <mergeCell ref="A1211:A1212"/>
    <mergeCell ref="A1216:A1217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21:A1222"/>
    <mergeCell ref="A1223:A1224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A4503:A4504"/>
    <mergeCell ref="A4505:A4506"/>
    <mergeCell ref="A4529:A4530"/>
    <mergeCell ref="A4532:A4533"/>
    <mergeCell ref="A4339:A4344"/>
    <mergeCell ref="A4527:A4528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A4298:A4299"/>
    <mergeCell ref="A4324:A4326"/>
    <mergeCell ref="A4315:A4316"/>
    <mergeCell ref="A4169:A4170"/>
    <mergeCell ref="A4245:A4246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A4878:A4880"/>
    <mergeCell ref="A5128:A5129"/>
    <mergeCell ref="A5123:A5125"/>
    <mergeCell ref="A4917:A4918"/>
    <mergeCell ref="A4893:A4894"/>
    <mergeCell ref="A5063:A5064"/>
    <mergeCell ref="A5065:A5069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4956:A4957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5019:A5020"/>
    <mergeCell ref="A5262:A5263"/>
    <mergeCell ref="A5265:A5266"/>
    <mergeCell ref="A5267:A5269"/>
    <mergeCell ref="A5001:A5002"/>
    <mergeCell ref="A5014:A5015"/>
    <mergeCell ref="A5150:A5152"/>
    <mergeCell ref="A5146:A5147"/>
    <mergeCell ref="A5363:A5364"/>
    <mergeCell ref="A5270:A5271"/>
    <mergeCell ref="A5272:A5273"/>
    <mergeCell ref="A5275:A5276"/>
    <mergeCell ref="G5275:G5276"/>
    <mergeCell ref="A5326:A5327"/>
    <mergeCell ref="A5331:A5334"/>
    <mergeCell ref="A5037:A5038"/>
    <mergeCell ref="A5039:A5041"/>
    <mergeCell ref="A5114:A5115"/>
    <mergeCell ref="G5116:G5117"/>
    <mergeCell ref="A5153:A5154"/>
    <mergeCell ref="A5370:A5373"/>
    <mergeCell ref="G5370:G5373"/>
    <mergeCell ref="A5250:A5251"/>
    <mergeCell ref="A5240:A5242"/>
    <mergeCell ref="A5205:A5207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G5363:G5364"/>
    <mergeCell ref="A5416:A5417"/>
    <mergeCell ref="A5282:A528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A5564:A5565"/>
    <mergeCell ref="A5570:A5572"/>
    <mergeCell ref="A5515:A5516"/>
    <mergeCell ref="G5416:G5417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G5549:G5550"/>
    <mergeCell ref="A5549:A5550"/>
    <mergeCell ref="A5534:A5538"/>
    <mergeCell ref="A5539:A5541"/>
    <mergeCell ref="A5561:A5562"/>
    <mergeCell ref="G5408:G5409"/>
    <mergeCell ref="A5412:A5413"/>
    <mergeCell ref="A5378:A5379"/>
    <mergeCell ref="A5380:A5381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G5531:G5532"/>
    <mergeCell ref="G5534:G5538"/>
    <mergeCell ref="A5542:A5546"/>
    <mergeCell ref="A5518:A5522"/>
    <mergeCell ref="A5523:A5525"/>
    <mergeCell ref="A5531:A5532"/>
    <mergeCell ref="G5436:G5437"/>
    <mergeCell ref="A5439:A5440"/>
    <mergeCell ref="A5441:A5442"/>
    <mergeCell ref="A5443:A5444"/>
    <mergeCell ref="A5445:A5446"/>
    <mergeCell ref="A5511:A5512"/>
    <mergeCell ref="A5513:A5514"/>
    <mergeCell ref="G6604:G6605"/>
    <mergeCell ref="A6608:A6609"/>
    <mergeCell ref="A6670:A6672"/>
    <mergeCell ref="A5588:A5589"/>
    <mergeCell ref="A5590:A5592"/>
    <mergeCell ref="A5593:A5594"/>
    <mergeCell ref="A5595:A5596"/>
    <mergeCell ref="A6592:A6593"/>
    <mergeCell ref="A6595:A6599"/>
    <mergeCell ref="G6080:G6081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6578:A6580"/>
    <mergeCell ref="A6581:A6583"/>
    <mergeCell ref="A6585:A6586"/>
    <mergeCell ref="A6589:A6590"/>
    <mergeCell ref="A6754:A6755"/>
    <mergeCell ref="A6756:A6758"/>
    <mergeCell ref="A6781:A6782"/>
    <mergeCell ref="A6785:A6786"/>
    <mergeCell ref="A6663:A6664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6673:A6674"/>
    <mergeCell ref="A6695:A6697"/>
    <mergeCell ref="A6700:A6702"/>
    <mergeCell ref="A6703:A6706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2026-07-25T13:28:09Z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