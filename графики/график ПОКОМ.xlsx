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1FE14474-16A0-4021-8689-B72A015E5CFC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Лист1!$A$2:$N$6549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A6550" i="1" l="1"/>
  <c r="A6551" i="1" s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A6552" i="1" l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A6555" i="1" l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A6557" i="1" l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A6558" i="1" l="1"/>
  <c r="K5504" i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A6559" i="1" l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A6561" i="1" l="1"/>
  <c r="K5453" i="1"/>
  <c r="K5452" i="1"/>
  <c r="A6562" i="1" l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A6563" i="1" l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A6564" i="1" l="1"/>
  <c r="E5459" i="1"/>
  <c r="A6565" i="1" l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A6566" i="1" l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A6568" i="1" l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A6569" i="1" l="1"/>
  <c r="A6570" i="1" s="1"/>
  <c r="A6571" i="1" s="1"/>
  <c r="A6572" i="1" s="1"/>
  <c r="A6573" i="1" s="1"/>
  <c r="A6574" i="1" s="1"/>
  <c r="A6575" i="1" s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/>
  <c r="A6516" i="1" l="1"/>
  <c r="A6517" i="1" l="1"/>
  <c r="A6518" i="1" l="1"/>
  <c r="A6519" i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s="1"/>
  <c r="A6543" i="1" s="1"/>
  <c r="A6544" i="1" s="1"/>
  <c r="A6545" i="1" s="1"/>
  <c r="A6546" i="1" s="1"/>
  <c r="A6547" i="1" s="1"/>
  <c r="A6548" i="1" l="1"/>
  <c r="A6549" i="1" s="1"/>
</calcChain>
</file>

<file path=xl/sharedStrings.xml><?xml version="1.0" encoding="utf-8"?>
<sst xmlns="http://schemas.openxmlformats.org/spreadsheetml/2006/main" count="41188" uniqueCount="1454">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</sst>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808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horizontal="center" vertical="center" wrapText="1"/>
    </xf>
    <xf numFmtId="0" fontId="14" fillId="41" borderId="24" xfId="0" applyFont="1" applyFill="1" applyBorder="1" applyAlignment="1">
      <alignment vertical="center" wrapText="1"/>
    </xf>
    <xf numFmtId="164" fontId="14" fillId="41" borderId="24" xfId="0" applyNumberFormat="1" applyFont="1" applyFill="1" applyBorder="1" applyAlignment="1">
      <alignment horizontal="center" vertical="center" wrapText="1"/>
    </xf>
    <xf numFmtId="164" fontId="15" fillId="41" borderId="24" xfId="0" applyNumberFormat="1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left" vertical="center" wrapText="1"/>
    </xf>
    <xf numFmtId="0" fontId="16" fillId="41" borderId="24" xfId="0" applyFont="1" applyFill="1" applyBorder="1" applyAlignment="1">
      <alignment horizontal="center" vertical="center" wrapText="1"/>
    </xf>
    <xf numFmtId="49" fontId="14" fillId="41" borderId="24" xfId="0" applyNumberFormat="1" applyFont="1" applyFill="1" applyBorder="1" applyAlignment="1">
      <alignment horizontal="center" vertical="center" wrapText="1"/>
    </xf>
    <xf numFmtId="0" fontId="14" fillId="41" borderId="9" xfId="0" applyFont="1" applyFill="1" applyBorder="1" applyAlignment="1">
      <alignment horizontal="center" vertical="center" wrapText="1"/>
    </xf>
    <xf numFmtId="0" fontId="14" fillId="41" borderId="26" xfId="0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vertical="center" wrapText="1"/>
    </xf>
    <xf numFmtId="164" fontId="14" fillId="41" borderId="13" xfId="0" applyNumberFormat="1" applyFont="1" applyFill="1" applyBorder="1" applyAlignment="1">
      <alignment horizontal="center" vertical="center" wrapText="1"/>
    </xf>
    <xf numFmtId="164" fontId="15" fillId="41" borderId="13" xfId="0" applyNumberFormat="1" applyFont="1" applyFill="1" applyBorder="1" applyAlignment="1">
      <alignment horizontal="center" vertical="center" wrapText="1"/>
    </xf>
    <xf numFmtId="0" fontId="14" fillId="41" borderId="13" xfId="0" applyFont="1" applyFill="1" applyBorder="1" applyAlignment="1">
      <alignment horizontal="center" vertical="center" wrapText="1"/>
    </xf>
    <xf numFmtId="49" fontId="14" fillId="41" borderId="13" xfId="0" applyNumberFormat="1" applyFont="1" applyFill="1" applyBorder="1" applyAlignment="1">
      <alignment horizontal="left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4" fillId="41" borderId="14" xfId="0" applyNumberFormat="1" applyFont="1" applyFill="1" applyBorder="1" applyAlignment="1">
      <alignment horizontal="center" vertical="center" wrapText="1"/>
    </xf>
    <xf numFmtId="20" fontId="14" fillId="41" borderId="14" xfId="0" applyNumberFormat="1" applyFont="1" applyFill="1" applyBorder="1" applyAlignment="1">
      <alignment horizontal="center" vertical="center" wrapText="1"/>
    </xf>
    <xf numFmtId="0" fontId="14" fillId="41" borderId="38" xfId="0" applyFont="1" applyFill="1" applyBorder="1" applyAlignment="1">
      <alignment horizontal="center" vertical="center" wrapText="1"/>
    </xf>
    <xf numFmtId="0" fontId="14" fillId="41" borderId="37" xfId="0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vertical="center" wrapText="1"/>
    </xf>
    <xf numFmtId="164" fontId="14" fillId="41" borderId="20" xfId="0" applyNumberFormat="1" applyFont="1" applyFill="1" applyBorder="1" applyAlignment="1">
      <alignment horizontal="center" vertical="center" wrapText="1"/>
    </xf>
    <xf numFmtId="164" fontId="15" fillId="41" borderId="20" xfId="0" applyNumberFormat="1" applyFont="1" applyFill="1" applyBorder="1" applyAlignment="1">
      <alignment horizontal="center" vertical="center" wrapText="1"/>
    </xf>
    <xf numFmtId="0" fontId="14" fillId="41" borderId="20" xfId="0" applyFont="1" applyFill="1" applyBorder="1" applyAlignment="1">
      <alignment horizontal="center" vertical="center" wrapText="1"/>
    </xf>
    <xf numFmtId="49" fontId="14" fillId="41" borderId="20" xfId="0" applyNumberFormat="1" applyFont="1" applyFill="1" applyBorder="1" applyAlignment="1">
      <alignment horizontal="left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4" fillId="41" borderId="21" xfId="0" applyNumberFormat="1" applyFont="1" applyFill="1" applyBorder="1" applyAlignment="1">
      <alignment horizontal="center" vertical="center" wrapText="1"/>
    </xf>
    <xf numFmtId="20" fontId="14" fillId="41" borderId="21" xfId="0" applyNumberFormat="1" applyFont="1" applyFill="1" applyBorder="1" applyAlignment="1">
      <alignment horizontal="center" vertical="center" wrapText="1"/>
    </xf>
    <xf numFmtId="0" fontId="14" fillId="41" borderId="49" xfId="0" applyFont="1" applyFill="1" applyBorder="1" applyAlignment="1">
      <alignment horizontal="center" vertical="center" wrapText="1"/>
    </xf>
    <xf numFmtId="0" fontId="14" fillId="41" borderId="34" xfId="0" applyFont="1" applyFill="1" applyBorder="1" applyAlignment="1">
      <alignment horizontal="center" vertical="center" wrapText="1"/>
    </xf>
    <xf numFmtId="49" fontId="14" fillId="41" borderId="17" xfId="0" applyNumberFormat="1" applyFont="1" applyFill="1" applyBorder="1" applyAlignment="1">
      <alignment horizontal="center" vertical="center" wrapText="1"/>
    </xf>
    <xf numFmtId="20" fontId="14" fillId="41" borderId="17" xfId="0" applyNumberFormat="1" applyFont="1" applyFill="1" applyBorder="1" applyAlignment="1">
      <alignment horizontal="center" vertical="center" wrapText="1"/>
    </xf>
    <xf numFmtId="0" fontId="14" fillId="41" borderId="67" xfId="0" applyFont="1" applyFill="1" applyBorder="1" applyAlignment="1">
      <alignment horizontal="center" vertical="center" wrapText="1"/>
    </xf>
    <xf numFmtId="0" fontId="14" fillId="41" borderId="68" xfId="0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vertical="center" wrapText="1"/>
    </xf>
    <xf numFmtId="164" fontId="14" fillId="41" borderId="69" xfId="0" applyNumberFormat="1" applyFont="1" applyFill="1" applyBorder="1" applyAlignment="1">
      <alignment horizontal="center" vertical="center" wrapText="1"/>
    </xf>
    <xf numFmtId="164" fontId="15" fillId="41" borderId="69" xfId="0" applyNumberFormat="1" applyFont="1" applyFill="1" applyBorder="1" applyAlignment="1">
      <alignment horizontal="center" vertical="center" wrapText="1"/>
    </xf>
    <xf numFmtId="0" fontId="14" fillId="41" borderId="69" xfId="0" applyFont="1" applyFill="1" applyBorder="1" applyAlignment="1">
      <alignment horizontal="center" vertical="center" wrapText="1"/>
    </xf>
    <xf numFmtId="49" fontId="14" fillId="41" borderId="69" xfId="0" applyNumberFormat="1" applyFont="1" applyFill="1" applyBorder="1" applyAlignment="1">
      <alignment horizontal="left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4" fillId="41" borderId="70" xfId="0" applyNumberFormat="1" applyFont="1" applyFill="1" applyBorder="1" applyAlignment="1">
      <alignment horizontal="center" vertical="center" wrapText="1"/>
    </xf>
    <xf numFmtId="20" fontId="14" fillId="41" borderId="70" xfId="0" applyNumberFormat="1" applyFont="1" applyFill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75"/>
  <sheetViews>
    <sheetView tabSelected="1" zoomScale="85" zoomScaleNormal="85" workbookViewId="0">
      <pane ySplit="2" topLeftCell="A6548" activePane="bottomLeft" state="frozen"/>
      <selection pane="bottomLeft" activeCell="R6552" sqref="R6552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.42578125" style="2" customWidth="1"/>
    <col min="16" max="1021" width="9.140625" style="2"/>
  </cols>
  <sheetData>
    <row r="1" spans="1:14" ht="19.5" customHeight="1" thickBot="1" x14ac:dyDescent="0.3">
      <c r="A1" s="738" t="s">
        <v>0</v>
      </c>
      <c r="B1" s="738"/>
      <c r="C1" s="738"/>
      <c r="D1" s="738"/>
      <c r="E1" s="738"/>
      <c r="F1" s="738"/>
      <c r="G1" s="738"/>
      <c r="H1" s="738"/>
      <c r="I1" s="738"/>
      <c r="J1" s="738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39">
        <v>1</v>
      </c>
      <c r="B3" s="739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39"/>
      <c r="B4" s="739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37">
        <v>3</v>
      </c>
      <c r="B6" s="737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37"/>
      <c r="B7" s="737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37"/>
      <c r="B8" s="737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idden="1" x14ac:dyDescent="0.25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37">
        <v>5</v>
      </c>
      <c r="B10" s="737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37"/>
      <c r="B11" s="737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36">
        <v>8</v>
      </c>
      <c r="B14" s="736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36"/>
      <c r="B15" s="736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37">
        <v>11</v>
      </c>
      <c r="B18" s="737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37"/>
      <c r="B19" s="737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37"/>
      <c r="B20" s="737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37"/>
      <c r="B21" s="737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37">
        <v>13</v>
      </c>
      <c r="B23" s="737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37"/>
      <c r="B24" s="737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36">
        <v>14</v>
      </c>
      <c r="B25" s="736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36"/>
      <c r="B26" s="736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37">
        <v>15</v>
      </c>
      <c r="B27" s="737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37"/>
      <c r="B28" s="737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37"/>
      <c r="B29" s="737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37"/>
      <c r="B30" s="737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36">
        <v>16</v>
      </c>
      <c r="B31" s="736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36"/>
      <c r="B32" s="736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36"/>
      <c r="B33" s="736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36"/>
      <c r="B34" s="736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37">
        <v>17</v>
      </c>
      <c r="B35" s="737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37"/>
      <c r="B36" s="737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37">
        <v>21</v>
      </c>
      <c r="B40" s="737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37"/>
      <c r="B41" s="737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37">
        <v>23</v>
      </c>
      <c r="B43" s="737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37"/>
      <c r="B44" s="737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37"/>
      <c r="B45" s="737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36">
        <v>24</v>
      </c>
      <c r="B46" s="736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36"/>
      <c r="B47" s="736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37">
        <v>25</v>
      </c>
      <c r="B48" s="737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37"/>
      <c r="B49" s="737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37"/>
      <c r="B50" s="737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36">
        <v>26</v>
      </c>
      <c r="B51" s="736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36"/>
      <c r="B52" s="736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37">
        <v>29</v>
      </c>
      <c r="B55" s="737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37"/>
      <c r="B56" s="737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36">
        <v>32</v>
      </c>
      <c r="B59" s="736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36"/>
      <c r="B60" s="736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36">
        <v>34</v>
      </c>
      <c r="B62" s="736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36"/>
      <c r="B63" s="736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36"/>
      <c r="B64" s="736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36"/>
      <c r="B65" s="736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36"/>
      <c r="B66" s="736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37">
        <v>35</v>
      </c>
      <c r="B67" s="737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37"/>
      <c r="B68" s="737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24">
        <v>40</v>
      </c>
      <c r="B73" s="736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24"/>
      <c r="B74" s="736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25">
        <v>41</v>
      </c>
      <c r="B75" s="737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25"/>
      <c r="B76" s="737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25"/>
      <c r="B77" s="737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24">
        <v>42</v>
      </c>
      <c r="B78" s="736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24"/>
      <c r="B79" s="736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25">
        <v>49</v>
      </c>
      <c r="B86" s="737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25"/>
      <c r="B87" s="737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25"/>
      <c r="B88" s="737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24">
        <v>50</v>
      </c>
      <c r="B89" s="736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24"/>
      <c r="B90" s="736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25">
        <v>51</v>
      </c>
      <c r="B91" s="737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25"/>
      <c r="B92" s="737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25">
        <v>53</v>
      </c>
      <c r="B94" s="737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25"/>
      <c r="B95" s="737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24">
        <v>54</v>
      </c>
      <c r="B96" s="736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24"/>
      <c r="B97" s="736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24"/>
      <c r="B98" s="736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24">
        <v>58</v>
      </c>
      <c r="B102" s="736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24"/>
      <c r="B103" s="736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24">
        <v>60</v>
      </c>
      <c r="B105" s="736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24"/>
      <c r="B106" s="736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24"/>
      <c r="B107" s="736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25">
        <v>61</v>
      </c>
      <c r="B108" s="737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25"/>
      <c r="B109" s="737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25"/>
      <c r="B110" s="737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24">
        <v>64</v>
      </c>
      <c r="B113" s="736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24"/>
      <c r="B114" s="736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24">
        <v>66</v>
      </c>
      <c r="B116" s="736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24"/>
      <c r="B117" s="736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25">
        <v>67</v>
      </c>
      <c r="B118" s="737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25"/>
      <c r="B119" s="737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25"/>
      <c r="B120" s="737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24">
        <v>68</v>
      </c>
      <c r="B121" s="736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24"/>
      <c r="B122" s="736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25">
        <v>69</v>
      </c>
      <c r="B123" s="737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25"/>
      <c r="B124" s="737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24">
        <v>72</v>
      </c>
      <c r="B127" s="736" t="s">
        <v>65</v>
      </c>
      <c r="C127" s="119" t="s">
        <v>26</v>
      </c>
      <c r="D127" s="120">
        <v>3.3</v>
      </c>
      <c r="E127" s="121"/>
      <c r="F127" s="122" t="s">
        <v>30</v>
      </c>
      <c r="G127" s="734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24"/>
      <c r="B128" s="736"/>
      <c r="C128" s="103" t="s">
        <v>26</v>
      </c>
      <c r="D128" s="88">
        <v>12.9</v>
      </c>
      <c r="E128" s="106"/>
      <c r="F128" s="107" t="s">
        <v>16</v>
      </c>
      <c r="G128" s="734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24">
        <v>76</v>
      </c>
      <c r="B132" s="742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24"/>
      <c r="B133" s="742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24"/>
      <c r="B134" s="742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24"/>
      <c r="B135" s="742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24">
        <v>78</v>
      </c>
      <c r="B137" s="740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24"/>
      <c r="B138" s="740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41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41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24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24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24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25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25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24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24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25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25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25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25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25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25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25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25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24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24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24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24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24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24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25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26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25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26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24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24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idden="1" x14ac:dyDescent="0.25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idden="1" x14ac:dyDescent="0.25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24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24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24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24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24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24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24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25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25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24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24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25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25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24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24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25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25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25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25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25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24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24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25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25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25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24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24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25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25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24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24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25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25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24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24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24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25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25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24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34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24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34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24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24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25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25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25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25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24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24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24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24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24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24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25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25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24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24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24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24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25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25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24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24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24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24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24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25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25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24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24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25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25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24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43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24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43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25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25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24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34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24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34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24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24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24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24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24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24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24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24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25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25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24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24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25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25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24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24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24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24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25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25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25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25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25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25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25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25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24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24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25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26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25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26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25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25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25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25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25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25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25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25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25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25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25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25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25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25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24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24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25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25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24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24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24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24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25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25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25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25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25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25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24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24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25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25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25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25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29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25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29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24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24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24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24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24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24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24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24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57" hidden="1" thickBot="1" x14ac:dyDescent="0.3">
      <c r="A376" s="724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57" hidden="1" thickBot="1" x14ac:dyDescent="0.3">
      <c r="A377" s="724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24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24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25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25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24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24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25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25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25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25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25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25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25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25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24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24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25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25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25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24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24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25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25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25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29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25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29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24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24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24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24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24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24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44" t="s">
        <v>133</v>
      </c>
      <c r="J420" s="744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25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25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24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38.25" hidden="1" thickBot="1" x14ac:dyDescent="0.3">
      <c r="A424" s="724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25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25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24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24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24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24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25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25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25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25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25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24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24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24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25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25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24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24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25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25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24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28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24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28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57" hidden="1" thickBot="1" x14ac:dyDescent="0.3">
      <c r="A453" s="725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57" hidden="1" thickBot="1" x14ac:dyDescent="0.3">
      <c r="A454" s="725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24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24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24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24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24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24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idden="1" x14ac:dyDescent="0.25">
      <c r="A464" s="74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idden="1" x14ac:dyDescent="0.25">
      <c r="A465" s="74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idden="1" x14ac:dyDescent="0.25">
      <c r="A466" s="74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24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24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25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25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24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24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24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24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24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24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24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24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25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25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25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25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24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24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24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25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25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25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29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25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29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24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24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25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46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25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46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24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46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24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46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24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46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24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24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24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24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24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24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25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25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25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24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24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24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25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25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8.25" hidden="1" thickBot="1" x14ac:dyDescent="0.3">
      <c r="A523" s="725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25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25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24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24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24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25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25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25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25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25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25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24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24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24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25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25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25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25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57" hidden="1" thickBot="1" x14ac:dyDescent="0.3">
      <c r="A548" s="724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57" hidden="1" thickBot="1" x14ac:dyDescent="0.3">
      <c r="A549" s="724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57" hidden="1" thickBot="1" x14ac:dyDescent="0.3">
      <c r="A550" s="724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25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25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25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24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28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24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28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8.25" hidden="1" thickBot="1" x14ac:dyDescent="0.3">
      <c r="A559" s="724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38.25" hidden="1" thickBot="1" x14ac:dyDescent="0.3">
      <c r="A560" s="724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24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8.25" hidden="1" thickBot="1" x14ac:dyDescent="0.3">
      <c r="A562" s="724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38.25" hidden="1" thickBot="1" x14ac:dyDescent="0.3">
      <c r="A563" s="724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25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25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25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25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24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24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24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25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25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25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24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24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24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24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24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24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25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25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25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25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25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25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25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25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24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24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24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25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29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25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29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idden="1" x14ac:dyDescent="0.25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25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25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24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24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24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24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24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24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24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24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24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24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24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24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25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25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25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24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24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24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25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25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25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25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25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7" hidden="1" thickBot="1" x14ac:dyDescent="0.3">
      <c r="A629" s="724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24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25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25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25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24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24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24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24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25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25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25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25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25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25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24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24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24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25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29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25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29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38.25" hidden="1" thickBot="1" x14ac:dyDescent="0.3">
      <c r="A659" s="725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25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47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25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47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25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24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24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24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25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25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25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24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24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25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25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25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25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25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25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24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24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25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25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24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24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24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24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24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24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24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24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24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25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29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25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29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idden="1" x14ac:dyDescent="0.25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7.5" hidden="1" x14ac:dyDescent="0.25">
      <c r="A699" s="735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7.5" hidden="1" x14ac:dyDescent="0.25">
      <c r="A700" s="735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7.5" hidden="1" x14ac:dyDescent="0.25">
      <c r="A701" s="735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25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25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25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idden="1" x14ac:dyDescent="0.25">
      <c r="A705" s="735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idden="1" x14ac:dyDescent="0.25">
      <c r="A706" s="735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25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25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25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idden="1" x14ac:dyDescent="0.25">
      <c r="A710" s="735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idden="1" x14ac:dyDescent="0.25">
      <c r="A711" s="735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24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24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24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25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25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25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38.25" hidden="1" thickBot="1" x14ac:dyDescent="0.3">
      <c r="A719" s="724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38.25" hidden="1" thickBot="1" x14ac:dyDescent="0.3">
      <c r="A720" s="724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38.25" hidden="1" thickBot="1" x14ac:dyDescent="0.3">
      <c r="A721" s="724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38.25" hidden="1" thickBot="1" x14ac:dyDescent="0.3">
      <c r="A722" s="724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38.25" hidden="1" thickBot="1" x14ac:dyDescent="0.3">
      <c r="A723" s="724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38.25" hidden="1" thickBot="1" x14ac:dyDescent="0.3">
      <c r="A724" s="724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38.25" hidden="1" thickBot="1" x14ac:dyDescent="0.3">
      <c r="A725" s="724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38.25" hidden="1" thickBot="1" x14ac:dyDescent="0.3">
      <c r="A726" s="724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25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25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25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25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25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25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25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24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48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24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48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24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24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24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24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24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25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25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25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25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25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25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25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24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24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24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24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idden="1" x14ac:dyDescent="0.25">
      <c r="A755" s="733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idden="1" x14ac:dyDescent="0.25">
      <c r="A756" s="733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idden="1" x14ac:dyDescent="0.25">
      <c r="A757" s="733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idden="1" x14ac:dyDescent="0.25">
      <c r="A758" s="733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idden="1" x14ac:dyDescent="0.25">
      <c r="A759" s="733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idden="1" x14ac:dyDescent="0.25">
      <c r="A760" s="733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25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29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25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29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24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24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24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25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25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25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idden="1" x14ac:dyDescent="0.25">
      <c r="A774" s="732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idden="1" x14ac:dyDescent="0.25">
      <c r="A775" s="732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idden="1" x14ac:dyDescent="0.25">
      <c r="A776" s="732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idden="1" x14ac:dyDescent="0.25">
      <c r="A777" s="732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idden="1" x14ac:dyDescent="0.25">
      <c r="A778" s="732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8.25" hidden="1" thickBot="1" x14ac:dyDescent="0.3">
      <c r="A779" s="725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7" hidden="1" thickBot="1" x14ac:dyDescent="0.3">
      <c r="A780" s="725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8.25" hidden="1" thickBot="1" x14ac:dyDescent="0.3">
      <c r="A781" s="725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25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25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31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31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25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25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25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24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24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25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25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24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24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24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24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25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25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25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25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25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25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25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24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24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24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24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25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25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24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28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24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28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25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25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25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25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25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25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25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25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25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25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25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25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25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24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24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24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25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25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25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24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24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25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25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25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25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24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24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24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25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25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25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25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25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25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25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25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25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24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24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24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24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24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24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24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24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24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24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25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25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25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24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24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24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24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24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25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25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24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24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24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25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25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25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24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24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24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24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24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24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24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25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25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24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24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24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25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25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25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24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24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25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25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24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24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25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25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24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24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25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25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25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25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24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28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24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28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57" hidden="1" thickBot="1" x14ac:dyDescent="0.3">
      <c r="A931" s="725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57" hidden="1" thickBot="1" x14ac:dyDescent="0.3">
      <c r="A932" s="725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57" hidden="1" thickBot="1" x14ac:dyDescent="0.3">
      <c r="A933" s="725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25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25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24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24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25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25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25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25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25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25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25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25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24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24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idden="1" x14ac:dyDescent="0.25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24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24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24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8.25" hidden="1" thickBot="1" x14ac:dyDescent="0.3">
      <c r="A954" s="724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30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30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24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24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25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25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24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24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24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24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24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25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25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25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25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25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24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24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24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25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25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25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24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24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24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25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29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25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29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24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24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24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25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25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24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24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24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25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25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25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25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25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24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24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idden="1" x14ac:dyDescent="0.25">
      <c r="A1002" s="74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idden="1" x14ac:dyDescent="0.25">
      <c r="A1003" s="74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24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24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25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25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24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24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24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24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24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24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24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25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25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24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24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57" hidden="1" thickBot="1" x14ac:dyDescent="0.3">
      <c r="A1021" s="725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57" hidden="1" thickBot="1" x14ac:dyDescent="0.3">
      <c r="A1022" s="725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24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24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24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25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25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24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24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25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29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25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29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24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24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24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25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25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24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24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25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25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25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24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24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25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25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25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25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25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13.25" hidden="1" thickBot="1" x14ac:dyDescent="0.3">
      <c r="A1057" s="725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25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25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idden="1" x14ac:dyDescent="0.25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idden="1" x14ac:dyDescent="0.25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24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24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24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24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24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25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25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24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24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25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25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25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24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24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24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25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25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24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28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24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28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25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25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25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25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25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25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25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25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24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24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25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25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25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25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24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24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25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25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25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5.75" hidden="1" thickBot="1" x14ac:dyDescent="0.3">
      <c r="A1115" s="724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24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25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8.25" hidden="1" thickBot="1" x14ac:dyDescent="0.3">
      <c r="A1118" s="725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8.25" hidden="1" thickBot="1" x14ac:dyDescent="0.3">
      <c r="A1119" s="725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8.25" hidden="1" thickBot="1" x14ac:dyDescent="0.3">
      <c r="A1120" s="725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24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28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24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28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57" hidden="1" thickBot="1" x14ac:dyDescent="0.3">
      <c r="A1125" s="725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25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24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24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24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24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25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25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24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24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25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25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24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24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25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25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25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25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24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24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24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24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24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24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24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24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25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25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25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25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24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28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24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28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24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24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25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25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24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24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24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24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25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25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24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24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25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25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25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25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25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25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25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24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24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24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24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24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24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24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28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24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28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24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24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25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25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24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24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25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25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25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25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24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24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24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24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25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25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25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25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25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25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25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25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25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25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25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25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25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24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24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25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25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24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24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25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25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24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28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24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28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25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25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25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25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24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24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24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24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25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25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idden="1" x14ac:dyDescent="0.25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6.25" hidden="1" x14ac:dyDescent="0.25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25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25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24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24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24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24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24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24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24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24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24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24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25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25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24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24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24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24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25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29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25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29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25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25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24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24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24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25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25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24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24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25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25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25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25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25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25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25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25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25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25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25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25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25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24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24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25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25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25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49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25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49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24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24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24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25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25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25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24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24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24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24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25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25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25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25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24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24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25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25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24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24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24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24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24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24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25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25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25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29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25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29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25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25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24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24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25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25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24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24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25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25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25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25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24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24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25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29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25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29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25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29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25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29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24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24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25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25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25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25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25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25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25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29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25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29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25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25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25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25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24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24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25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25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25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25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25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24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24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24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24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24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24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24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24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25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25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24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24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24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25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29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25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29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25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25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25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25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24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24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25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25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25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25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25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25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25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25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25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24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24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25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25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24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28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24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28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25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25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24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24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24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25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25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25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25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25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25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25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25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24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24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25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25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24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24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24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25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29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25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29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25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25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25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24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24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24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24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24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25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25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24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24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24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24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24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25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25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24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24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24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25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25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24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24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25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25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24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24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24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24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24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24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25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25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25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25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25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25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25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25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24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24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25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25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24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24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24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28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24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28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24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24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24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25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25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25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25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25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25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25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25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25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25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25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24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24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24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24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25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25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25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25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25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24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24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25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29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25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29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24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24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24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24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24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24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24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24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25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25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25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24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28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24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28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24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24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24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24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24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25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25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25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25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25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25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25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24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24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24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24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24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25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25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24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24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24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25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29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25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29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25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25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24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24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24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24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24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24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24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25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25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24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24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24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24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25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25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24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24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25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25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24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24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25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29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25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29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25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29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24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24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25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25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25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24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24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25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25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25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25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24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28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24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28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25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25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25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25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25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25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25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25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24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24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24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24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24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24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24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24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24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24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25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25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25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25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25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25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24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24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25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25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25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25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29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25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29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24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24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24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25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25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25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25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25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25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25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25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25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25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25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25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25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25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24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24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25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29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25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29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24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24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25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25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24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24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24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25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25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25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25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25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25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25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25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25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25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25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25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24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24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25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29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25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29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25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25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24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24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24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24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25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25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25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25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24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24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24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25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25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25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25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25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25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24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28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24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28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25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25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25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25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24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24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24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24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25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25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24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24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24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24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24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24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24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25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25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25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24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24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24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24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24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24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24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24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24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25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25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24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24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24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24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25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25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24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24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24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idden="1" x14ac:dyDescent="0.25">
      <c r="A1991" s="74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idden="1" x14ac:dyDescent="0.25">
      <c r="A1992" s="74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4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24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24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24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24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25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29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25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29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25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25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24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24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25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25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24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24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24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25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29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25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29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25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25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25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25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25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24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24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25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25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24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24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24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25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25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25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25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24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28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24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28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25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25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24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24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24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24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24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24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25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25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24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24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24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25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25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24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24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24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24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25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25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25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24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24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25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25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24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24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25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25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24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24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24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24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24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24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24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24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25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25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25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25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24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24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25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25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24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24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24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24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25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25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24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24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24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24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24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24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24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25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25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50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51" t="s">
        <v>467</v>
      </c>
      <c r="H2160" s="414" t="s">
        <v>515</v>
      </c>
      <c r="I2160" s="415" t="s">
        <v>516</v>
      </c>
      <c r="J2160" s="75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50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51"/>
      <c r="H2161" s="421" t="s">
        <v>515</v>
      </c>
      <c r="I2161" s="422" t="s">
        <v>516</v>
      </c>
      <c r="J2161" s="75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50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51"/>
      <c r="H2162" s="429" t="s">
        <v>515</v>
      </c>
      <c r="I2162" s="430" t="s">
        <v>516</v>
      </c>
      <c r="J2162" s="75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50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51" t="s">
        <v>467</v>
      </c>
      <c r="H2165" s="414" t="s">
        <v>516</v>
      </c>
      <c r="I2165" s="415" t="s">
        <v>516</v>
      </c>
      <c r="J2165" s="75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50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51"/>
      <c r="H2166" s="429" t="s">
        <v>516</v>
      </c>
      <c r="I2166" s="430" t="s">
        <v>516</v>
      </c>
      <c r="J2166" s="75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25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25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25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24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24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25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25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24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24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24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24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25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29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25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29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25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25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25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24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28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24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28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25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53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25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53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24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43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24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43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25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25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25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25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24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24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25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25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24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24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24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24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24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25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25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25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24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24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24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25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25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24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24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24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24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24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24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25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25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25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25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24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24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25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25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25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24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24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24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idden="1" x14ac:dyDescent="0.25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24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24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24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25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25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idden="1" x14ac:dyDescent="0.25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25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38.25" hidden="1" thickBot="1" x14ac:dyDescent="0.3">
      <c r="A2290" s="725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25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25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25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24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24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24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24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24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24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24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25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25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7.5" hidden="1" x14ac:dyDescent="0.25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25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25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25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24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24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24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idden="1" x14ac:dyDescent="0.25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idden="1" x14ac:dyDescent="0.25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24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24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idden="1" x14ac:dyDescent="0.25">
      <c r="A2328" s="74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idden="1" x14ac:dyDescent="0.25">
      <c r="A2329" s="74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24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24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24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25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25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24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24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24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24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24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38.25" hidden="1" thickBot="1" x14ac:dyDescent="0.3">
      <c r="A2345" s="724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38.25" hidden="1" thickBot="1" x14ac:dyDescent="0.3">
      <c r="A2346" s="724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25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25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38.25" hidden="1" thickBot="1" x14ac:dyDescent="0.3">
      <c r="A2349" s="725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38.25" hidden="1" thickBot="1" x14ac:dyDescent="0.3">
      <c r="A2350" s="725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idden="1" x14ac:dyDescent="0.25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25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25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25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25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idden="1" x14ac:dyDescent="0.25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idden="1" x14ac:dyDescent="0.25">
      <c r="A2368" s="732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idden="1" x14ac:dyDescent="0.25">
      <c r="A2369" s="732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idden="1" x14ac:dyDescent="0.25">
      <c r="A2370" s="732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idden="1" x14ac:dyDescent="0.25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25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38.25" hidden="1" thickBot="1" x14ac:dyDescent="0.3">
      <c r="A2376" s="725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25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25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25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24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24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25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25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38.25" hidden="1" thickBot="1" x14ac:dyDescent="0.3">
      <c r="A2387" s="725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24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24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24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38.25" hidden="1" thickBot="1" x14ac:dyDescent="0.3">
      <c r="A2391" s="724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38.25" hidden="1" thickBot="1" x14ac:dyDescent="0.3">
      <c r="A2392" s="724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25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38.25" hidden="1" thickBot="1" x14ac:dyDescent="0.3">
      <c r="A2394" s="725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idden="1" x14ac:dyDescent="0.25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25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25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25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idden="1" x14ac:dyDescent="0.25">
      <c r="A2403" s="732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idden="1" x14ac:dyDescent="0.25">
      <c r="A2404" s="732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idden="1" x14ac:dyDescent="0.25">
      <c r="A2405" s="732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idden="1" x14ac:dyDescent="0.25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25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25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idden="1" x14ac:dyDescent="0.25">
      <c r="A2414" s="732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idden="1" x14ac:dyDescent="0.25">
      <c r="A2415" s="732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25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25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25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24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24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38.25" hidden="1" thickBot="1" x14ac:dyDescent="0.3">
      <c r="A2429" s="724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38.25" hidden="1" thickBot="1" x14ac:dyDescent="0.3">
      <c r="A2430" s="724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25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25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25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38.25" hidden="1" thickBot="1" x14ac:dyDescent="0.3">
      <c r="A2434" s="725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38.25" hidden="1" thickBot="1" x14ac:dyDescent="0.3">
      <c r="A2435" s="725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idden="1" x14ac:dyDescent="0.25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24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24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24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24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24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24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idden="1" x14ac:dyDescent="0.25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25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25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24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24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idden="1" x14ac:dyDescent="0.25">
      <c r="A2453" s="74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idden="1" x14ac:dyDescent="0.25">
      <c r="A2454" s="74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24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24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24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24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24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24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24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25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25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idden="1" x14ac:dyDescent="0.25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25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25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25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24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24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idden="1" x14ac:dyDescent="0.25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idden="1" x14ac:dyDescent="0.25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25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25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24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24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idden="1" x14ac:dyDescent="0.25">
      <c r="A2489" s="74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idden="1" x14ac:dyDescent="0.25">
      <c r="A2490" s="74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24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38.25" hidden="1" thickBot="1" x14ac:dyDescent="0.3">
      <c r="A2492" s="724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24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24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24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24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24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25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25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25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24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24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idden="1" x14ac:dyDescent="0.25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25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25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25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25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25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idden="1" x14ac:dyDescent="0.25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idden="1" x14ac:dyDescent="0.25">
      <c r="A2523" s="74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idden="1" x14ac:dyDescent="0.25">
      <c r="A2524" s="74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idden="1" x14ac:dyDescent="0.25">
      <c r="A2525" s="74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24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38.25" hidden="1" thickBot="1" x14ac:dyDescent="0.3">
      <c r="A2527" s="724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24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25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25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24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24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24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24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24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56.25" hidden="1" x14ac:dyDescent="0.25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24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28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24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28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24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28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idden="1" x14ac:dyDescent="0.25">
      <c r="A2549" s="74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idden="1" x14ac:dyDescent="0.25">
      <c r="A2550" s="74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idden="1" x14ac:dyDescent="0.25">
      <c r="A2551" s="74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idden="1" x14ac:dyDescent="0.25">
      <c r="A2552" s="74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idden="1" x14ac:dyDescent="0.25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25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25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24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24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idden="1" x14ac:dyDescent="0.25">
      <c r="A2562" s="74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idden="1" x14ac:dyDescent="0.25">
      <c r="A2563" s="74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24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28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24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28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24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24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25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25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24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24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25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25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idden="1" x14ac:dyDescent="0.25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25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25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25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25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25">
      <c r="A2588" s="754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55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idden="1" x14ac:dyDescent="0.25">
      <c r="A2589" s="754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55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24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24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idden="1" x14ac:dyDescent="0.25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25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29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25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29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25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25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idden="1" x14ac:dyDescent="0.25">
      <c r="A2600" s="732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idden="1" x14ac:dyDescent="0.25">
      <c r="A2601" s="732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24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24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24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25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25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24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24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idden="1" x14ac:dyDescent="0.25">
      <c r="A2616" s="74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idden="1" x14ac:dyDescent="0.25">
      <c r="A2617" s="74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24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24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24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24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25">
      <c r="A2624" s="74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5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idden="1" x14ac:dyDescent="0.25">
      <c r="A2625" s="74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5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24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24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idden="1" x14ac:dyDescent="0.25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24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28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24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28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25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25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25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25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idden="1" x14ac:dyDescent="0.25">
      <c r="A2638" s="732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idden="1" x14ac:dyDescent="0.25">
      <c r="A2639" s="732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24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24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25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25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24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24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24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25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25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idden="1" x14ac:dyDescent="0.25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25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25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25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25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25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24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24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idden="1" x14ac:dyDescent="0.25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24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28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24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28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24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24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24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24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idden="1" x14ac:dyDescent="0.25">
      <c r="A2675" s="74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idden="1" x14ac:dyDescent="0.25">
      <c r="A2676" s="74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idden="1" x14ac:dyDescent="0.25">
      <c r="A2677" s="74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24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24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25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25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25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25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25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24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24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idden="1" x14ac:dyDescent="0.25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idden="1" x14ac:dyDescent="0.25">
      <c r="A2693" s="732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idden="1" x14ac:dyDescent="0.25">
      <c r="A2694" s="732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idden="1" x14ac:dyDescent="0.25">
      <c r="A2695" s="732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idden="1" x14ac:dyDescent="0.25">
      <c r="A2696" s="732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idden="1" x14ac:dyDescent="0.25">
      <c r="A2697" s="732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idden="1" x14ac:dyDescent="0.25">
      <c r="A2698" s="732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25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25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idden="1" x14ac:dyDescent="0.25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57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57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24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24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24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24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idden="1" x14ac:dyDescent="0.25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25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25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24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24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24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24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24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24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25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25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idden="1" x14ac:dyDescent="0.25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idden="1" x14ac:dyDescent="0.25">
      <c r="A2733" s="74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idden="1" x14ac:dyDescent="0.25">
      <c r="A2734" s="74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idden="1" x14ac:dyDescent="0.25">
      <c r="A2735" s="74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idden="1" x14ac:dyDescent="0.25">
      <c r="A2736" s="74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idden="1" x14ac:dyDescent="0.25">
      <c r="A2737" s="74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idden="1" x14ac:dyDescent="0.25">
      <c r="A2738" s="74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24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24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25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25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25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25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32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32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24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24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24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25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25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7" hidden="1" thickBot="1" x14ac:dyDescent="0.3">
      <c r="A2762" s="724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7" hidden="1" thickBot="1" x14ac:dyDescent="0.3">
      <c r="A2763" s="724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7" hidden="1" thickBot="1" x14ac:dyDescent="0.3">
      <c r="A2764" s="724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7" hidden="1" thickBot="1" x14ac:dyDescent="0.3">
      <c r="A2765" s="724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25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25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25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25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idden="1" x14ac:dyDescent="0.25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24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28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24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28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24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28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idden="1" x14ac:dyDescent="0.25">
      <c r="A2775" s="74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idden="1" x14ac:dyDescent="0.25">
      <c r="A2776" s="74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idden="1" x14ac:dyDescent="0.25">
      <c r="A2777" s="74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idden="1" x14ac:dyDescent="0.25">
      <c r="A2778" s="74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24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24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idden="1" x14ac:dyDescent="0.25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25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25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24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24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25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25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25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idden="1" x14ac:dyDescent="0.25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25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25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24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24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24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25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25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24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24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idden="1" x14ac:dyDescent="0.25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idden="1" x14ac:dyDescent="0.25">
      <c r="A2810" s="74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idden="1" x14ac:dyDescent="0.25">
      <c r="A2811" s="74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idden="1" x14ac:dyDescent="0.25">
      <c r="A2812" s="74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idden="1" x14ac:dyDescent="0.25">
      <c r="A2813" s="74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idden="1" x14ac:dyDescent="0.25">
      <c r="A2814" s="74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24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24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idden="1" x14ac:dyDescent="0.25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25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25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25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25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24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24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idden="1" x14ac:dyDescent="0.25">
      <c r="A2826" s="74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idden="1" x14ac:dyDescent="0.25">
      <c r="A2827" s="74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24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24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24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24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idden="1" x14ac:dyDescent="0.25">
      <c r="A2835" s="732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idden="1" x14ac:dyDescent="0.25">
      <c r="A2836" s="732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25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25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25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25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25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25">
      <c r="A2844" s="732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5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idden="1" x14ac:dyDescent="0.25">
      <c r="A2845" s="732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5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25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25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idden="1" x14ac:dyDescent="0.25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25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29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25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29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24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24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25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25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25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idden="1" x14ac:dyDescent="0.25">
      <c r="A2861" s="74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idden="1" x14ac:dyDescent="0.25">
      <c r="A2862" s="74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25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25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24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24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24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25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25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25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24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24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24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24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idden="1" x14ac:dyDescent="0.25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idden="1" x14ac:dyDescent="0.25">
      <c r="A2885" s="732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idden="1" x14ac:dyDescent="0.25">
      <c r="A2886" s="732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idden="1" x14ac:dyDescent="0.25">
      <c r="A2887" s="732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idden="1" x14ac:dyDescent="0.25">
      <c r="A2888" s="732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idden="1" x14ac:dyDescent="0.25">
      <c r="A2889" s="732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25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25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idden="1" x14ac:dyDescent="0.25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24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28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24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28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25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25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25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25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24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24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idden="1" x14ac:dyDescent="0.25">
      <c r="A2905" s="74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idden="1" x14ac:dyDescent="0.25">
      <c r="A2906" s="74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24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24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24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25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25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25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25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idden="1" x14ac:dyDescent="0.25">
      <c r="A2918" s="74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idden="1" x14ac:dyDescent="0.25">
      <c r="A2919" s="74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idden="1" x14ac:dyDescent="0.25">
      <c r="A2920" s="74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25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29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25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29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idden="1" x14ac:dyDescent="0.25">
      <c r="A2926" s="732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idden="1" x14ac:dyDescent="0.25">
      <c r="A2927" s="732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idden="1" x14ac:dyDescent="0.25">
      <c r="A2928" s="732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idden="1" x14ac:dyDescent="0.25">
      <c r="A2929" s="732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25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25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idden="1" x14ac:dyDescent="0.25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25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29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25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29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25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25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24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24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24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idden="1" x14ac:dyDescent="0.25">
      <c r="A2943" s="74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idden="1" x14ac:dyDescent="0.25">
      <c r="A2944" s="74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24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24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24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24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idden="1" x14ac:dyDescent="0.25">
      <c r="A2953" s="74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idden="1" x14ac:dyDescent="0.25">
      <c r="A2954" s="74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24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24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idden="1" x14ac:dyDescent="0.25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idden="1" x14ac:dyDescent="0.25">
      <c r="A2966" s="732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idden="1" x14ac:dyDescent="0.25">
      <c r="A2967" s="732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idden="1" x14ac:dyDescent="0.25">
      <c r="A2968" s="732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idden="1" x14ac:dyDescent="0.25">
      <c r="A2969" s="732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idden="1" x14ac:dyDescent="0.25">
      <c r="A2970" s="732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25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25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idden="1" x14ac:dyDescent="0.25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25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25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24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24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24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4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29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4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29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25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25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24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24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25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25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25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idden="1" x14ac:dyDescent="0.25">
      <c r="A2994" s="74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idden="1" x14ac:dyDescent="0.25">
      <c r="A2995" s="74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idden="1" x14ac:dyDescent="0.25">
      <c r="A2996" s="74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idden="1" x14ac:dyDescent="0.25">
      <c r="A2999" s="732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idden="1" x14ac:dyDescent="0.25">
      <c r="A3000" s="732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idden="1" x14ac:dyDescent="0.25">
      <c r="A3001" s="732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idden="1" x14ac:dyDescent="0.25">
      <c r="A3002" s="732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idden="1" x14ac:dyDescent="0.25">
      <c r="A3003" s="732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idden="1" x14ac:dyDescent="0.25">
      <c r="A3004" s="732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25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25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idden="1" x14ac:dyDescent="0.25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24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24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24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24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24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25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25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25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32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28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32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28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32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28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25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25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24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24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25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25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25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24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24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25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25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idden="1" x14ac:dyDescent="0.25">
      <c r="A3040" s="732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idden="1" x14ac:dyDescent="0.25">
      <c r="A3041" s="732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25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25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24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24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25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25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24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28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24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28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24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28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24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28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idden="1" x14ac:dyDescent="0.25">
      <c r="A3052" s="74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idden="1" x14ac:dyDescent="0.25">
      <c r="A3053" s="74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idden="1" x14ac:dyDescent="0.25">
      <c r="A3054" s="74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idden="1" x14ac:dyDescent="0.25">
      <c r="A3055" s="74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idden="1" x14ac:dyDescent="0.25">
      <c r="A3056" s="74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24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24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idden="1" x14ac:dyDescent="0.25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24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28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24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28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24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28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25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25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idden="1" x14ac:dyDescent="0.25">
      <c r="A3067" s="732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idden="1" x14ac:dyDescent="0.25">
      <c r="A3068" s="732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idden="1" x14ac:dyDescent="0.25">
      <c r="A3069" s="732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25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25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24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24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25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25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24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24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24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25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25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25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25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25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24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28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24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28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idden="1" x14ac:dyDescent="0.25">
      <c r="A3092" s="74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idden="1" x14ac:dyDescent="0.25">
      <c r="A3093" s="74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24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24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25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25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24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24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25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25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idden="1" x14ac:dyDescent="0.25">
      <c r="A3102" s="732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idden="1" x14ac:dyDescent="0.25">
      <c r="A3103" s="732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idden="1" x14ac:dyDescent="0.25">
      <c r="A3104" s="732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idden="1" x14ac:dyDescent="0.25">
      <c r="A3105" s="732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idden="1" x14ac:dyDescent="0.25">
      <c r="A3106" s="732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idden="1" x14ac:dyDescent="0.25">
      <c r="A3107" s="732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idden="1" x14ac:dyDescent="0.25">
      <c r="A3108" s="732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idden="1" x14ac:dyDescent="0.25">
      <c r="A3109" s="732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25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25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25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25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24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24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idden="1" x14ac:dyDescent="0.25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24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24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24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25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25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25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idden="1" x14ac:dyDescent="0.25">
      <c r="A3126" s="732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idden="1" x14ac:dyDescent="0.25">
      <c r="A3127" s="732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25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25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24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24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25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25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25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25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24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24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24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24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25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25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25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25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24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24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24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24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idden="1" x14ac:dyDescent="0.25">
      <c r="A3151" s="732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idden="1" x14ac:dyDescent="0.25">
      <c r="A3152" s="732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idden="1" x14ac:dyDescent="0.25">
      <c r="A3153" s="732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25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25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24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24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25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25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29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25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29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25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29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24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24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idden="1" x14ac:dyDescent="0.25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25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25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24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24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24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25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25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25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24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24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25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25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24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24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24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24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idden="1" x14ac:dyDescent="0.25">
      <c r="A3188" s="732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idden="1" x14ac:dyDescent="0.25">
      <c r="A3189" s="732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idden="1" x14ac:dyDescent="0.25">
      <c r="A3190" s="732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24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24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24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24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24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25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25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25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25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25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24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24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7.5" hidden="1" x14ac:dyDescent="0.25">
      <c r="A3206" s="74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7.5" hidden="1" x14ac:dyDescent="0.25">
      <c r="A3207" s="74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24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24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25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25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24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24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25">
      <c r="A3214" s="74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5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idden="1" x14ac:dyDescent="0.25">
      <c r="A3215" s="74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5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idden="1" x14ac:dyDescent="0.25">
      <c r="A3216" s="74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5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idden="1" x14ac:dyDescent="0.25">
      <c r="A3217" s="74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5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idden="1" x14ac:dyDescent="0.25">
      <c r="A3218" s="74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5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idden="1" x14ac:dyDescent="0.25">
      <c r="A3219" s="74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5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24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24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57" hidden="1" thickBot="1" x14ac:dyDescent="0.3">
      <c r="A3225" s="724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57" hidden="1" thickBot="1" x14ac:dyDescent="0.3">
      <c r="A3226" s="724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idden="1" x14ac:dyDescent="0.25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25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25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24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24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idden="1" x14ac:dyDescent="0.25">
      <c r="A3235" s="74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idden="1" x14ac:dyDescent="0.25">
      <c r="A3236" s="74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idden="1" x14ac:dyDescent="0.25">
      <c r="A3237" s="74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idden="1" x14ac:dyDescent="0.25">
      <c r="A3238" s="74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24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24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24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25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25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25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24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24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25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25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24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24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idden="1" x14ac:dyDescent="0.25">
      <c r="A3257" s="74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idden="1" x14ac:dyDescent="0.25">
      <c r="A3258" s="74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idden="1" x14ac:dyDescent="0.25">
      <c r="A3259" s="74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25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25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24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24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idden="1" x14ac:dyDescent="0.25">
      <c r="A3266" s="732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idden="1" x14ac:dyDescent="0.25">
      <c r="A3267" s="732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idden="1" x14ac:dyDescent="0.25">
      <c r="A3268" s="732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idden="1" x14ac:dyDescent="0.25">
      <c r="A3269" s="732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idden="1" x14ac:dyDescent="0.25">
      <c r="A3270" s="732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idden="1" x14ac:dyDescent="0.25">
      <c r="A3271" s="732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idden="1" x14ac:dyDescent="0.25">
      <c r="A3272" s="732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idden="1" x14ac:dyDescent="0.25">
      <c r="A3273" s="732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25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25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24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38.25" hidden="1" thickBot="1" x14ac:dyDescent="0.3">
      <c r="A3277" s="724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24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38.25" hidden="1" thickBot="1" x14ac:dyDescent="0.3">
      <c r="A3282" s="724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idden="1" x14ac:dyDescent="0.25">
      <c r="A3283" s="74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37.5" hidden="1" x14ac:dyDescent="0.25">
      <c r="A3284" s="74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idden="1" x14ac:dyDescent="0.25">
      <c r="A3285" s="74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24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38.25" hidden="1" thickBot="1" x14ac:dyDescent="0.3">
      <c r="A3287" s="724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24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24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38.25" hidden="1" thickBot="1" x14ac:dyDescent="0.3">
      <c r="A3290" s="724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idden="1" x14ac:dyDescent="0.25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25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25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24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24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25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25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25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25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idden="1" x14ac:dyDescent="0.25">
      <c r="A3306" s="74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idden="1" x14ac:dyDescent="0.25">
      <c r="A3307" s="74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24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24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25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25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idden="1" x14ac:dyDescent="0.25">
      <c r="A3312" s="732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idden="1" x14ac:dyDescent="0.25">
      <c r="A3313" s="732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idden="1" x14ac:dyDescent="0.25">
      <c r="A3314" s="732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idden="1" x14ac:dyDescent="0.25">
      <c r="A3315" s="732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idden="1" x14ac:dyDescent="0.25">
      <c r="A3316" s="732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idden="1" x14ac:dyDescent="0.25">
      <c r="A3317" s="732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idden="1" x14ac:dyDescent="0.25">
      <c r="A3318" s="732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idden="1" x14ac:dyDescent="0.25">
      <c r="A3319" s="732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idden="1" x14ac:dyDescent="0.25">
      <c r="A3320" s="732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25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25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idden="1" x14ac:dyDescent="0.25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idden="1" x14ac:dyDescent="0.25">
      <c r="A3328" s="74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idden="1" x14ac:dyDescent="0.25">
      <c r="A3329" s="74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idden="1" x14ac:dyDescent="0.25">
      <c r="A3330" s="74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idden="1" x14ac:dyDescent="0.25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idden="1" x14ac:dyDescent="0.25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idden="1" x14ac:dyDescent="0.25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25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25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25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idden="1" x14ac:dyDescent="0.25">
      <c r="A3339" s="732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idden="1" x14ac:dyDescent="0.25">
      <c r="A3340" s="732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25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25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idden="1" x14ac:dyDescent="0.25">
      <c r="A3343" s="732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idden="1" x14ac:dyDescent="0.25">
      <c r="A3344" s="732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25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25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idden="1" x14ac:dyDescent="0.25">
      <c r="A3347" s="732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idden="1" x14ac:dyDescent="0.25">
      <c r="A3348" s="732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idden="1" x14ac:dyDescent="0.25">
      <c r="A3351" s="74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idden="1" x14ac:dyDescent="0.25">
      <c r="A3352" s="74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idden="1" x14ac:dyDescent="0.25">
      <c r="A3353" s="74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24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24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25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25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24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24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idden="1" x14ac:dyDescent="0.25">
      <c r="A3360" s="74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idden="1" x14ac:dyDescent="0.25">
      <c r="A3361" s="74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idden="1" x14ac:dyDescent="0.25">
      <c r="A3362" s="74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idden="1" x14ac:dyDescent="0.25">
      <c r="A3363" s="74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idden="1" x14ac:dyDescent="0.25">
      <c r="A3364" s="74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idden="1" x14ac:dyDescent="0.25">
      <c r="A3365" s="74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idden="1" x14ac:dyDescent="0.25">
      <c r="A3366" s="74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idden="1" x14ac:dyDescent="0.25">
      <c r="A3367" s="74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24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24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idden="1" x14ac:dyDescent="0.25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25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25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24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24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4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29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4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29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24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24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24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25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25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24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24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24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24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25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29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25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29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7.5" hidden="1" x14ac:dyDescent="0.25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idden="1" x14ac:dyDescent="0.25">
      <c r="A3399" s="74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idden="1" x14ac:dyDescent="0.25">
      <c r="A3400" s="74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idden="1" x14ac:dyDescent="0.25">
      <c r="A3401" s="74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idden="1" x14ac:dyDescent="0.25">
      <c r="A3402" s="74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idden="1" x14ac:dyDescent="0.25">
      <c r="A3403" s="74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idden="1" x14ac:dyDescent="0.25">
      <c r="A3404" s="74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25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25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idden="1" x14ac:dyDescent="0.25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38.25" hidden="1" thickBot="1" x14ac:dyDescent="0.3">
      <c r="A3410" s="724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38.25" hidden="1" thickBot="1" x14ac:dyDescent="0.3">
      <c r="A3411" s="724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38.25" hidden="1" thickBot="1" x14ac:dyDescent="0.3">
      <c r="A3412" s="724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38.25" hidden="1" thickBot="1" x14ac:dyDescent="0.3">
      <c r="A3413" s="724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25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29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25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29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37.5" hidden="1" x14ac:dyDescent="0.25">
      <c r="A3416" s="732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37.5" hidden="1" x14ac:dyDescent="0.25">
      <c r="A3417" s="732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37.5" hidden="1" x14ac:dyDescent="0.25">
      <c r="A3418" s="732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38.25" hidden="1" thickBot="1" x14ac:dyDescent="0.3">
      <c r="A3419" s="732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38.25" hidden="1" thickBot="1" x14ac:dyDescent="0.3">
      <c r="A3421" s="724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38.25" hidden="1" thickBot="1" x14ac:dyDescent="0.3">
      <c r="A3422" s="724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38.25" hidden="1" thickBot="1" x14ac:dyDescent="0.3">
      <c r="A3423" s="724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38.25" hidden="1" thickBot="1" x14ac:dyDescent="0.3">
      <c r="A3424" s="724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24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24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24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24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idden="1" x14ac:dyDescent="0.25">
      <c r="A3432" s="74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idden="1" x14ac:dyDescent="0.25">
      <c r="A3433" s="74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25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25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25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25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25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idden="1" x14ac:dyDescent="0.25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25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25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idden="1" x14ac:dyDescent="0.25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25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25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24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24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25">
      <c r="A3452" s="74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5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idden="1" x14ac:dyDescent="0.25">
      <c r="A3453" s="74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5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idden="1" x14ac:dyDescent="0.25">
      <c r="A3454" s="74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5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24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24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24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24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25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25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24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24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24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25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25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25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25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7.5" hidden="1" x14ac:dyDescent="0.25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idden="1" x14ac:dyDescent="0.25">
      <c r="A3479" s="732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idden="1" x14ac:dyDescent="0.25">
      <c r="A3480" s="732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idden="1" x14ac:dyDescent="0.25">
      <c r="A3481" s="732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idden="1" x14ac:dyDescent="0.25">
      <c r="A3482" s="732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idden="1" x14ac:dyDescent="0.25">
      <c r="A3483" s="732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25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25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idden="1" x14ac:dyDescent="0.25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24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28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24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28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25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25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idden="1" x14ac:dyDescent="0.25">
      <c r="A3495" s="74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idden="1" x14ac:dyDescent="0.25">
      <c r="A3496" s="74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25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25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24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24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24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24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24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25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25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25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idden="1" x14ac:dyDescent="0.25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idden="1" x14ac:dyDescent="0.25">
      <c r="A3515" s="732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idden="1" x14ac:dyDescent="0.25">
      <c r="A3516" s="732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idden="1" x14ac:dyDescent="0.25">
      <c r="A3517" s="732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idden="1" x14ac:dyDescent="0.25">
      <c r="A3518" s="732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idden="1" x14ac:dyDescent="0.25">
      <c r="A3519" s="732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idden="1" x14ac:dyDescent="0.25">
      <c r="A3520" s="732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idden="1" x14ac:dyDescent="0.25">
      <c r="A3521" s="732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25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25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idden="1" x14ac:dyDescent="0.25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24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28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24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28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25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25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24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24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24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24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6.25" hidden="1" x14ac:dyDescent="0.25">
      <c r="A3539" s="732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idden="1" x14ac:dyDescent="0.25">
      <c r="A3540" s="732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24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24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24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24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24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25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25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24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28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24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28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13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17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25">
      <c r="A3553" s="72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19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idden="1" x14ac:dyDescent="0.25">
      <c r="A3557" s="713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17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idden="1" x14ac:dyDescent="0.25">
      <c r="A3558" s="72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19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idden="1" x14ac:dyDescent="0.25">
      <c r="A3559" s="72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19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idden="1" x14ac:dyDescent="0.25">
      <c r="A3560" s="72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19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idden="1" x14ac:dyDescent="0.25">
      <c r="A3561" s="720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59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idden="1" x14ac:dyDescent="0.25">
      <c r="A3565" s="713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60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idden="1" x14ac:dyDescent="0.25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idden="1" x14ac:dyDescent="0.25">
      <c r="A3568" s="713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17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60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61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idden="1" x14ac:dyDescent="0.25">
      <c r="A3571" s="713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idden="1" x14ac:dyDescent="0.25">
      <c r="A3572" s="72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idden="1" x14ac:dyDescent="0.25">
      <c r="A3573" s="72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idden="1" x14ac:dyDescent="0.25">
      <c r="A3574" s="72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idden="1" x14ac:dyDescent="0.25">
      <c r="A3577" s="720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idden="1" x14ac:dyDescent="0.25">
      <c r="A3578" s="721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idden="1" x14ac:dyDescent="0.25">
      <c r="A3579" s="721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idden="1" x14ac:dyDescent="0.25">
      <c r="A3580" s="721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59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idden="1" x14ac:dyDescent="0.25">
      <c r="A3584" s="713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60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idden="1" x14ac:dyDescent="0.25">
      <c r="A3586" s="720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59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idden="1" x14ac:dyDescent="0.25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idden="1" x14ac:dyDescent="0.25">
      <c r="A3592" s="713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idden="1" x14ac:dyDescent="0.25">
      <c r="A3593" s="72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idden="1" x14ac:dyDescent="0.25">
      <c r="A3594" s="72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idden="1" x14ac:dyDescent="0.25">
      <c r="A3595" s="72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idden="1" x14ac:dyDescent="0.25">
      <c r="A3596" s="72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idden="1" x14ac:dyDescent="0.25">
      <c r="A3597" s="72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720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15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59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62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idden="1" x14ac:dyDescent="0.25">
      <c r="A3600" s="713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60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idden="1" x14ac:dyDescent="0.25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idden="1" x14ac:dyDescent="0.25">
      <c r="A3604" s="720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15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59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62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idden="1" x14ac:dyDescent="0.25">
      <c r="A3606" s="713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idden="1" x14ac:dyDescent="0.25">
      <c r="A3607" s="72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idden="1" x14ac:dyDescent="0.25">
      <c r="A3608" s="72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60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idden="1" x14ac:dyDescent="0.25">
      <c r="A3611" s="713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idden="1" x14ac:dyDescent="0.25">
      <c r="A3612" s="72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idden="1" x14ac:dyDescent="0.25">
      <c r="A3615" s="720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idden="1" x14ac:dyDescent="0.25">
      <c r="A3616" s="721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idden="1" x14ac:dyDescent="0.25">
      <c r="A3617" s="721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59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idden="1" x14ac:dyDescent="0.25">
      <c r="A3622" s="720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idden="1" x14ac:dyDescent="0.25">
      <c r="A3623" s="721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idden="1" x14ac:dyDescent="0.25">
      <c r="A3624" s="721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idden="1" x14ac:dyDescent="0.25">
      <c r="A3627" s="713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idden="1" x14ac:dyDescent="0.25">
      <c r="A3628" s="72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idden="1" x14ac:dyDescent="0.25">
      <c r="A3629" s="72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idden="1" x14ac:dyDescent="0.25">
      <c r="A3630" s="72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idden="1" x14ac:dyDescent="0.25">
      <c r="A3631" s="72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idden="1" x14ac:dyDescent="0.25">
      <c r="A3632" s="72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idden="1" x14ac:dyDescent="0.25">
      <c r="A3633" s="720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59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idden="1" x14ac:dyDescent="0.25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idden="1" x14ac:dyDescent="0.25">
      <c r="A3639" s="713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17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60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61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idden="1" x14ac:dyDescent="0.25">
      <c r="A3642" s="713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17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60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61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idden="1" x14ac:dyDescent="0.25">
      <c r="A3645" s="713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60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idden="1" x14ac:dyDescent="0.25">
      <c r="A3647" s="720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59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idden="1" x14ac:dyDescent="0.25">
      <c r="A3649" s="713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2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idden="1" x14ac:dyDescent="0.25">
      <c r="A3654" s="713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60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idden="1" x14ac:dyDescent="0.25">
      <c r="A3656" s="720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59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idden="1" x14ac:dyDescent="0.25">
      <c r="A3658" s="713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idden="1" x14ac:dyDescent="0.25">
      <c r="A3659" s="72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60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idden="1" x14ac:dyDescent="0.25">
      <c r="A3661" s="720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idden="1" x14ac:dyDescent="0.25">
      <c r="A3662" s="721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59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idden="1" x14ac:dyDescent="0.25">
      <c r="A3669" s="720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idden="1" x14ac:dyDescent="0.25">
      <c r="A3670" s="721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idden="1" x14ac:dyDescent="0.25">
      <c r="A3671" s="721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idden="1" x14ac:dyDescent="0.25">
      <c r="A3672" s="721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idden="1" x14ac:dyDescent="0.25">
      <c r="A3673" s="721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idden="1" x14ac:dyDescent="0.25">
      <c r="A3674" s="721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idden="1" x14ac:dyDescent="0.25">
      <c r="A3675" s="713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60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idden="1" x14ac:dyDescent="0.25">
      <c r="A3677" s="720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15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59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62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idden="1" x14ac:dyDescent="0.25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6.25" hidden="1" x14ac:dyDescent="0.25">
      <c r="A3681" s="713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60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idden="1" x14ac:dyDescent="0.25">
      <c r="A3685" s="720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59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idden="1" x14ac:dyDescent="0.25">
      <c r="A3687" s="713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idden="1" x14ac:dyDescent="0.25">
      <c r="A3688" s="72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idden="1" x14ac:dyDescent="0.25">
      <c r="A3689" s="72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60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idden="1" x14ac:dyDescent="0.25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13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17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60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61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idden="1" x14ac:dyDescent="0.25">
      <c r="A3698" s="720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idden="1" x14ac:dyDescent="0.25">
      <c r="A3699" s="721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59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idden="1" x14ac:dyDescent="0.25">
      <c r="A3701" s="713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60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720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15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59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62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7.5" hidden="1" x14ac:dyDescent="0.25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idden="1" x14ac:dyDescent="0.25">
      <c r="A3709" s="713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idden="1" x14ac:dyDescent="0.25">
      <c r="A3710" s="72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idden="1" x14ac:dyDescent="0.25">
      <c r="A3711" s="72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idden="1" x14ac:dyDescent="0.25">
      <c r="A3712" s="72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idden="1" x14ac:dyDescent="0.25">
      <c r="A3713" s="72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idden="1" x14ac:dyDescent="0.25">
      <c r="A3714" s="72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idden="1" x14ac:dyDescent="0.25">
      <c r="A3715" s="720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59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idden="1" x14ac:dyDescent="0.25">
      <c r="A3718" s="720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59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idden="1" x14ac:dyDescent="0.25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idden="1" x14ac:dyDescent="0.25">
      <c r="A3721" s="720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15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59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62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idden="1" x14ac:dyDescent="0.25">
      <c r="A3723" s="713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idden="1" x14ac:dyDescent="0.25">
      <c r="A3724" s="72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60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idden="1" x14ac:dyDescent="0.25">
      <c r="A3726" s="720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idden="1" x14ac:dyDescent="0.25">
      <c r="A3727" s="721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59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idden="1" x14ac:dyDescent="0.25">
      <c r="A3729" s="713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idden="1" x14ac:dyDescent="0.25">
      <c r="A3730" s="72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60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idden="1" x14ac:dyDescent="0.25">
      <c r="A3732" s="720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idden="1" x14ac:dyDescent="0.25">
      <c r="A3733" s="721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idden="1" x14ac:dyDescent="0.25">
      <c r="A3734" s="721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idden="1" x14ac:dyDescent="0.25">
      <c r="A3735" s="721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idden="1" x14ac:dyDescent="0.25">
      <c r="A3737" s="720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59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idden="1" x14ac:dyDescent="0.25">
      <c r="A3739" s="713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idden="1" x14ac:dyDescent="0.25">
      <c r="A3740" s="72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60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idden="1" x14ac:dyDescent="0.25">
      <c r="A3743" s="713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idden="1" x14ac:dyDescent="0.25">
      <c r="A3744" s="72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idden="1" x14ac:dyDescent="0.25">
      <c r="A3745" s="72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idden="1" x14ac:dyDescent="0.25">
      <c r="A3746" s="72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idden="1" x14ac:dyDescent="0.25">
      <c r="A3749" s="720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idden="1" x14ac:dyDescent="0.25">
      <c r="A3750" s="721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idden="1" x14ac:dyDescent="0.25">
      <c r="A3754" s="720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idden="1" x14ac:dyDescent="0.25">
      <c r="A3755" s="721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idden="1" x14ac:dyDescent="0.25">
      <c r="A3756" s="721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idden="1" x14ac:dyDescent="0.25">
      <c r="A3757" s="721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idden="1" x14ac:dyDescent="0.25">
      <c r="A3758" s="721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idden="1" x14ac:dyDescent="0.25">
      <c r="A3759" s="721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idden="1" x14ac:dyDescent="0.25">
      <c r="A3760" s="713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60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idden="1" x14ac:dyDescent="0.25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idden="1" x14ac:dyDescent="0.25">
      <c r="A3765" s="713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17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idden="1" x14ac:dyDescent="0.25">
      <c r="A3766" s="72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19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60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61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6.25" hidden="1" x14ac:dyDescent="0.25">
      <c r="A3769" s="713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idden="1" x14ac:dyDescent="0.25">
      <c r="A3770" s="72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60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idden="1" x14ac:dyDescent="0.25">
      <c r="A3772" s="720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idden="1" x14ac:dyDescent="0.25">
      <c r="A3773" s="721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59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idden="1" x14ac:dyDescent="0.25">
      <c r="A3775" s="713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idden="1" x14ac:dyDescent="0.25">
      <c r="A3776" s="72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idden="1" x14ac:dyDescent="0.25">
      <c r="A3777" s="72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13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17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60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61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idden="1" x14ac:dyDescent="0.25">
      <c r="A3781" s="720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idden="1" x14ac:dyDescent="0.25">
      <c r="A3782" s="721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idden="1" x14ac:dyDescent="0.25">
      <c r="A3783" s="721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59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idden="1" x14ac:dyDescent="0.25">
      <c r="A3785" s="713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60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idden="1" x14ac:dyDescent="0.25">
      <c r="A3788" s="713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60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idden="1" x14ac:dyDescent="0.25">
      <c r="A3790" s="720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59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7.5" hidden="1" x14ac:dyDescent="0.25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idden="1" x14ac:dyDescent="0.25">
      <c r="A3797" s="720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idden="1" x14ac:dyDescent="0.25">
      <c r="A3798" s="721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idden="1" x14ac:dyDescent="0.25">
      <c r="A3799" s="721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idden="1" x14ac:dyDescent="0.25">
      <c r="A3800" s="721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idden="1" x14ac:dyDescent="0.25">
      <c r="A3801" s="721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idden="1" x14ac:dyDescent="0.25">
      <c r="A3802" s="713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60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idden="1" x14ac:dyDescent="0.25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idden="1" x14ac:dyDescent="0.25">
      <c r="A3811" s="713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idden="1" x14ac:dyDescent="0.25">
      <c r="A3812" s="72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60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idden="1" x14ac:dyDescent="0.25">
      <c r="A3814" s="720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59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idden="1" x14ac:dyDescent="0.25">
      <c r="A3816" s="713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60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idden="1" x14ac:dyDescent="0.25">
      <c r="A3818" s="720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59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idden="1" x14ac:dyDescent="0.25">
      <c r="A3820" s="713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17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60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61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idden="1" x14ac:dyDescent="0.25">
      <c r="A3822" s="720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idden="1" x14ac:dyDescent="0.25">
      <c r="A3823" s="721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idden="1" x14ac:dyDescent="0.25">
      <c r="A3828" s="713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idden="1" x14ac:dyDescent="0.25">
      <c r="A3829" s="72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60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idden="1" x14ac:dyDescent="0.25">
      <c r="A3831" s="720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59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idden="1" x14ac:dyDescent="0.25">
      <c r="A3833" s="713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60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idden="1" x14ac:dyDescent="0.25">
      <c r="A3835" s="720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59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idden="1" x14ac:dyDescent="0.25">
      <c r="A3837" s="713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60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idden="1" x14ac:dyDescent="0.25">
      <c r="A3842" s="713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idden="1" x14ac:dyDescent="0.25">
      <c r="A3843" s="72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idden="1" x14ac:dyDescent="0.25">
      <c r="A3848" s="721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idden="1" x14ac:dyDescent="0.25">
      <c r="A3849" s="721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idden="1" x14ac:dyDescent="0.25">
      <c r="A3850" s="721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idden="1" x14ac:dyDescent="0.25">
      <c r="A3851" s="721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idden="1" x14ac:dyDescent="0.25">
      <c r="A3852" s="721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idden="1" x14ac:dyDescent="0.25">
      <c r="A3853" s="721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idden="1" x14ac:dyDescent="0.25">
      <c r="A3854" s="713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60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idden="1" x14ac:dyDescent="0.25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idden="1" x14ac:dyDescent="0.25">
      <c r="A3859" s="713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60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idden="1" x14ac:dyDescent="0.25">
      <c r="A3861" s="720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idden="1" x14ac:dyDescent="0.25">
      <c r="A3862" s="721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idden="1" x14ac:dyDescent="0.25">
      <c r="A3863" s="721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59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idden="1" x14ac:dyDescent="0.25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idden="1" x14ac:dyDescent="0.25">
      <c r="A3867" s="713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idden="1" x14ac:dyDescent="0.25">
      <c r="A3868" s="72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idden="1" x14ac:dyDescent="0.25">
      <c r="A3869" s="72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idden="1" x14ac:dyDescent="0.25">
      <c r="A3870" s="72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idden="1" x14ac:dyDescent="0.25">
      <c r="A3871" s="72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60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idden="1" x14ac:dyDescent="0.25">
      <c r="A3874" s="713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60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idden="1" x14ac:dyDescent="0.25">
      <c r="A3876" s="720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idden="1" x14ac:dyDescent="0.25">
      <c r="A3877" s="721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idden="1" x14ac:dyDescent="0.25">
      <c r="A3878" s="721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59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6.25" hidden="1" x14ac:dyDescent="0.25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idden="1" x14ac:dyDescent="0.25">
      <c r="A3884" s="720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idden="1" x14ac:dyDescent="0.25">
      <c r="A3885" s="721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idden="1" x14ac:dyDescent="0.25">
      <c r="A3886" s="721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idden="1" x14ac:dyDescent="0.25">
      <c r="A3887" s="721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idden="1" x14ac:dyDescent="0.25">
      <c r="A3888" s="721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idden="1" x14ac:dyDescent="0.25">
      <c r="A3889" s="721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idden="1" x14ac:dyDescent="0.25">
      <c r="A3890" s="713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60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idden="1" x14ac:dyDescent="0.25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idden="1" x14ac:dyDescent="0.25">
      <c r="A3895" s="713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17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60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61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720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721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59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13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2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2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60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720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721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59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13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17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2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19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60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61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720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15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59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62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13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60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720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59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13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2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2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2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2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2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720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59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13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60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720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721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59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13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2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2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60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720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59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13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17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60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61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13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60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720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721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59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720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59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13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2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idden="1" x14ac:dyDescent="0.25">
      <c r="A3966" s="720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idden="1" x14ac:dyDescent="0.25">
      <c r="A3967" s="721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idden="1" x14ac:dyDescent="0.25">
      <c r="A3971" s="720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idden="1" x14ac:dyDescent="0.25">
      <c r="A3972" s="721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idden="1" x14ac:dyDescent="0.25">
      <c r="A3973" s="721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idden="1" x14ac:dyDescent="0.25">
      <c r="A3974" s="721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idden="1" x14ac:dyDescent="0.25">
      <c r="A3975" s="721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idden="1" x14ac:dyDescent="0.25">
      <c r="A3976" s="713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60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idden="1" x14ac:dyDescent="0.25">
      <c r="A3981" s="713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idden="1" x14ac:dyDescent="0.25">
      <c r="A3982" s="72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idden="1" x14ac:dyDescent="0.25">
      <c r="A3983" s="720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15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59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62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idden="1" x14ac:dyDescent="0.25">
      <c r="A3985" s="713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idden="1" x14ac:dyDescent="0.25">
      <c r="A3986" s="72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idden="1" x14ac:dyDescent="0.25">
      <c r="A3987" s="72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idden="1" x14ac:dyDescent="0.25">
      <c r="A3988" s="72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idden="1" x14ac:dyDescent="0.25">
      <c r="A3989" s="72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idden="1" x14ac:dyDescent="0.25">
      <c r="A3990" s="72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60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idden="1" x14ac:dyDescent="0.25">
      <c r="A3992" s="720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idden="1" x14ac:dyDescent="0.25">
      <c r="A3993" s="721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idden="1" x14ac:dyDescent="0.25">
      <c r="A3994" s="721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idden="1" x14ac:dyDescent="0.25">
      <c r="A3995" s="721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idden="1" x14ac:dyDescent="0.25">
      <c r="A3996" s="713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idden="1" x14ac:dyDescent="0.25">
      <c r="A3997" s="72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60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idden="1" x14ac:dyDescent="0.25">
      <c r="A4002" s="713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60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idden="1" x14ac:dyDescent="0.25">
      <c r="A4004" s="720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59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idden="1" x14ac:dyDescent="0.25">
      <c r="A4006" s="713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idden="1" x14ac:dyDescent="0.25">
      <c r="A4007" s="72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60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idden="1" x14ac:dyDescent="0.25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idden="1" x14ac:dyDescent="0.25">
      <c r="A4010" s="713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60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idden="1" x14ac:dyDescent="0.25">
      <c r="A4012" s="763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idden="1" x14ac:dyDescent="0.25">
      <c r="A4013" s="764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65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6.25" hidden="1" x14ac:dyDescent="0.25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idden="1" x14ac:dyDescent="0.25">
      <c r="A4019" s="713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idden="1" x14ac:dyDescent="0.25">
      <c r="A4020" s="72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idden="1" x14ac:dyDescent="0.25">
      <c r="A4021" s="72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idden="1" x14ac:dyDescent="0.25">
      <c r="A4022" s="72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idden="1" x14ac:dyDescent="0.25">
      <c r="A4023" s="72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60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7.5" hidden="1" x14ac:dyDescent="0.25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idden="1" x14ac:dyDescent="0.25">
      <c r="A4027" s="720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59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idden="1" x14ac:dyDescent="0.25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idden="1" x14ac:dyDescent="0.25">
      <c r="A4031" s="713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idden="1" x14ac:dyDescent="0.25">
      <c r="A4032" s="72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60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idden="1" x14ac:dyDescent="0.25">
      <c r="A4034" s="720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59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idden="1" x14ac:dyDescent="0.25">
      <c r="A4036" s="713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60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idden="1" x14ac:dyDescent="0.25">
      <c r="A4039" s="713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60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idden="1" x14ac:dyDescent="0.25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idden="1" x14ac:dyDescent="0.25">
      <c r="A4045" s="720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idden="1" x14ac:dyDescent="0.25">
      <c r="A4046" s="721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722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idden="1" x14ac:dyDescent="0.25">
      <c r="A4048" s="713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idden="1" x14ac:dyDescent="0.25">
      <c r="A4049" s="72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14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idden="1" x14ac:dyDescent="0.25">
      <c r="A4053" s="720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722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idden="1" x14ac:dyDescent="0.25">
      <c r="A4055" s="713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17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14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18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idden="1" x14ac:dyDescent="0.25">
      <c r="A4058" s="713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idden="1" x14ac:dyDescent="0.25">
      <c r="A4059" s="72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idden="1" x14ac:dyDescent="0.25">
      <c r="A4064" s="720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15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722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27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idden="1" x14ac:dyDescent="0.25">
      <c r="A4066" s="713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idden="1" x14ac:dyDescent="0.25">
      <c r="A4067" s="72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idden="1" x14ac:dyDescent="0.25">
      <c r="A4068" s="72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idden="1" x14ac:dyDescent="0.25">
      <c r="A4069" s="72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idden="1" x14ac:dyDescent="0.25">
      <c r="A4070" s="72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idden="1" x14ac:dyDescent="0.25">
      <c r="A4071" s="720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722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idden="1" x14ac:dyDescent="0.25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idden="1" x14ac:dyDescent="0.25">
      <c r="A4077" s="713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14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idden="1" x14ac:dyDescent="0.25">
      <c r="A4082" s="713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idden="1" x14ac:dyDescent="0.25">
      <c r="A4083" s="72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14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idden="1" x14ac:dyDescent="0.25">
      <c r="A4085" s="720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722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idden="1" x14ac:dyDescent="0.25">
      <c r="A4087" s="713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idden="1" x14ac:dyDescent="0.25">
      <c r="A4088" s="72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idden="1" x14ac:dyDescent="0.25">
      <c r="A4089" s="72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720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15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721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16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722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27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idden="1" x14ac:dyDescent="0.25">
      <c r="A4096" s="720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722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idden="1" x14ac:dyDescent="0.25">
      <c r="A4099" s="720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idden="1" x14ac:dyDescent="0.25">
      <c r="A4100" s="721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722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7.5" hidden="1" x14ac:dyDescent="0.25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idden="1" x14ac:dyDescent="0.25">
      <c r="A4106" s="713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idden="1" x14ac:dyDescent="0.25">
      <c r="A4107" s="72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14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idden="1" x14ac:dyDescent="0.25">
      <c r="A4109" s="720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idden="1" x14ac:dyDescent="0.25">
      <c r="A4110" s="721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idden="1" x14ac:dyDescent="0.25">
      <c r="A4111" s="721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idden="1" x14ac:dyDescent="0.25">
      <c r="A4112" s="721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idden="1" x14ac:dyDescent="0.25">
      <c r="A4113" s="721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idden="1" x14ac:dyDescent="0.25">
      <c r="A4114" s="713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14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idden="1" x14ac:dyDescent="0.25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idden="1" x14ac:dyDescent="0.25">
      <c r="A4120" s="720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idden="1" x14ac:dyDescent="0.25">
      <c r="A4121" s="721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722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idden="1" x14ac:dyDescent="0.25">
      <c r="A4123" s="713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idden="1" x14ac:dyDescent="0.25">
      <c r="A4124" s="72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idden="1" x14ac:dyDescent="0.25">
      <c r="A4125" s="72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14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idden="1" x14ac:dyDescent="0.25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idden="1" x14ac:dyDescent="0.25">
      <c r="A4131" s="720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722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idden="1" x14ac:dyDescent="0.25">
      <c r="A4133" s="713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idden="1" x14ac:dyDescent="0.25">
      <c r="A4134" s="72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idden="1" x14ac:dyDescent="0.25">
      <c r="A4135" s="72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14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idden="1" x14ac:dyDescent="0.25">
      <c r="A4138" s="713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14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idden="1" x14ac:dyDescent="0.25">
      <c r="A4140" s="720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idden="1" x14ac:dyDescent="0.25">
      <c r="A4141" s="721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idden="1" x14ac:dyDescent="0.25">
      <c r="A4142" s="721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idden="1" x14ac:dyDescent="0.25">
      <c r="A4145" s="713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14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idden="1" x14ac:dyDescent="0.25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idden="1" x14ac:dyDescent="0.25">
      <c r="A4153" s="720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idden="1" x14ac:dyDescent="0.25">
      <c r="A4154" s="721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idden="1" x14ac:dyDescent="0.25">
      <c r="A4155" s="721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idden="1" x14ac:dyDescent="0.25">
      <c r="A4156" s="721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idden="1" x14ac:dyDescent="0.25">
      <c r="A4157" s="721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idden="1" x14ac:dyDescent="0.25">
      <c r="A4158" s="713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14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idden="1" x14ac:dyDescent="0.25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idden="1" x14ac:dyDescent="0.25">
      <c r="A4164" s="720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idden="1" x14ac:dyDescent="0.25">
      <c r="A4165" s="721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722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idden="1" x14ac:dyDescent="0.25">
      <c r="A4167" s="713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14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idden="1" x14ac:dyDescent="0.25">
      <c r="A4169" s="720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722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idden="1" x14ac:dyDescent="0.25">
      <c r="A4171" s="713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14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idden="1" x14ac:dyDescent="0.25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idden="1" x14ac:dyDescent="0.25">
      <c r="A4178" s="713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idden="1" x14ac:dyDescent="0.25">
      <c r="A4179" s="72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14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idden="1" x14ac:dyDescent="0.25">
      <c r="A4182" s="713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14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idden="1" x14ac:dyDescent="0.25">
      <c r="A4184" s="720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722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6.25" hidden="1" x14ac:dyDescent="0.25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idden="1" x14ac:dyDescent="0.25">
      <c r="A4193" s="720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idden="1" x14ac:dyDescent="0.25">
      <c r="A4194" s="721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722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idden="1" x14ac:dyDescent="0.25">
      <c r="A4196" s="713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idden="1" x14ac:dyDescent="0.25">
      <c r="A4197" s="72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idden="1" x14ac:dyDescent="0.25">
      <c r="A4198" s="72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idden="1" x14ac:dyDescent="0.25">
      <c r="A4199" s="72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14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idden="1" x14ac:dyDescent="0.25">
      <c r="A4202" s="713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idden="1" x14ac:dyDescent="0.25">
      <c r="A4203" s="72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idden="1" x14ac:dyDescent="0.25">
      <c r="A4204" s="720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722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idden="1" x14ac:dyDescent="0.25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6.25" hidden="1" x14ac:dyDescent="0.25">
      <c r="A4209" s="720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722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idden="1" x14ac:dyDescent="0.25">
      <c r="A4212" s="720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722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idden="1" x14ac:dyDescent="0.25">
      <c r="A4214" s="713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idden="1" x14ac:dyDescent="0.25">
      <c r="A4215" s="72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14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idden="1" x14ac:dyDescent="0.25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idden="1" x14ac:dyDescent="0.25">
      <c r="A4223" s="720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idden="1" x14ac:dyDescent="0.25">
      <c r="A4224" s="721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idden="1" x14ac:dyDescent="0.25">
      <c r="A4225" s="721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722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idden="1" x14ac:dyDescent="0.25">
      <c r="A4227" s="713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idden="1" x14ac:dyDescent="0.25">
      <c r="A4228" s="72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14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13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17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14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18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idden="1" x14ac:dyDescent="0.25">
      <c r="A4233" s="720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idden="1" x14ac:dyDescent="0.25">
      <c r="A4234" s="721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722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idden="1" x14ac:dyDescent="0.25">
      <c r="A4237" s="720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idden="1" x14ac:dyDescent="0.25">
      <c r="A4238" s="721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722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idden="1" x14ac:dyDescent="0.25">
      <c r="A4240" s="713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idden="1" x14ac:dyDescent="0.25">
      <c r="A4241" s="72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idden="1" x14ac:dyDescent="0.25">
      <c r="A4242" s="72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14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idden="1" x14ac:dyDescent="0.25">
      <c r="A4245" s="713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14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6.25" hidden="1" x14ac:dyDescent="0.25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720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15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721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16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721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16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722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27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idden="1" x14ac:dyDescent="0.25">
      <c r="A4255" s="713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idden="1" x14ac:dyDescent="0.25">
      <c r="A4256" s="72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14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7.5" hidden="1" x14ac:dyDescent="0.25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idden="1" x14ac:dyDescent="0.25">
      <c r="A4259" s="713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14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idden="1" x14ac:dyDescent="0.25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idden="1" x14ac:dyDescent="0.25">
      <c r="A4267" s="720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idden="1" x14ac:dyDescent="0.25">
      <c r="A4268" s="721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722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idden="1" x14ac:dyDescent="0.25">
      <c r="A4270" s="713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14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idden="1" x14ac:dyDescent="0.25">
      <c r="A4272" s="720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idden="1" x14ac:dyDescent="0.25">
      <c r="A4273" s="721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idden="1" x14ac:dyDescent="0.25">
      <c r="A4274" s="721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720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15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722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27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idden="1" x14ac:dyDescent="0.25">
      <c r="A4282" s="713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14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idden="1" x14ac:dyDescent="0.25">
      <c r="A4284" s="720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idden="1" x14ac:dyDescent="0.25">
      <c r="A4285" s="721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722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idden="1" x14ac:dyDescent="0.25">
      <c r="A4288" s="720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722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idden="1" x14ac:dyDescent="0.25">
      <c r="A4290" s="713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14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idden="1" x14ac:dyDescent="0.25">
      <c r="A4292" s="720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idden="1" x14ac:dyDescent="0.25">
      <c r="A4293" s="721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idden="1" x14ac:dyDescent="0.25">
      <c r="A4298" s="713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14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idden="1" x14ac:dyDescent="0.25">
      <c r="A4300" s="720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idden="1" x14ac:dyDescent="0.25">
      <c r="A4301" s="721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idden="1" x14ac:dyDescent="0.25">
      <c r="A4302" s="721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idden="1" x14ac:dyDescent="0.25">
      <c r="A4303" s="721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idden="1" x14ac:dyDescent="0.25">
      <c r="A4304" s="721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idden="1" x14ac:dyDescent="0.25">
      <c r="A4305" s="713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idden="1" x14ac:dyDescent="0.25">
      <c r="A4306" s="72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14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idden="1" x14ac:dyDescent="0.25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idden="1" x14ac:dyDescent="0.25">
      <c r="A4311" s="713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17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idden="1" x14ac:dyDescent="0.25">
      <c r="A4312" s="72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19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idden="1" x14ac:dyDescent="0.25">
      <c r="A4313" s="72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19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14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18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idden="1" x14ac:dyDescent="0.25">
      <c r="A4315" s="720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722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idden="1" x14ac:dyDescent="0.25">
      <c r="A4317" s="713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14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idden="1" x14ac:dyDescent="0.25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idden="1" x14ac:dyDescent="0.25">
      <c r="A4322" s="713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14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idden="1" x14ac:dyDescent="0.25">
      <c r="A4324" s="720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idden="1" x14ac:dyDescent="0.25">
      <c r="A4325" s="721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722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idden="1" x14ac:dyDescent="0.25">
      <c r="A4329" s="713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14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720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15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722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27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idden="1" x14ac:dyDescent="0.25">
      <c r="A4334" s="720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idden="1" x14ac:dyDescent="0.25">
      <c r="A4335" s="721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idden="1" x14ac:dyDescent="0.25">
      <c r="A4339" s="720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idden="1" x14ac:dyDescent="0.25">
      <c r="A4340" s="721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idden="1" x14ac:dyDescent="0.25">
      <c r="A4341" s="721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idden="1" x14ac:dyDescent="0.25">
      <c r="A4342" s="721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idden="1" x14ac:dyDescent="0.25">
      <c r="A4343" s="721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722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idden="1" x14ac:dyDescent="0.25">
      <c r="A4345" s="713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idden="1" x14ac:dyDescent="0.25">
      <c r="A4346" s="72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idden="1" x14ac:dyDescent="0.25">
      <c r="A4347" s="720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idden="1" x14ac:dyDescent="0.25">
      <c r="A4348" s="721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722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idden="1" x14ac:dyDescent="0.25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6.25" hidden="1" x14ac:dyDescent="0.25">
      <c r="A4354" s="713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14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idden="1" x14ac:dyDescent="0.25">
      <c r="A4357" s="713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idden="1" x14ac:dyDescent="0.25">
      <c r="A4358" s="72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14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idden="1" x14ac:dyDescent="0.25">
      <c r="A4360" s="720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idden="1" x14ac:dyDescent="0.25">
      <c r="A4361" s="721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722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idden="1" x14ac:dyDescent="0.25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idden="1" x14ac:dyDescent="0.25">
      <c r="A4367" s="713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idden="1" x14ac:dyDescent="0.25">
      <c r="A4368" s="72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14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idden="1" x14ac:dyDescent="0.25">
      <c r="A4370" s="720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idden="1" x14ac:dyDescent="0.25">
      <c r="A4371" s="721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722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idden="1" x14ac:dyDescent="0.25">
      <c r="A4374" s="720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722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idden="1" x14ac:dyDescent="0.25">
      <c r="A4376" s="713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14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6.25" hidden="1" x14ac:dyDescent="0.25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6.25" hidden="1" x14ac:dyDescent="0.25">
      <c r="A4384" s="720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6.25" hidden="1" x14ac:dyDescent="0.25">
      <c r="A4385" s="721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7" hidden="1" thickBot="1" x14ac:dyDescent="0.3">
      <c r="A4386" s="722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6.25" hidden="1" x14ac:dyDescent="0.25">
      <c r="A4387" s="713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6.25" hidden="1" x14ac:dyDescent="0.25">
      <c r="A4388" s="72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6.25" hidden="1" x14ac:dyDescent="0.25">
      <c r="A4389" s="72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7" hidden="1" thickBot="1" x14ac:dyDescent="0.3">
      <c r="A4390" s="714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6.25" hidden="1" x14ac:dyDescent="0.25">
      <c r="A4391" s="720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15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7" hidden="1" thickBot="1" x14ac:dyDescent="0.3">
      <c r="A4392" s="721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27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idden="1" x14ac:dyDescent="0.25">
      <c r="A4393" s="713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idden="1" x14ac:dyDescent="0.25">
      <c r="A4394" s="72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14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idden="1" x14ac:dyDescent="0.25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idden="1" x14ac:dyDescent="0.25">
      <c r="A4400" s="720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722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idden="1" x14ac:dyDescent="0.25">
      <c r="A4402" s="713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idden="1" x14ac:dyDescent="0.25">
      <c r="A4403" s="72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idden="1" x14ac:dyDescent="0.25">
      <c r="A4404" s="72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idden="1" x14ac:dyDescent="0.25">
      <c r="A4405" s="72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idden="1" x14ac:dyDescent="0.25">
      <c r="A4406" s="720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722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idden="1" x14ac:dyDescent="0.25">
      <c r="A4414" s="713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14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idden="1" x14ac:dyDescent="0.25">
      <c r="A4416" s="720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idden="1" x14ac:dyDescent="0.25">
      <c r="A4417" s="721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idden="1" x14ac:dyDescent="0.25">
      <c r="A4418" s="721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7" hidden="1" thickBot="1" x14ac:dyDescent="0.3">
      <c r="A4419" s="722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idden="1" x14ac:dyDescent="0.25">
      <c r="A4422" s="713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14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idden="1" x14ac:dyDescent="0.25">
      <c r="A4424" s="720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722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idden="1" x14ac:dyDescent="0.25">
      <c r="A4427" s="720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722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idden="1" x14ac:dyDescent="0.25">
      <c r="A4429" s="713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14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idden="1" x14ac:dyDescent="0.25">
      <c r="A4431" s="720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idden="1" x14ac:dyDescent="0.25">
      <c r="A4432" s="721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idden="1" x14ac:dyDescent="0.25">
      <c r="A4437" s="713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idden="1" x14ac:dyDescent="0.25">
      <c r="A4438" s="72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idden="1" x14ac:dyDescent="0.25">
      <c r="A4439" s="72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14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idden="1" x14ac:dyDescent="0.25">
      <c r="A4442" s="713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14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idden="1" x14ac:dyDescent="0.25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idden="1" x14ac:dyDescent="0.25">
      <c r="A4445" s="713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idden="1" x14ac:dyDescent="0.25">
      <c r="A4446" s="72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idden="1" x14ac:dyDescent="0.25">
      <c r="A4447" s="72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14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idden="1" x14ac:dyDescent="0.25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idden="1" x14ac:dyDescent="0.25">
      <c r="A4453" s="720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722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idden="1" x14ac:dyDescent="0.25">
      <c r="A4456" s="720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722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idden="1" x14ac:dyDescent="0.25">
      <c r="A4458" s="713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idden="1" x14ac:dyDescent="0.25">
      <c r="A4459" s="72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14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idden="1" x14ac:dyDescent="0.25">
      <c r="A4461" s="720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idden="1" x14ac:dyDescent="0.25">
      <c r="A4462" s="721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722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idden="1" x14ac:dyDescent="0.25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idden="1" x14ac:dyDescent="0.25">
      <c r="A4473" s="720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idden="1" x14ac:dyDescent="0.25">
      <c r="A4474" s="721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722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idden="1" x14ac:dyDescent="0.25">
      <c r="A4477" s="720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idden="1" x14ac:dyDescent="0.25">
      <c r="A4478" s="721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722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idden="1" x14ac:dyDescent="0.25">
      <c r="A4480" s="713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14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25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idden="1" x14ac:dyDescent="0.25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idden="1" x14ac:dyDescent="0.25">
      <c r="A4489" s="713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idden="1" x14ac:dyDescent="0.25">
      <c r="A4490" s="72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idden="1" x14ac:dyDescent="0.25">
      <c r="A4491" s="72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14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idden="1" x14ac:dyDescent="0.25">
      <c r="A4493" s="720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15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idden="1" x14ac:dyDescent="0.25">
      <c r="A4494" s="721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16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idden="1" x14ac:dyDescent="0.25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idden="1" x14ac:dyDescent="0.25">
      <c r="A4499" s="713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14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idden="1" x14ac:dyDescent="0.25">
      <c r="A4501" s="720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722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idden="1" x14ac:dyDescent="0.25">
      <c r="A4503" s="713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14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idden="1" x14ac:dyDescent="0.25">
      <c r="A4505" s="720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722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idden="1" x14ac:dyDescent="0.25">
      <c r="A4507" s="713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14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idden="1" x14ac:dyDescent="0.25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idden="1" x14ac:dyDescent="0.25">
      <c r="A4512" s="713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idden="1" x14ac:dyDescent="0.25">
      <c r="A4513" s="72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14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idden="1" x14ac:dyDescent="0.25">
      <c r="A4515" s="720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722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idden="1" x14ac:dyDescent="0.25">
      <c r="A4517" s="713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14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idden="1" x14ac:dyDescent="0.25">
      <c r="A4521" s="720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idden="1" x14ac:dyDescent="0.25">
      <c r="A4522" s="721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722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idden="1" x14ac:dyDescent="0.25">
      <c r="A4524" s="713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idden="1" x14ac:dyDescent="0.25">
      <c r="A4525" s="72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14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idden="1" x14ac:dyDescent="0.25">
      <c r="A4527" s="720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722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idden="1" x14ac:dyDescent="0.25">
      <c r="A4529" s="713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14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idden="1" x14ac:dyDescent="0.25">
      <c r="A4532" s="713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idden="1" x14ac:dyDescent="0.25">
      <c r="A4533" s="72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idden="1" x14ac:dyDescent="0.25">
      <c r="A4536" s="720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idden="1" x14ac:dyDescent="0.25">
      <c r="A4537" s="721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722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idden="1" x14ac:dyDescent="0.25">
      <c r="A4539" s="713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idden="1" x14ac:dyDescent="0.25">
      <c r="A4540" s="72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14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idden="1" x14ac:dyDescent="0.25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idden="1" x14ac:dyDescent="0.25">
      <c r="A4543" s="713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14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idden="1" x14ac:dyDescent="0.25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idden="1" x14ac:dyDescent="0.25">
      <c r="A4548" s="713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14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idden="1" x14ac:dyDescent="0.25">
      <c r="A4550" s="720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722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idden="1" x14ac:dyDescent="0.25">
      <c r="A4552" s="713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14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idden="1" x14ac:dyDescent="0.25">
      <c r="A4554" s="720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722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idden="1" x14ac:dyDescent="0.25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idden="1" x14ac:dyDescent="0.25">
      <c r="A4560" s="713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idden="1" x14ac:dyDescent="0.25">
      <c r="A4561" s="72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14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idden="1" x14ac:dyDescent="0.25">
      <c r="A4563" s="720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idden="1" x14ac:dyDescent="0.25">
      <c r="A4564" s="721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722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idden="1" x14ac:dyDescent="0.25">
      <c r="A4567" s="720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idden="1" x14ac:dyDescent="0.25">
      <c r="A4568" s="721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722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idden="1" x14ac:dyDescent="0.25">
      <c r="A4570" s="713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14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idden="1" x14ac:dyDescent="0.25">
      <c r="A4572" s="720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idden="1" x14ac:dyDescent="0.25">
      <c r="A4573" s="721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722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7.5" hidden="1" x14ac:dyDescent="0.25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13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17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2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19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14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18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idden="1" x14ac:dyDescent="0.25">
      <c r="A4582" s="720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idden="1" x14ac:dyDescent="0.25">
      <c r="A4583" s="721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722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93.75" hidden="1" x14ac:dyDescent="0.25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idden="1" x14ac:dyDescent="0.25">
      <c r="A4586" s="720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722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idden="1" x14ac:dyDescent="0.25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idden="1" x14ac:dyDescent="0.25">
      <c r="A4591" s="720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722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idden="1" x14ac:dyDescent="0.25">
      <c r="A4593" s="713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idden="1" x14ac:dyDescent="0.25">
      <c r="A4594" s="72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14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idden="1" x14ac:dyDescent="0.25">
      <c r="A4597" s="713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14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idden="1" x14ac:dyDescent="0.25">
      <c r="A4601" s="720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idden="1" x14ac:dyDescent="0.25">
      <c r="A4602" s="721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idden="1" x14ac:dyDescent="0.25">
      <c r="A4605" s="713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idden="1" x14ac:dyDescent="0.25">
      <c r="A4606" s="72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idden="1" x14ac:dyDescent="0.25">
      <c r="A4607" s="72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14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idden="1" x14ac:dyDescent="0.25">
      <c r="A4610" s="713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14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13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17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14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18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idden="1" x14ac:dyDescent="0.25">
      <c r="A4617" s="720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722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idden="1" x14ac:dyDescent="0.25">
      <c r="A4622" s="720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idden="1" x14ac:dyDescent="0.25">
      <c r="A4623" s="721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idden="1" x14ac:dyDescent="0.25">
      <c r="A4627" s="720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722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idden="1" x14ac:dyDescent="0.25">
      <c r="A4629" s="713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idden="1" x14ac:dyDescent="0.25">
      <c r="A4630" s="72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idden="1" x14ac:dyDescent="0.25">
      <c r="A4631" s="72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14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idden="1" x14ac:dyDescent="0.25">
      <c r="A4633" s="720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idden="1" x14ac:dyDescent="0.25">
      <c r="A4634" s="721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idden="1" x14ac:dyDescent="0.25">
      <c r="A4635" s="713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14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idden="1" x14ac:dyDescent="0.25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6.25" hidden="1" x14ac:dyDescent="0.25">
      <c r="A4640" s="713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14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idden="1" x14ac:dyDescent="0.25">
      <c r="A4643" s="713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idden="1" x14ac:dyDescent="0.25">
      <c r="A4644" s="72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14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idden="1" x14ac:dyDescent="0.25">
      <c r="A4646" s="720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idden="1" x14ac:dyDescent="0.25">
      <c r="A4647" s="721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722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idden="1" x14ac:dyDescent="0.25">
      <c r="A4649" s="713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14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idden="1" x14ac:dyDescent="0.25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idden="1" x14ac:dyDescent="0.25">
      <c r="A4653" s="720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idden="1" x14ac:dyDescent="0.25">
      <c r="A4654" s="721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722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idden="1" x14ac:dyDescent="0.25">
      <c r="A4656" s="713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14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idden="1" x14ac:dyDescent="0.25">
      <c r="A4662" s="720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722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idden="1" x14ac:dyDescent="0.25">
      <c r="A4664" s="713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14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720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721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722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2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2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720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721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13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14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720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721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721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722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13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14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720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722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13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14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idden="1" x14ac:dyDescent="0.25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13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17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14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18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idden="1" x14ac:dyDescent="0.25">
      <c r="A4703" s="713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idden="1" x14ac:dyDescent="0.25">
      <c r="A4704" s="72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14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idden="1" x14ac:dyDescent="0.25">
      <c r="A4706" s="720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idden="1" x14ac:dyDescent="0.25">
      <c r="A4707" s="721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722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idden="1" x14ac:dyDescent="0.25">
      <c r="A4709" s="713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idden="1" x14ac:dyDescent="0.25">
      <c r="A4710" s="72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14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idden="1" x14ac:dyDescent="0.25">
      <c r="A4714" s="720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idden="1" x14ac:dyDescent="0.25">
      <c r="A4715" s="721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idden="1" x14ac:dyDescent="0.25">
      <c r="A4719" s="720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722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idden="1" x14ac:dyDescent="0.25">
      <c r="A4721" s="713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idden="1" x14ac:dyDescent="0.25">
      <c r="A4722" s="72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idden="1" x14ac:dyDescent="0.25">
      <c r="A4723" s="720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722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idden="1" x14ac:dyDescent="0.25">
      <c r="A4727" s="713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14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720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15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721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16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721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16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722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27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720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721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722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720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15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722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27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13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2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13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2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14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720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721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722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13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17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14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18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13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14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idden="1" x14ac:dyDescent="0.25">
      <c r="A4756" s="720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idden="1" x14ac:dyDescent="0.25">
      <c r="A4757" s="721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idden="1" x14ac:dyDescent="0.25">
      <c r="A4761" s="720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idden="1" x14ac:dyDescent="0.25">
      <c r="A4762" s="721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idden="1" x14ac:dyDescent="0.25">
      <c r="A4763" s="721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722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idden="1" x14ac:dyDescent="0.25">
      <c r="A4765" s="713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17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idden="1" x14ac:dyDescent="0.25">
      <c r="A4766" s="72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19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idden="1" x14ac:dyDescent="0.25">
      <c r="A4767" s="720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722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idden="1" x14ac:dyDescent="0.25">
      <c r="A4770" s="720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722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idden="1" x14ac:dyDescent="0.25">
      <c r="A4772" s="713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14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idden="1" x14ac:dyDescent="0.25">
      <c r="A4774" s="720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722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13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17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14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18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idden="1" x14ac:dyDescent="0.25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idden="1" x14ac:dyDescent="0.25">
      <c r="A4785" s="713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idden="1" x14ac:dyDescent="0.25">
      <c r="A4786" s="72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14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idden="1" x14ac:dyDescent="0.25">
      <c r="A4788" s="720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idden="1" x14ac:dyDescent="0.25">
      <c r="A4789" s="721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722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720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15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722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27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idden="1" x14ac:dyDescent="0.25">
      <c r="A4794" s="713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14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idden="1" x14ac:dyDescent="0.25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idden="1" x14ac:dyDescent="0.25">
      <c r="A4799" s="713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idden="1" x14ac:dyDescent="0.25">
      <c r="A4800" s="72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idden="1" x14ac:dyDescent="0.25">
      <c r="A4806" s="713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14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idden="1" x14ac:dyDescent="0.25">
      <c r="A4808" s="720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idden="1" x14ac:dyDescent="0.25">
      <c r="A4809" s="721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idden="1" x14ac:dyDescent="0.25">
      <c r="A4810" s="721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idden="1" x14ac:dyDescent="0.25">
      <c r="A4811" s="721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idden="1" x14ac:dyDescent="0.25">
      <c r="A4812" s="713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14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idden="1" x14ac:dyDescent="0.25">
      <c r="A4816" s="720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722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idden="1" x14ac:dyDescent="0.25">
      <c r="A4818" s="713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14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idden="1" x14ac:dyDescent="0.25">
      <c r="A4820" s="720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15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idden="1" x14ac:dyDescent="0.25">
      <c r="A4821" s="721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16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722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27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idden="1" x14ac:dyDescent="0.25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idden="1" x14ac:dyDescent="0.25">
      <c r="A4825" s="713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14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idden="1" x14ac:dyDescent="0.25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idden="1" x14ac:dyDescent="0.25">
      <c r="A4830" s="713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17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14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18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idden="1" x14ac:dyDescent="0.25">
      <c r="A4832" s="720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722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idden="1" x14ac:dyDescent="0.25">
      <c r="A4834" s="713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idden="1" x14ac:dyDescent="0.25">
      <c r="A4835" s="72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idden="1" x14ac:dyDescent="0.25">
      <c r="A4836" s="72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14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720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15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722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27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idden="1" x14ac:dyDescent="0.25">
      <c r="A4840" s="713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14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idden="1" x14ac:dyDescent="0.25">
      <c r="A4842" s="720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722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idden="1" x14ac:dyDescent="0.25">
      <c r="A4844" s="713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14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idden="1" x14ac:dyDescent="0.25">
      <c r="A4846" s="720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idden="1" x14ac:dyDescent="0.25">
      <c r="A4847" s="721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7.5" hidden="1" x14ac:dyDescent="0.25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idden="1" x14ac:dyDescent="0.25">
      <c r="A4854" s="713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17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14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18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idden="1" x14ac:dyDescent="0.25">
      <c r="A4856" s="720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idden="1" x14ac:dyDescent="0.25">
      <c r="A4857" s="721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idden="1" x14ac:dyDescent="0.25">
      <c r="A4858" s="721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idden="1" x14ac:dyDescent="0.25">
      <c r="A4859" s="713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14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13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17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14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18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idden="1" x14ac:dyDescent="0.25">
      <c r="A4868" s="720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idden="1" x14ac:dyDescent="0.25">
      <c r="A4869" s="721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idden="1" x14ac:dyDescent="0.25">
      <c r="A4870" s="721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722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idden="1" x14ac:dyDescent="0.25">
      <c r="A4872" s="713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14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idden="1" x14ac:dyDescent="0.25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idden="1" x14ac:dyDescent="0.25">
      <c r="A4878" s="720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idden="1" x14ac:dyDescent="0.25">
      <c r="A4879" s="721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722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idden="1" x14ac:dyDescent="0.25">
      <c r="A4881" s="713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idden="1" x14ac:dyDescent="0.25">
      <c r="A4882" s="72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idden="1" x14ac:dyDescent="0.25">
      <c r="A4883" s="72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14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idden="1" x14ac:dyDescent="0.25">
      <c r="A4887" s="720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722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idden="1" x14ac:dyDescent="0.25">
      <c r="A4889" s="713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14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idden="1" x14ac:dyDescent="0.25">
      <c r="A4891" s="720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722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13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17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14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18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idden="1" x14ac:dyDescent="0.25">
      <c r="A4897" s="720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idden="1" x14ac:dyDescent="0.25">
      <c r="A4898" s="721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idden="1" x14ac:dyDescent="0.25">
      <c r="A4900" s="720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idden="1" x14ac:dyDescent="0.25">
      <c r="A4901" s="721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722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13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17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25">
      <c r="A4904" s="72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19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idden="1" x14ac:dyDescent="0.25">
      <c r="A4905" s="720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722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idden="1" x14ac:dyDescent="0.25">
      <c r="A4908" s="720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idden="1" x14ac:dyDescent="0.25">
      <c r="A4909" s="721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722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idden="1" x14ac:dyDescent="0.25">
      <c r="A4911" s="713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idden="1" x14ac:dyDescent="0.25">
      <c r="A4912" s="72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14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idden="1" x14ac:dyDescent="0.25">
      <c r="A4917" s="713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14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idden="1" x14ac:dyDescent="0.25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idden="1" x14ac:dyDescent="0.25">
      <c r="A4924" s="713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14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idden="1" x14ac:dyDescent="0.25">
      <c r="A4926" s="720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idden="1" x14ac:dyDescent="0.25">
      <c r="A4927" s="721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idden="1" x14ac:dyDescent="0.25">
      <c r="A4928" s="721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722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idden="1" x14ac:dyDescent="0.25">
      <c r="A4930" s="713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17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14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18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idden="1" x14ac:dyDescent="0.25">
      <c r="A4933" s="713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14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720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15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722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27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idden="1" x14ac:dyDescent="0.25">
      <c r="A4939" s="713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idden="1" x14ac:dyDescent="0.25">
      <c r="A4940" s="72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idden="1" x14ac:dyDescent="0.25">
      <c r="A4941" s="72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idden="1" x14ac:dyDescent="0.25">
      <c r="A4942" s="720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722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idden="1" x14ac:dyDescent="0.25">
      <c r="A4946" s="713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14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idden="1" x14ac:dyDescent="0.25">
      <c r="A4948" s="720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722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13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17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14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18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idden="1" x14ac:dyDescent="0.25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idden="1" x14ac:dyDescent="0.25">
      <c r="A4954" s="720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722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idden="1" x14ac:dyDescent="0.25">
      <c r="A4956" s="713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14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idden="1" x14ac:dyDescent="0.25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idden="1" x14ac:dyDescent="0.25">
      <c r="A4960" s="720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15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722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27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idden="1" x14ac:dyDescent="0.25">
      <c r="A4964" s="713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14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idden="1" x14ac:dyDescent="0.25">
      <c r="A4966" s="720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idden="1" x14ac:dyDescent="0.25">
      <c r="A4967" s="721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722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idden="1" x14ac:dyDescent="0.25">
      <c r="A4969" s="713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14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idden="1" x14ac:dyDescent="0.25">
      <c r="A4971" s="720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idden="1" x14ac:dyDescent="0.25">
      <c r="A4972" s="721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722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idden="1" x14ac:dyDescent="0.25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idden="1" x14ac:dyDescent="0.25">
      <c r="A4977" s="720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15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722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27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idden="1" x14ac:dyDescent="0.25">
      <c r="A4979" s="713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idden="1" x14ac:dyDescent="0.25">
      <c r="A4980" s="72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idden="1" x14ac:dyDescent="0.25">
      <c r="A4983" s="720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idden="1" x14ac:dyDescent="0.25">
      <c r="A4984" s="721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idden="1" x14ac:dyDescent="0.25">
      <c r="A4985" s="721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idden="1" x14ac:dyDescent="0.25">
      <c r="A4986" s="713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14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idden="1" x14ac:dyDescent="0.25">
      <c r="A4989" s="713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idden="1" x14ac:dyDescent="0.25">
      <c r="A4990" s="72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14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idden="1" x14ac:dyDescent="0.25">
      <c r="A4992" s="720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idden="1" x14ac:dyDescent="0.25">
      <c r="A4993" s="721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722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720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15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722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27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idden="1" x14ac:dyDescent="0.25">
      <c r="A4999" s="720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15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722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27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idden="1" x14ac:dyDescent="0.25">
      <c r="A5001" s="713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idden="1" x14ac:dyDescent="0.25">
      <c r="A5002" s="72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idden="1" x14ac:dyDescent="0.25">
      <c r="A5006" s="713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idden="1" x14ac:dyDescent="0.25">
      <c r="A5007" s="72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14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idden="1" x14ac:dyDescent="0.25">
      <c r="A5009" s="720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idden="1" x14ac:dyDescent="0.25">
      <c r="A5010" s="721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722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idden="1" x14ac:dyDescent="0.25">
      <c r="A5012" s="713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14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idden="1" x14ac:dyDescent="0.25">
      <c r="A5014" s="720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722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idden="1" x14ac:dyDescent="0.25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720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15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722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27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idden="1" x14ac:dyDescent="0.25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idden="1" x14ac:dyDescent="0.25">
      <c r="A5026" s="720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idden="1" x14ac:dyDescent="0.25">
      <c r="A5027" s="721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idden="1" x14ac:dyDescent="0.25">
      <c r="A5028" s="721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idden="1" x14ac:dyDescent="0.25">
      <c r="A5029" s="713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14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720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15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722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27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idden="1" x14ac:dyDescent="0.25">
      <c r="A5037" s="713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14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idden="1" x14ac:dyDescent="0.25">
      <c r="A5039" s="720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idden="1" x14ac:dyDescent="0.25">
      <c r="A5040" s="721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722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idden="1" x14ac:dyDescent="0.25">
      <c r="A5042" s="713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17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idden="1" x14ac:dyDescent="0.25">
      <c r="A5043" s="72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19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idden="1" x14ac:dyDescent="0.25">
      <c r="A5044" s="72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19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idden="1" x14ac:dyDescent="0.25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idden="1" x14ac:dyDescent="0.25">
      <c r="A5047" s="720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15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722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27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idden="1" x14ac:dyDescent="0.25">
      <c r="A5049" s="72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idden="1" x14ac:dyDescent="0.25">
      <c r="A5050" s="72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idden="1" x14ac:dyDescent="0.25">
      <c r="A5051" s="72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idden="1" x14ac:dyDescent="0.25">
      <c r="A5052" s="72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idden="1" x14ac:dyDescent="0.25">
      <c r="A5054" s="72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idden="1" x14ac:dyDescent="0.25">
      <c r="A5055" s="72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idden="1" x14ac:dyDescent="0.25">
      <c r="A5059" s="713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idden="1" x14ac:dyDescent="0.25">
      <c r="A5060" s="72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idden="1" x14ac:dyDescent="0.25">
      <c r="A5063" s="720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722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idden="1" x14ac:dyDescent="0.25">
      <c r="A5065" s="713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17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idden="1" x14ac:dyDescent="0.25">
      <c r="A5066" s="72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66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idden="1" x14ac:dyDescent="0.25">
      <c r="A5067" s="72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idden="1" x14ac:dyDescent="0.25">
      <c r="A5068" s="72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idden="1" x14ac:dyDescent="0.25">
      <c r="A5069" s="72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7.5" hidden="1" x14ac:dyDescent="0.25">
      <c r="A5070" s="720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722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idden="1" x14ac:dyDescent="0.25">
      <c r="A5074" s="713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idden="1" x14ac:dyDescent="0.25">
      <c r="A5075" s="72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14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idden="1" x14ac:dyDescent="0.25">
      <c r="A5077" s="720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722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idden="1" x14ac:dyDescent="0.25">
      <c r="A5079" s="713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14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idden="1" x14ac:dyDescent="0.25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6.25" hidden="1" x14ac:dyDescent="0.25">
      <c r="A5082" s="713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14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idden="1" x14ac:dyDescent="0.25">
      <c r="A5084" s="720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15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idden="1" x14ac:dyDescent="0.25">
      <c r="A5085" s="721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16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722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27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idden="1" x14ac:dyDescent="0.25">
      <c r="A5087" s="713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2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idden="1" x14ac:dyDescent="0.25">
      <c r="A5091" s="720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15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722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27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idden="1" x14ac:dyDescent="0.25">
      <c r="A5094" s="720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idden="1" x14ac:dyDescent="0.25">
      <c r="A5095" s="721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idden="1" x14ac:dyDescent="0.25">
      <c r="A5096" s="721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722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idden="1" x14ac:dyDescent="0.25">
      <c r="A5099" s="720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idden="1" x14ac:dyDescent="0.25">
      <c r="A5100" s="721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722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idden="1" x14ac:dyDescent="0.25">
      <c r="A5102" s="713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idden="1" x14ac:dyDescent="0.25">
      <c r="A5103" s="72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14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7.5" hidden="1" x14ac:dyDescent="0.25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idden="1" x14ac:dyDescent="0.25">
      <c r="A5110" s="713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17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idden="1" x14ac:dyDescent="0.25">
      <c r="A5111" s="72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19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idden="1" x14ac:dyDescent="0.25">
      <c r="A5112" s="72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19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idden="1" x14ac:dyDescent="0.25">
      <c r="A5113" s="72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19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idden="1" x14ac:dyDescent="0.25">
      <c r="A5114" s="720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722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idden="1" x14ac:dyDescent="0.25">
      <c r="A5116" s="713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17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14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18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idden="1" x14ac:dyDescent="0.25">
      <c r="A5121" s="713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14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idden="1" x14ac:dyDescent="0.25">
      <c r="A5123" s="720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idden="1" x14ac:dyDescent="0.25">
      <c r="A5124" s="721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722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idden="1" x14ac:dyDescent="0.25">
      <c r="A5126" s="713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17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14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18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idden="1" x14ac:dyDescent="0.25">
      <c r="A5128" s="720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idden="1" x14ac:dyDescent="0.25">
      <c r="A5129" s="721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idden="1" x14ac:dyDescent="0.25">
      <c r="A5134" s="713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idden="1" x14ac:dyDescent="0.25">
      <c r="A5135" s="72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idden="1" x14ac:dyDescent="0.25">
      <c r="A5136" s="72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14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idden="1" x14ac:dyDescent="0.25">
      <c r="A5138" s="720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722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13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17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14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18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idden="1" x14ac:dyDescent="0.25">
      <c r="A5142" s="720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idden="1" x14ac:dyDescent="0.25">
      <c r="A5143" s="721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722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idden="1" x14ac:dyDescent="0.25">
      <c r="A5146" s="720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idden="1" x14ac:dyDescent="0.25">
      <c r="A5147" s="721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idden="1" x14ac:dyDescent="0.25">
      <c r="A5150" s="713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idden="1" x14ac:dyDescent="0.25">
      <c r="A5151" s="72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idden="1" x14ac:dyDescent="0.25">
      <c r="A5152" s="72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idden="1" x14ac:dyDescent="0.25">
      <c r="A5153" s="720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722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idden="1" x14ac:dyDescent="0.25">
      <c r="A5156" s="720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idden="1" x14ac:dyDescent="0.25">
      <c r="A5157" s="721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idden="1" x14ac:dyDescent="0.25">
      <c r="A5158" s="721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722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idden="1" x14ac:dyDescent="0.25">
      <c r="A5161" s="720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722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idden="1" x14ac:dyDescent="0.25">
      <c r="A5164" s="720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idden="1" x14ac:dyDescent="0.25">
      <c r="A5165" s="721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idden="1" x14ac:dyDescent="0.25">
      <c r="A5172" s="713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idden="1" x14ac:dyDescent="0.25">
      <c r="A5173" s="72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6.25" hidden="1" x14ac:dyDescent="0.25">
      <c r="A5174" s="72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14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idden="1" x14ac:dyDescent="0.25">
      <c r="A5176" s="720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idden="1" x14ac:dyDescent="0.25">
      <c r="A5177" s="721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722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idden="1" x14ac:dyDescent="0.25">
      <c r="A5179" s="713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14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idden="1" x14ac:dyDescent="0.25">
      <c r="A5181" s="720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722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idden="1" x14ac:dyDescent="0.25">
      <c r="A5183" s="713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14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idden="1" x14ac:dyDescent="0.25">
      <c r="A5188" s="713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17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2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19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idden="1" x14ac:dyDescent="0.25">
      <c r="A5192" s="720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idden="1" x14ac:dyDescent="0.25">
      <c r="A5193" s="721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idden="1" x14ac:dyDescent="0.25">
      <c r="A5194" s="721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722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idden="1" x14ac:dyDescent="0.25">
      <c r="A5196" s="713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17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14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18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idden="1" x14ac:dyDescent="0.25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idden="1" x14ac:dyDescent="0.25">
      <c r="A5199" s="713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14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13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17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14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18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idden="1" x14ac:dyDescent="0.25">
      <c r="A5205" s="713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idden="1" x14ac:dyDescent="0.25">
      <c r="A5206" s="72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14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idden="1" x14ac:dyDescent="0.25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idden="1" x14ac:dyDescent="0.25">
      <c r="A5210" s="720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722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idden="1" x14ac:dyDescent="0.25">
      <c r="A5212" s="713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14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idden="1" x14ac:dyDescent="0.25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idden="1" x14ac:dyDescent="0.25">
      <c r="A5216" s="720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15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722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27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idden="1" x14ac:dyDescent="0.25">
      <c r="A5219" s="720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idden="1" x14ac:dyDescent="0.25">
      <c r="A5220" s="721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722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idden="1" x14ac:dyDescent="0.25">
      <c r="A5222" s="713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idden="1" x14ac:dyDescent="0.25">
      <c r="A5223" s="72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idden="1" x14ac:dyDescent="0.25">
      <c r="A5224" s="72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14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idden="1" x14ac:dyDescent="0.25">
      <c r="A5226" s="720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idden="1" x14ac:dyDescent="0.25">
      <c r="A5227" s="721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722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idden="1" x14ac:dyDescent="0.25">
      <c r="A5229" s="713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idden="1" x14ac:dyDescent="0.25">
      <c r="A5230" s="72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idden="1" x14ac:dyDescent="0.25">
      <c r="A5232" s="713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17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14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18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idden="1" x14ac:dyDescent="0.25">
      <c r="A5234" s="720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idden="1" x14ac:dyDescent="0.25">
      <c r="A5235" s="721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idden="1" x14ac:dyDescent="0.25">
      <c r="A5240" s="713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idden="1" x14ac:dyDescent="0.25">
      <c r="A5241" s="72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idden="1" x14ac:dyDescent="0.25">
      <c r="A5242" s="72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idden="1" x14ac:dyDescent="0.25">
      <c r="A5243" s="720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722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idden="1" x14ac:dyDescent="0.25">
      <c r="A5247" s="713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idden="1" x14ac:dyDescent="0.25">
      <c r="A5248" s="72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14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idden="1" x14ac:dyDescent="0.25">
      <c r="A5250" s="720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722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idden="1" x14ac:dyDescent="0.25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idden="1" x14ac:dyDescent="0.25">
      <c r="A5254" s="713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14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idden="1" x14ac:dyDescent="0.25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idden="1" x14ac:dyDescent="0.25">
      <c r="A5260" s="720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722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idden="1" x14ac:dyDescent="0.25">
      <c r="A5262" s="713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14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idden="1" x14ac:dyDescent="0.25">
      <c r="A5265" s="713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14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idden="1" x14ac:dyDescent="0.25">
      <c r="A5267" s="720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idden="1" x14ac:dyDescent="0.25">
      <c r="A5268" s="721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722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idden="1" x14ac:dyDescent="0.25">
      <c r="A5270" s="713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14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idden="1" x14ac:dyDescent="0.25">
      <c r="A5272" s="720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722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idden="1" x14ac:dyDescent="0.25">
      <c r="A5275" s="720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15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idden="1" x14ac:dyDescent="0.25">
      <c r="A5276" s="721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16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idden="1" x14ac:dyDescent="0.25">
      <c r="A5279" s="713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idden="1" x14ac:dyDescent="0.25">
      <c r="A5280" s="72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idden="1" x14ac:dyDescent="0.25">
      <c r="A5281" s="72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idden="1" x14ac:dyDescent="0.25">
      <c r="A5282" s="720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722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idden="1" x14ac:dyDescent="0.25">
      <c r="A5286" s="713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idden="1" x14ac:dyDescent="0.25">
      <c r="A5287" s="72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idden="1" x14ac:dyDescent="0.25">
      <c r="A5288" s="72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14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idden="1" x14ac:dyDescent="0.25">
      <c r="A5290" s="720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idden="1" x14ac:dyDescent="0.25">
      <c r="A5291" s="721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722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idden="1" x14ac:dyDescent="0.25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idden="1" x14ac:dyDescent="0.25">
      <c r="A5296" s="720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idden="1" x14ac:dyDescent="0.25">
      <c r="A5297" s="721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idden="1" x14ac:dyDescent="0.25">
      <c r="A5298" s="713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14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idden="1" x14ac:dyDescent="0.25">
      <c r="A5302" s="720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idden="1" x14ac:dyDescent="0.25">
      <c r="A5303" s="721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722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idden="1" x14ac:dyDescent="0.25">
      <c r="A5305" s="713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idden="1" x14ac:dyDescent="0.25">
      <c r="A5306" s="72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idden="1" x14ac:dyDescent="0.25">
      <c r="A5307" s="72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14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idden="1" x14ac:dyDescent="0.25">
      <c r="A5309" s="720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722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idden="1" x14ac:dyDescent="0.25">
      <c r="A5311" s="713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14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idden="1" x14ac:dyDescent="0.25">
      <c r="A5316" s="713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idden="1" x14ac:dyDescent="0.25">
      <c r="A5317" s="72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idden="1" x14ac:dyDescent="0.25">
      <c r="A5321" s="713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17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idden="1" x14ac:dyDescent="0.25">
      <c r="A5322" s="72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19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idden="1" x14ac:dyDescent="0.25">
      <c r="A5323" s="72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19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idden="1" x14ac:dyDescent="0.25">
      <c r="A5324" s="72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19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idden="1" x14ac:dyDescent="0.25">
      <c r="A5325" s="72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19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idden="1" x14ac:dyDescent="0.25">
      <c r="A5326" s="720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722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idden="1" x14ac:dyDescent="0.25">
      <c r="A5331" s="720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idden="1" x14ac:dyDescent="0.25">
      <c r="A5332" s="721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idden="1" x14ac:dyDescent="0.25">
      <c r="A5333" s="721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722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idden="1" x14ac:dyDescent="0.25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idden="1" x14ac:dyDescent="0.25">
      <c r="A5338" s="720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6.25" hidden="1" x14ac:dyDescent="0.25">
      <c r="A5339" s="721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idden="1" x14ac:dyDescent="0.25">
      <c r="A5340" s="721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722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idden="1" x14ac:dyDescent="0.25">
      <c r="A5342" s="713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14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idden="1" x14ac:dyDescent="0.25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idden="1" x14ac:dyDescent="0.25">
      <c r="A5348" s="720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idden="1" x14ac:dyDescent="0.25">
      <c r="A5349" s="721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722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idden="1" x14ac:dyDescent="0.25">
      <c r="A5351" s="713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idden="1" x14ac:dyDescent="0.25">
      <c r="A5352" s="72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714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idden="1" x14ac:dyDescent="0.25">
      <c r="A5355" s="713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idden="1" x14ac:dyDescent="0.25">
      <c r="A5356" s="72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714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idden="1" x14ac:dyDescent="0.25">
      <c r="A5358" s="720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722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idden="1" x14ac:dyDescent="0.25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idden="1" x14ac:dyDescent="0.25">
      <c r="A5363" s="720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15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722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27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idden="1" x14ac:dyDescent="0.25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idden="1" x14ac:dyDescent="0.25">
      <c r="A5370" s="720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15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idden="1" x14ac:dyDescent="0.25">
      <c r="A5371" s="721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16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idden="1" x14ac:dyDescent="0.25">
      <c r="A5372" s="721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16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idden="1" x14ac:dyDescent="0.25">
      <c r="A5373" s="721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16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idden="1" x14ac:dyDescent="0.25">
      <c r="A5374" s="713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714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idden="1" x14ac:dyDescent="0.25">
      <c r="A5378" s="720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722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idden="1" x14ac:dyDescent="0.25">
      <c r="A5380" s="713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714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idden="1" x14ac:dyDescent="0.25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idden="1" x14ac:dyDescent="0.25">
      <c r="A5385" s="713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714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idden="1" x14ac:dyDescent="0.25">
      <c r="A5387" s="720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722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idden="1" x14ac:dyDescent="0.25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idden="1" x14ac:dyDescent="0.25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idden="1" x14ac:dyDescent="0.25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idden="1" x14ac:dyDescent="0.25">
      <c r="A5394" s="720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idden="1" x14ac:dyDescent="0.25">
      <c r="A5395" s="721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idden="1" x14ac:dyDescent="0.25">
      <c r="A5396" s="721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722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idden="1" x14ac:dyDescent="0.25">
      <c r="A5398" s="723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idden="1" x14ac:dyDescent="0.25">
      <c r="A5399" s="72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idden="1" x14ac:dyDescent="0.25">
      <c r="A5400" s="720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722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723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19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25">
      <c r="A5403" s="72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19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idden="1" x14ac:dyDescent="0.25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idden="1" x14ac:dyDescent="0.25">
      <c r="A5406" s="720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idden="1" x14ac:dyDescent="0.25">
      <c r="A5407" s="721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idden="1" x14ac:dyDescent="0.25">
      <c r="A5408" s="713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17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714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18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idden="1" x14ac:dyDescent="0.25">
      <c r="A5412" s="720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idden="1" x14ac:dyDescent="0.25">
      <c r="A5413" s="721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idden="1" x14ac:dyDescent="0.25">
      <c r="A5416" s="713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17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idden="1" x14ac:dyDescent="0.25">
      <c r="A5417" s="72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19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idden="1" x14ac:dyDescent="0.25">
      <c r="A5418" s="720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722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idden="1" x14ac:dyDescent="0.25">
      <c r="A5420" s="713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714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idden="1" x14ac:dyDescent="0.25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idden="1" x14ac:dyDescent="0.25">
      <c r="A5428" s="720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722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idden="1" x14ac:dyDescent="0.25">
      <c r="A5430" s="713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714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idden="1" x14ac:dyDescent="0.25">
      <c r="A5432" s="720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722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idden="1" x14ac:dyDescent="0.25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idden="1" x14ac:dyDescent="0.25">
      <c r="A5436" s="713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17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714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18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idden="1" x14ac:dyDescent="0.25">
      <c r="A5439" s="713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714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idden="1" x14ac:dyDescent="0.25">
      <c r="A5441" s="720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722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idden="1" x14ac:dyDescent="0.25">
      <c r="A5443" s="713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714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idden="1" x14ac:dyDescent="0.25">
      <c r="A5445" s="720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722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idden="1" x14ac:dyDescent="0.25">
      <c r="A5449" s="713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idden="1" x14ac:dyDescent="0.25">
      <c r="A5450" s="72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714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idden="1" x14ac:dyDescent="0.25">
      <c r="A5452" s="720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722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idden="1" x14ac:dyDescent="0.25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idden="1" x14ac:dyDescent="0.25">
      <c r="A5455" s="720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722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idden="1" x14ac:dyDescent="0.25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idden="1" x14ac:dyDescent="0.25">
      <c r="A5464" s="720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idden="1" x14ac:dyDescent="0.25">
      <c r="A5465" s="721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idden="1" x14ac:dyDescent="0.25">
      <c r="A5466" s="721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idden="1" x14ac:dyDescent="0.25">
      <c r="A5467" s="713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714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idden="1" x14ac:dyDescent="0.25">
      <c r="A5470" s="713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8.25" hidden="1" thickBot="1" x14ac:dyDescent="0.3">
      <c r="A5471" s="714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idden="1" x14ac:dyDescent="0.25">
      <c r="A5472" s="720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6.25" hidden="1" x14ac:dyDescent="0.25">
      <c r="A5473" s="721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722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idden="1" x14ac:dyDescent="0.25">
      <c r="A5476" s="720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idden="1" x14ac:dyDescent="0.25">
      <c r="A5477" s="721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722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idden="1" x14ac:dyDescent="0.25">
      <c r="A5479" s="713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idden="1" x14ac:dyDescent="0.25">
      <c r="A5480" s="72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714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idden="1" x14ac:dyDescent="0.25">
      <c r="A5482" s="720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idden="1" x14ac:dyDescent="0.25">
      <c r="A5483" s="721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722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idden="1" x14ac:dyDescent="0.25">
      <c r="A5485" s="713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idden="1" x14ac:dyDescent="0.25">
      <c r="A5486" s="72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idden="1" x14ac:dyDescent="0.25">
      <c r="A5489" s="720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15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722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27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idden="1" x14ac:dyDescent="0.25">
      <c r="A5493" s="713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idden="1" x14ac:dyDescent="0.25">
      <c r="A5494" s="72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714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idden="1" x14ac:dyDescent="0.25">
      <c r="A5497" s="713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714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idden="1" x14ac:dyDescent="0.25">
      <c r="A5499" s="720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722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idden="1" x14ac:dyDescent="0.25">
      <c r="A5501" s="713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714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idden="1" x14ac:dyDescent="0.25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idden="1" x14ac:dyDescent="0.25">
      <c r="A5504" s="713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17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714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18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idden="1" x14ac:dyDescent="0.25">
      <c r="A5507" s="713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714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idden="1" x14ac:dyDescent="0.25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idden="1" x14ac:dyDescent="0.25">
      <c r="A5511" s="720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722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idden="1" x14ac:dyDescent="0.25">
      <c r="A5513" s="713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714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idden="1" x14ac:dyDescent="0.25">
      <c r="A5515" s="720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15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722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27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idden="1" x14ac:dyDescent="0.25">
      <c r="A5518" s="720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idden="1" x14ac:dyDescent="0.25">
      <c r="A5519" s="721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6.25" hidden="1" x14ac:dyDescent="0.25">
      <c r="A5520" s="721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idden="1" x14ac:dyDescent="0.25">
      <c r="A5521" s="721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722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idden="1" x14ac:dyDescent="0.25">
      <c r="A5523" s="713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idden="1" x14ac:dyDescent="0.25">
      <c r="A5524" s="72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714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idden="1" x14ac:dyDescent="0.25">
      <c r="A5527" s="713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idden="1" x14ac:dyDescent="0.25">
      <c r="A5528" s="72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idden="1" x14ac:dyDescent="0.25">
      <c r="A5531" s="720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15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722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27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idden="1" x14ac:dyDescent="0.25">
      <c r="A5534" s="720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15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idden="1" x14ac:dyDescent="0.25">
      <c r="A5535" s="721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16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idden="1" x14ac:dyDescent="0.25">
      <c r="A5536" s="721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16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idden="1" x14ac:dyDescent="0.25">
      <c r="A5537" s="721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16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722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27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idden="1" x14ac:dyDescent="0.25">
      <c r="A5539" s="713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idden="1" x14ac:dyDescent="0.25">
      <c r="A5540" s="72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714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idden="1" x14ac:dyDescent="0.25">
      <c r="A5542" s="720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idden="1" x14ac:dyDescent="0.25">
      <c r="A5543" s="721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idden="1" x14ac:dyDescent="0.25">
      <c r="A5544" s="721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idden="1" x14ac:dyDescent="0.25">
      <c r="A5545" s="721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722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713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17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714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18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idden="1" x14ac:dyDescent="0.25">
      <c r="A5551" s="720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722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idden="1" x14ac:dyDescent="0.25">
      <c r="A5553" s="713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idden="1" x14ac:dyDescent="0.25">
      <c r="A5554" s="72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714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7.5" hidden="1" x14ac:dyDescent="0.25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idden="1" x14ac:dyDescent="0.25">
      <c r="A5561" s="713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714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idden="1" x14ac:dyDescent="0.25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idden="1" x14ac:dyDescent="0.25">
      <c r="A5564" s="713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714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idden="1" x14ac:dyDescent="0.25">
      <c r="A5570" s="720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idden="1" x14ac:dyDescent="0.25">
      <c r="A5571" s="721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722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idden="1" x14ac:dyDescent="0.25">
      <c r="A5573" s="713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714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idden="1" x14ac:dyDescent="0.25">
      <c r="A5575" s="720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722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hidden="1" x14ac:dyDescent="0.25">
      <c r="A5577" s="713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1"/>
        <v>01,26</v>
      </c>
      <c r="L5577" s="483" t="s">
        <v>265</v>
      </c>
      <c r="M5577" s="483">
        <v>15673.199999999999</v>
      </c>
      <c r="N5577" s="486">
        <v>0.375</v>
      </c>
    </row>
    <row r="5578" spans="1:14" hidden="1" x14ac:dyDescent="0.25">
      <c r="A5578" s="72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1"/>
        <v>01,26</v>
      </c>
      <c r="L5578" s="499" t="s">
        <v>266</v>
      </c>
      <c r="M5578" s="499">
        <v>1906.5600000000004</v>
      </c>
      <c r="N5578" s="502">
        <v>0.375</v>
      </c>
    </row>
    <row r="5579" spans="1:14" ht="19.5" hidden="1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1"/>
        <v>01,26</v>
      </c>
      <c r="L5579" s="508" t="s">
        <v>265</v>
      </c>
      <c r="M5579" s="508">
        <v>12598.199999999997</v>
      </c>
      <c r="N5579" s="512">
        <v>0.375</v>
      </c>
    </row>
    <row r="5580" spans="1:14" ht="19.5" hidden="1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1"/>
        <v>01,26</v>
      </c>
      <c r="L5580" s="518" t="s">
        <v>28</v>
      </c>
      <c r="M5580" s="518">
        <v>8971.32</v>
      </c>
      <c r="N5580" s="522">
        <v>0.41666666666666669</v>
      </c>
    </row>
    <row r="5581" spans="1:14" ht="38.25" hidden="1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1"/>
        <v>01,26</v>
      </c>
      <c r="L5581" s="508" t="s">
        <v>266</v>
      </c>
      <c r="M5581" s="508">
        <v>14017.2</v>
      </c>
      <c r="N5581" s="512">
        <v>0.41666666666666669</v>
      </c>
    </row>
    <row r="5582" spans="1:14" ht="38.25" hidden="1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1"/>
        <v>01,26</v>
      </c>
      <c r="L5582" s="518" t="s">
        <v>28</v>
      </c>
      <c r="M5582" s="518">
        <v>10692.560000000001</v>
      </c>
      <c r="N5582" s="522">
        <v>0.45833333333333331</v>
      </c>
    </row>
    <row r="5583" spans="1:14" ht="19.5" hidden="1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1"/>
        <v>01,26</v>
      </c>
      <c r="L5583" s="508" t="s">
        <v>265</v>
      </c>
      <c r="M5583" s="508">
        <v>17759.920000000002</v>
      </c>
      <c r="N5583" s="512">
        <v>0.375</v>
      </c>
    </row>
    <row r="5584" spans="1:14" hidden="1" x14ac:dyDescent="0.25">
      <c r="A5584" s="713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1"/>
        <v>01,26</v>
      </c>
      <c r="L5584" s="483" t="s">
        <v>266</v>
      </c>
      <c r="M5584" s="483">
        <v>3929.42</v>
      </c>
      <c r="N5584" s="486">
        <v>0.41666666666666669</v>
      </c>
    </row>
    <row r="5585" spans="1:14" hidden="1" x14ac:dyDescent="0.25">
      <c r="A5585" s="72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1"/>
        <v>01,26</v>
      </c>
      <c r="L5585" s="527" t="s">
        <v>28</v>
      </c>
      <c r="M5585" s="527">
        <v>1657.8299999999997</v>
      </c>
      <c r="N5585" s="530">
        <v>0.41666666666666669</v>
      </c>
    </row>
    <row r="5586" spans="1:14" hidden="1" x14ac:dyDescent="0.25">
      <c r="A5586" s="72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1"/>
        <v>01,26</v>
      </c>
      <c r="L5586" s="527" t="s">
        <v>28</v>
      </c>
      <c r="M5586" s="527">
        <v>2325</v>
      </c>
      <c r="N5586" s="530">
        <v>0.41666666666666669</v>
      </c>
    </row>
    <row r="5587" spans="1:14" ht="19.5" hidden="1" thickBot="1" x14ac:dyDescent="0.3">
      <c r="A5587" s="714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1"/>
        <v>01,26</v>
      </c>
      <c r="L5587" s="649" t="s">
        <v>28</v>
      </c>
      <c r="M5587" s="649">
        <v>9985.5000000000018</v>
      </c>
      <c r="N5587" s="653">
        <v>0.41666666666666669</v>
      </c>
    </row>
    <row r="5588" spans="1:14" hidden="1" x14ac:dyDescent="0.25">
      <c r="A5588" s="720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1"/>
        <v>01,26</v>
      </c>
      <c r="L5588" s="535" t="s">
        <v>266</v>
      </c>
      <c r="M5588" s="535">
        <v>14195.099999999999</v>
      </c>
      <c r="N5588" s="539">
        <v>0.45833333333333331</v>
      </c>
    </row>
    <row r="5589" spans="1:14" ht="19.5" hidden="1" thickBot="1" x14ac:dyDescent="0.3">
      <c r="A5589" s="722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1"/>
        <v>01,26</v>
      </c>
      <c r="L5589" s="640" t="s">
        <v>28</v>
      </c>
      <c r="M5589" s="640">
        <v>2917.7400000000002</v>
      </c>
      <c r="N5589" s="644">
        <v>0.45833333333333331</v>
      </c>
    </row>
    <row r="5590" spans="1:14" hidden="1" x14ac:dyDescent="0.25">
      <c r="A5590" s="713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1"/>
        <v>01,26</v>
      </c>
      <c r="L5590" s="483" t="s">
        <v>28</v>
      </c>
      <c r="M5590" s="483">
        <v>7906.56</v>
      </c>
      <c r="N5590" s="486">
        <v>0.5</v>
      </c>
    </row>
    <row r="5591" spans="1:14" hidden="1" x14ac:dyDescent="0.25">
      <c r="A5591" s="72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1"/>
        <v>01,26</v>
      </c>
      <c r="L5591" s="527" t="s">
        <v>28</v>
      </c>
      <c r="M5591" s="527">
        <v>5870.1600000000008</v>
      </c>
      <c r="N5591" s="530">
        <v>0.5</v>
      </c>
    </row>
    <row r="5592" spans="1:14" ht="19.5" hidden="1" thickBot="1" x14ac:dyDescent="0.3">
      <c r="A5592" s="714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1"/>
        <v>01,26</v>
      </c>
      <c r="L5592" s="649" t="s">
        <v>28</v>
      </c>
      <c r="M5592" s="649">
        <v>3555.46</v>
      </c>
      <c r="N5592" s="653">
        <v>0.5</v>
      </c>
    </row>
    <row r="5593" spans="1:14" hidden="1" x14ac:dyDescent="0.25">
      <c r="A5593" s="720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1"/>
        <v>01,26</v>
      </c>
      <c r="L5593" s="535" t="s">
        <v>28</v>
      </c>
      <c r="M5593" s="535">
        <v>7136.8</v>
      </c>
      <c r="N5593" s="539">
        <v>0.41666666666666669</v>
      </c>
    </row>
    <row r="5594" spans="1:14" ht="19.5" hidden="1" thickBot="1" x14ac:dyDescent="0.3">
      <c r="A5594" s="722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1"/>
        <v>01,26</v>
      </c>
      <c r="L5594" s="640" t="s">
        <v>28</v>
      </c>
      <c r="M5594" s="640">
        <v>5992.3200000000006</v>
      </c>
      <c r="N5594" s="644">
        <v>0.41666666666666669</v>
      </c>
    </row>
    <row r="5595" spans="1:14" hidden="1" x14ac:dyDescent="0.25">
      <c r="A5595" s="713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1"/>
        <v>01,26</v>
      </c>
      <c r="L5595" s="483" t="s">
        <v>28</v>
      </c>
      <c r="M5595" s="483">
        <v>5292.56</v>
      </c>
      <c r="N5595" s="486">
        <v>0.45833333333333331</v>
      </c>
    </row>
    <row r="5596" spans="1:14" ht="19.5" hidden="1" thickBot="1" x14ac:dyDescent="0.3">
      <c r="A5596" s="714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1"/>
        <v>01,26</v>
      </c>
      <c r="L5596" s="649" t="s">
        <v>28</v>
      </c>
      <c r="M5596" s="649">
        <v>6446.24</v>
      </c>
      <c r="N5596" s="653">
        <v>0.45833333333333331</v>
      </c>
    </row>
    <row r="5597" spans="1:14" ht="19.5" hidden="1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1"/>
        <v>01,26</v>
      </c>
      <c r="L5597" s="508" t="s">
        <v>28</v>
      </c>
      <c r="M5597" s="508">
        <v>7969.2</v>
      </c>
      <c r="N5597" s="512">
        <v>0.5</v>
      </c>
    </row>
    <row r="5598" spans="1:14" hidden="1" x14ac:dyDescent="0.25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1"/>
        <v>01,26</v>
      </c>
      <c r="L5598" s="577" t="s">
        <v>28</v>
      </c>
      <c r="M5598" s="577">
        <v>11050.04</v>
      </c>
      <c r="N5598" s="581">
        <v>0.54166666666666663</v>
      </c>
    </row>
    <row r="5599" spans="1:14" hidden="1" x14ac:dyDescent="0.25">
      <c r="A5599" s="720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15" t="s">
        <v>1229</v>
      </c>
      <c r="H5599" s="535" t="s">
        <v>1228</v>
      </c>
      <c r="I5599" s="537" t="s">
        <v>1231</v>
      </c>
      <c r="J5599" s="538"/>
      <c r="K5599" s="535" t="str">
        <f t="shared" si="161"/>
        <v>01,26</v>
      </c>
      <c r="L5599" s="535" t="s">
        <v>28</v>
      </c>
      <c r="M5599" s="535">
        <v>5868.4800000000005</v>
      </c>
      <c r="N5599" s="539">
        <v>0.41666666666666669</v>
      </c>
    </row>
    <row r="5600" spans="1:14" ht="19.5" hidden="1" thickBot="1" x14ac:dyDescent="0.3">
      <c r="A5600" s="722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27"/>
      <c r="H5600" s="640" t="s">
        <v>1228</v>
      </c>
      <c r="I5600" s="642" t="s">
        <v>1231</v>
      </c>
      <c r="J5600" s="643"/>
      <c r="K5600" s="640" t="str">
        <f t="shared" si="161"/>
        <v>01,26</v>
      </c>
      <c r="L5600" s="640" t="s">
        <v>28</v>
      </c>
      <c r="M5600" s="640">
        <v>5357.92</v>
      </c>
      <c r="N5600" s="644">
        <v>0.41666666666666669</v>
      </c>
    </row>
    <row r="5601" spans="1:14" ht="38.25" hidden="1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1"/>
        <v>01,26</v>
      </c>
      <c r="L5601" s="518" t="s">
        <v>266</v>
      </c>
      <c r="M5601" s="518">
        <v>15557.28</v>
      </c>
      <c r="N5601" s="522">
        <v>0.45833333333333331</v>
      </c>
    </row>
    <row r="5602" spans="1:14" hidden="1" x14ac:dyDescent="0.25">
      <c r="A5602" s="720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1"/>
        <v>01,26</v>
      </c>
      <c r="L5602" s="535" t="s">
        <v>266</v>
      </c>
      <c r="M5602" s="535">
        <v>12754.819999999998</v>
      </c>
      <c r="N5602" s="539">
        <v>0.5</v>
      </c>
    </row>
    <row r="5603" spans="1:14" hidden="1" x14ac:dyDescent="0.25">
      <c r="A5603" s="721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1"/>
        <v>01,26</v>
      </c>
      <c r="L5603" s="594" t="s">
        <v>266</v>
      </c>
      <c r="M5603" s="594">
        <v>1703.0899999999997</v>
      </c>
      <c r="N5603" s="598">
        <v>0.5</v>
      </c>
    </row>
    <row r="5604" spans="1:14" ht="19.5" hidden="1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1"/>
        <v>01,26</v>
      </c>
      <c r="L5604" s="518" t="s">
        <v>266</v>
      </c>
      <c r="M5604" s="518">
        <v>17976.520000000004</v>
      </c>
      <c r="N5604" s="522">
        <v>0.41666666666666669</v>
      </c>
    </row>
    <row r="5605" spans="1:14" ht="19.5" hidden="1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1"/>
        <v>01,26</v>
      </c>
      <c r="L5605" s="508" t="s">
        <v>266</v>
      </c>
      <c r="M5605" s="508">
        <v>18027.259999999998</v>
      </c>
      <c r="N5605" s="512">
        <v>0.45833333333333331</v>
      </c>
    </row>
    <row r="5606" spans="1:14" hidden="1" x14ac:dyDescent="0.25">
      <c r="A5606" s="713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1"/>
        <v>02,26</v>
      </c>
      <c r="L5606" s="483" t="s">
        <v>266</v>
      </c>
      <c r="M5606" s="483">
        <v>13332.490000000002</v>
      </c>
      <c r="N5606" s="486">
        <v>0.5</v>
      </c>
    </row>
    <row r="5607" spans="1:14" ht="19.5" hidden="1" thickBot="1" x14ac:dyDescent="0.3">
      <c r="A5607" s="714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1"/>
        <v>02,26</v>
      </c>
      <c r="L5607" s="649" t="s">
        <v>266</v>
      </c>
      <c r="M5607" s="649">
        <v>4003.7999999999997</v>
      </c>
      <c r="N5607" s="653">
        <v>0.5</v>
      </c>
    </row>
    <row r="5608" spans="1:14" hidden="1" x14ac:dyDescent="0.25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1"/>
        <v>01,26</v>
      </c>
      <c r="L5608" s="556" t="s">
        <v>266</v>
      </c>
      <c r="M5608" s="556">
        <v>18187.68</v>
      </c>
      <c r="N5608" s="560">
        <v>0.54166666666666663</v>
      </c>
    </row>
    <row r="5609" spans="1:14" hidden="1" x14ac:dyDescent="0.25">
      <c r="A5609" s="713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1"/>
        <v>01,26</v>
      </c>
      <c r="L5609" s="483" t="s">
        <v>265</v>
      </c>
      <c r="M5609" s="483">
        <v>13135.38</v>
      </c>
      <c r="N5609" s="486">
        <v>0.375</v>
      </c>
    </row>
    <row r="5610" spans="1:14" ht="19.5" hidden="1" thickBot="1" x14ac:dyDescent="0.3">
      <c r="A5610" s="714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1"/>
        <v>01,26</v>
      </c>
      <c r="L5610" s="649" t="s">
        <v>265</v>
      </c>
      <c r="M5610" s="649">
        <v>4379.0999999999995</v>
      </c>
      <c r="N5610" s="653">
        <v>0.375</v>
      </c>
    </row>
    <row r="5611" spans="1:14" ht="19.5" hidden="1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1"/>
        <v>02,26</v>
      </c>
      <c r="L5611" s="508" t="s">
        <v>265</v>
      </c>
      <c r="M5611" s="508">
        <v>17748.520000000004</v>
      </c>
      <c r="N5611" s="512">
        <v>0.375</v>
      </c>
    </row>
    <row r="5612" spans="1:14" hidden="1" x14ac:dyDescent="0.25">
      <c r="A5612" s="713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1"/>
        <v>02,26</v>
      </c>
      <c r="L5612" s="483" t="s">
        <v>28</v>
      </c>
      <c r="M5612" s="483">
        <v>1282.92</v>
      </c>
      <c r="N5612" s="486">
        <v>0.41666666666666669</v>
      </c>
    </row>
    <row r="5613" spans="1:14" ht="56.25" hidden="1" x14ac:dyDescent="0.25">
      <c r="A5613" s="72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1"/>
        <v>02,26</v>
      </c>
      <c r="L5613" s="527" t="s">
        <v>28</v>
      </c>
      <c r="M5613" s="527">
        <v>1520.64</v>
      </c>
      <c r="N5613" s="530">
        <v>0.41666666666666669</v>
      </c>
    </row>
    <row r="5614" spans="1:14" hidden="1" x14ac:dyDescent="0.25">
      <c r="A5614" s="72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1"/>
        <v>02,26</v>
      </c>
      <c r="L5614" s="527" t="s">
        <v>28</v>
      </c>
      <c r="M5614" s="527">
        <v>8143.3200000000006</v>
      </c>
      <c r="N5614" s="530">
        <v>0.41666666666666669</v>
      </c>
    </row>
    <row r="5615" spans="1:14" ht="19.5" hidden="1" thickBot="1" x14ac:dyDescent="0.3">
      <c r="A5615" s="714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1"/>
        <v>02,26</v>
      </c>
      <c r="L5615" s="649" t="s">
        <v>28</v>
      </c>
      <c r="M5615" s="649">
        <v>6269.04</v>
      </c>
      <c r="N5615" s="653">
        <v>0.41666666666666669</v>
      </c>
    </row>
    <row r="5616" spans="1:14" ht="19.5" hidden="1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1"/>
        <v>01,26</v>
      </c>
      <c r="L5616" s="508" t="s">
        <v>265</v>
      </c>
      <c r="M5616" s="508">
        <v>12531.120000000003</v>
      </c>
      <c r="N5616" s="512">
        <v>0.375</v>
      </c>
    </row>
    <row r="5617" spans="1:14" hidden="1" x14ac:dyDescent="0.25">
      <c r="A5617" s="713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1"/>
        <v>02,26</v>
      </c>
      <c r="L5617" s="483" t="s">
        <v>28</v>
      </c>
      <c r="M5617" s="483">
        <v>11229.630000000001</v>
      </c>
      <c r="N5617" s="486">
        <v>0.45833333333333331</v>
      </c>
    </row>
    <row r="5618" spans="1:14" ht="19.5" hidden="1" thickBot="1" x14ac:dyDescent="0.3">
      <c r="A5618" s="714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1"/>
        <v>02,26</v>
      </c>
      <c r="L5618" s="649" t="s">
        <v>28</v>
      </c>
      <c r="M5618" s="649">
        <v>6592.4400000000005</v>
      </c>
      <c r="N5618" s="653">
        <v>0.45833333333333331</v>
      </c>
    </row>
    <row r="5619" spans="1:14" hidden="1" x14ac:dyDescent="0.25">
      <c r="A5619" s="720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1"/>
        <v>02,26</v>
      </c>
      <c r="L5619" s="535" t="s">
        <v>28</v>
      </c>
      <c r="M5619" s="535">
        <v>12621.18</v>
      </c>
      <c r="N5619" s="539">
        <v>0.5</v>
      </c>
    </row>
    <row r="5620" spans="1:14" ht="19.5" hidden="1" thickBot="1" x14ac:dyDescent="0.3">
      <c r="A5620" s="722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1"/>
        <v>02,26</v>
      </c>
      <c r="L5620" s="640" t="s">
        <v>28</v>
      </c>
      <c r="M5620" s="640">
        <v>5229.0499999999993</v>
      </c>
      <c r="N5620" s="644">
        <v>0.5</v>
      </c>
    </row>
    <row r="5621" spans="1:14" hidden="1" x14ac:dyDescent="0.25">
      <c r="A5621" s="713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1"/>
        <v>01,26</v>
      </c>
      <c r="L5621" s="483" t="s">
        <v>28</v>
      </c>
      <c r="M5621" s="483">
        <v>8038.5</v>
      </c>
      <c r="N5621" s="486">
        <v>0.54166666666666663</v>
      </c>
    </row>
    <row r="5622" spans="1:14" ht="19.5" hidden="1" thickBot="1" x14ac:dyDescent="0.3">
      <c r="A5622" s="714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1"/>
        <v>01,26</v>
      </c>
      <c r="L5622" s="649" t="s">
        <v>28</v>
      </c>
      <c r="M5622" s="649">
        <v>9674.1399999999976</v>
      </c>
      <c r="N5622" s="653">
        <v>0.54166666666666663</v>
      </c>
    </row>
    <row r="5623" spans="1:14" ht="29.25" hidden="1" customHeight="1" x14ac:dyDescent="0.25">
      <c r="A5623" s="720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15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3">RIGHT(I5623,5)</f>
        <v>02,26</v>
      </c>
      <c r="L5623" s="535" t="s">
        <v>28</v>
      </c>
      <c r="M5623" s="535">
        <v>7399.2</v>
      </c>
      <c r="N5623" s="539">
        <v>0.58333333333333337</v>
      </c>
    </row>
    <row r="5624" spans="1:14" ht="29.25" hidden="1" customHeight="1" thickBot="1" x14ac:dyDescent="0.3">
      <c r="A5624" s="722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27"/>
      <c r="H5624" s="640" t="s">
        <v>1233</v>
      </c>
      <c r="I5624" s="642" t="s">
        <v>1235</v>
      </c>
      <c r="J5624" s="643"/>
      <c r="K5624" s="640" t="str">
        <f t="shared" si="163"/>
        <v>02,26</v>
      </c>
      <c r="L5624" s="640" t="s">
        <v>28</v>
      </c>
      <c r="M5624" s="640">
        <v>7845.42</v>
      </c>
      <c r="N5624" s="644">
        <v>0.58333333333333337</v>
      </c>
    </row>
    <row r="5625" spans="1:14" hidden="1" x14ac:dyDescent="0.25">
      <c r="A5625" s="713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3"/>
        <v>02,26</v>
      </c>
      <c r="L5625" s="483" t="s">
        <v>265</v>
      </c>
      <c r="M5625" s="483">
        <v>16368.32</v>
      </c>
      <c r="N5625" s="486">
        <v>0.375</v>
      </c>
    </row>
    <row r="5626" spans="1:14" ht="19.5" hidden="1" thickBot="1" x14ac:dyDescent="0.3">
      <c r="A5626" s="714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3"/>
        <v>02,26</v>
      </c>
      <c r="L5626" s="649" t="s">
        <v>266</v>
      </c>
      <c r="M5626" s="649">
        <v>1070.7</v>
      </c>
      <c r="N5626" s="653">
        <v>0.375</v>
      </c>
    </row>
    <row r="5627" spans="1:14" hidden="1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3"/>
        <v>02,26</v>
      </c>
      <c r="L5627" s="676" t="s">
        <v>265</v>
      </c>
      <c r="M5627" s="676">
        <v>13402.56</v>
      </c>
      <c r="N5627" s="676" t="s">
        <v>1236</v>
      </c>
    </row>
    <row r="5628" spans="1:14" hidden="1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3"/>
        <v>02,26</v>
      </c>
      <c r="L5628" s="678" t="s">
        <v>28</v>
      </c>
      <c r="M5628" s="678">
        <v>9966.36</v>
      </c>
      <c r="N5628" s="678" t="s">
        <v>1237</v>
      </c>
    </row>
    <row r="5629" spans="1:14" hidden="1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3"/>
        <v>02,26</v>
      </c>
      <c r="L5629" s="676" t="s">
        <v>265</v>
      </c>
      <c r="M5629" s="676">
        <v>17714.04</v>
      </c>
      <c r="N5629" s="676" t="s">
        <v>1236</v>
      </c>
    </row>
    <row r="5630" spans="1:14" hidden="1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3"/>
        <v>02,26</v>
      </c>
      <c r="L5630" s="678" t="s">
        <v>28</v>
      </c>
      <c r="M5630" s="678">
        <v>2988.06</v>
      </c>
      <c r="N5630" s="678" t="s">
        <v>1237</v>
      </c>
    </row>
    <row r="5631" spans="1:14" hidden="1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3"/>
        <v>02,26</v>
      </c>
      <c r="L5631" s="678" t="s">
        <v>28</v>
      </c>
      <c r="M5631" s="678">
        <v>15273.48</v>
      </c>
      <c r="N5631" s="678" t="s">
        <v>1237</v>
      </c>
    </row>
    <row r="5632" spans="1:14" hidden="1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3"/>
        <v>02,26</v>
      </c>
      <c r="L5632" s="676" t="s">
        <v>28</v>
      </c>
      <c r="M5632" s="676">
        <v>3424.1</v>
      </c>
      <c r="N5632" s="676" t="s">
        <v>1239</v>
      </c>
    </row>
    <row r="5633" spans="1:14" hidden="1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3"/>
        <v>02,26</v>
      </c>
      <c r="L5633" s="676" t="s">
        <v>28</v>
      </c>
      <c r="M5633" s="676">
        <v>6685.88</v>
      </c>
      <c r="N5633" s="676" t="s">
        <v>1239</v>
      </c>
    </row>
    <row r="5634" spans="1:14" hidden="1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3"/>
        <v>02,26</v>
      </c>
      <c r="L5634" s="676" t="s">
        <v>266</v>
      </c>
      <c r="M5634" s="676">
        <v>7562.98</v>
      </c>
      <c r="N5634" s="676" t="s">
        <v>1239</v>
      </c>
    </row>
    <row r="5635" spans="1:14" hidden="1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3"/>
        <v>02,26</v>
      </c>
      <c r="L5635" s="678" t="s">
        <v>28</v>
      </c>
      <c r="M5635" s="678">
        <v>976.02</v>
      </c>
      <c r="N5635" s="678" t="s">
        <v>1240</v>
      </c>
    </row>
    <row r="5636" spans="1:14" hidden="1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3"/>
        <v>02,26</v>
      </c>
      <c r="L5636" s="678" t="s">
        <v>28</v>
      </c>
      <c r="M5636" s="678">
        <v>7660.48</v>
      </c>
      <c r="N5636" s="678" t="s">
        <v>1240</v>
      </c>
    </row>
    <row r="5637" spans="1:14" hidden="1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3"/>
        <v>02,26</v>
      </c>
      <c r="L5637" s="678" t="s">
        <v>28</v>
      </c>
      <c r="M5637" s="678">
        <v>9005.69</v>
      </c>
      <c r="N5637" s="678" t="s">
        <v>1240</v>
      </c>
    </row>
    <row r="5638" spans="1:14" hidden="1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3"/>
        <v>02,26</v>
      </c>
      <c r="L5638" s="676" t="s">
        <v>266</v>
      </c>
      <c r="M5638" s="676">
        <v>7032.05</v>
      </c>
      <c r="N5638" s="676" t="s">
        <v>1241</v>
      </c>
    </row>
    <row r="5639" spans="1:14" hidden="1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3"/>
        <v>02,26</v>
      </c>
      <c r="L5639" s="678" t="s">
        <v>28</v>
      </c>
      <c r="M5639" s="678">
        <v>12202.32</v>
      </c>
      <c r="N5639" s="678" t="s">
        <v>1237</v>
      </c>
    </row>
    <row r="5640" spans="1:14" hidden="1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3"/>
        <v>02,26</v>
      </c>
      <c r="L5640" s="676" t="s">
        <v>28</v>
      </c>
      <c r="M5640" s="676">
        <v>12782.56</v>
      </c>
      <c r="N5640" s="676" t="s">
        <v>1239</v>
      </c>
    </row>
    <row r="5641" spans="1:14" hidden="1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3"/>
        <v>02,26</v>
      </c>
      <c r="L5641" s="678" t="s">
        <v>28</v>
      </c>
      <c r="M5641" s="678">
        <v>1584</v>
      </c>
      <c r="N5641" s="678" t="s">
        <v>1240</v>
      </c>
    </row>
    <row r="5642" spans="1:14" hidden="1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3"/>
        <v>02,26</v>
      </c>
      <c r="L5642" s="678" t="s">
        <v>28</v>
      </c>
      <c r="M5642" s="678">
        <v>8716.56</v>
      </c>
      <c r="N5642" s="678" t="s">
        <v>1240</v>
      </c>
    </row>
    <row r="5643" spans="1:14" hidden="1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3"/>
        <v>02,26</v>
      </c>
      <c r="L5643" s="676" t="s">
        <v>28</v>
      </c>
      <c r="M5643" s="676">
        <v>2821.04</v>
      </c>
      <c r="N5643" s="676" t="s">
        <v>1241</v>
      </c>
    </row>
    <row r="5644" spans="1:14" hidden="1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3"/>
        <v>02,26</v>
      </c>
      <c r="L5644" s="676" t="s">
        <v>28</v>
      </c>
      <c r="M5644" s="676">
        <v>7907.52</v>
      </c>
      <c r="N5644" s="676" t="s">
        <v>1241</v>
      </c>
    </row>
    <row r="5645" spans="1:14" ht="37.5" hidden="1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3"/>
        <v>02,26</v>
      </c>
      <c r="L5645" s="678" t="s">
        <v>28</v>
      </c>
      <c r="M5645" s="678">
        <v>3161.28</v>
      </c>
      <c r="N5645" s="678" t="s">
        <v>1242</v>
      </c>
    </row>
    <row r="5646" spans="1:14" hidden="1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3"/>
        <v>02,26</v>
      </c>
      <c r="L5646" s="678" t="s">
        <v>28</v>
      </c>
      <c r="M5646" s="678">
        <v>7035.6</v>
      </c>
      <c r="N5646" s="678" t="s">
        <v>1242</v>
      </c>
    </row>
    <row r="5647" spans="1:14" hidden="1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3"/>
        <v>02,26</v>
      </c>
      <c r="L5647" s="676" t="s">
        <v>265</v>
      </c>
      <c r="M5647" s="676">
        <v>17656.16</v>
      </c>
      <c r="N5647" s="676" t="s">
        <v>1236</v>
      </c>
    </row>
    <row r="5648" spans="1:14" hidden="1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3"/>
        <v>02,26</v>
      </c>
      <c r="L5648" s="678" t="s">
        <v>266</v>
      </c>
      <c r="M5648" s="678">
        <v>17004.939999999999</v>
      </c>
      <c r="N5648" s="685" t="s">
        <v>1246</v>
      </c>
    </row>
    <row r="5649" spans="1:14" hidden="1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3"/>
        <v>02,26</v>
      </c>
      <c r="L5649" s="678" t="s">
        <v>266</v>
      </c>
      <c r="M5649" s="678">
        <v>699.8</v>
      </c>
      <c r="N5649" s="685" t="s">
        <v>1246</v>
      </c>
    </row>
    <row r="5650" spans="1:14" hidden="1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3"/>
        <v>02,26</v>
      </c>
      <c r="L5650" s="676" t="s">
        <v>266</v>
      </c>
      <c r="M5650" s="676">
        <v>16328.7</v>
      </c>
      <c r="N5650" s="676" t="s">
        <v>1237</v>
      </c>
    </row>
    <row r="5651" spans="1:14" hidden="1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3"/>
        <v>02,26</v>
      </c>
      <c r="L5651" s="527" t="s">
        <v>266</v>
      </c>
      <c r="M5651" s="527">
        <v>18120.439999999999</v>
      </c>
      <c r="N5651" s="527" t="s">
        <v>1239</v>
      </c>
    </row>
    <row r="5652" spans="1:14" hidden="1" x14ac:dyDescent="0.25">
      <c r="A5652" s="676">
        <f t="shared" ref="A5652:A5715" si="164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3"/>
        <v>02,26</v>
      </c>
      <c r="L5652" s="676" t="s">
        <v>266</v>
      </c>
      <c r="M5652" s="676">
        <v>17888.09</v>
      </c>
      <c r="N5652" s="676" t="s">
        <v>1240</v>
      </c>
    </row>
    <row r="5653" spans="1:14" hidden="1" x14ac:dyDescent="0.25">
      <c r="A5653" s="676">
        <f t="shared" si="164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3"/>
        <v>02,26</v>
      </c>
      <c r="L5653" s="678" t="s">
        <v>266</v>
      </c>
      <c r="M5653" s="678">
        <v>18080.5</v>
      </c>
      <c r="N5653" s="678" t="s">
        <v>1237</v>
      </c>
    </row>
    <row r="5654" spans="1:14" hidden="1" x14ac:dyDescent="0.25">
      <c r="A5654" s="676">
        <f t="shared" si="164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3"/>
        <v>02,26</v>
      </c>
      <c r="L5654" s="676" t="s">
        <v>266</v>
      </c>
      <c r="M5654" s="676">
        <v>18104.16</v>
      </c>
      <c r="N5654" s="676" t="s">
        <v>1239</v>
      </c>
    </row>
    <row r="5655" spans="1:14" hidden="1" x14ac:dyDescent="0.25">
      <c r="A5655" s="676">
        <f t="shared" si="164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3"/>
        <v>02,26</v>
      </c>
      <c r="L5655" s="678" t="s">
        <v>266</v>
      </c>
      <c r="M5655" s="678">
        <v>12779.14</v>
      </c>
      <c r="N5655" s="678" t="s">
        <v>1240</v>
      </c>
    </row>
    <row r="5656" spans="1:14" hidden="1" x14ac:dyDescent="0.25">
      <c r="A5656" s="676">
        <f t="shared" si="164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3"/>
        <v>02,26</v>
      </c>
      <c r="L5656" s="678" t="s">
        <v>266</v>
      </c>
      <c r="M5656" s="678">
        <v>2005.8</v>
      </c>
      <c r="N5656" s="678" t="s">
        <v>1240</v>
      </c>
    </row>
    <row r="5657" spans="1:14" hidden="1" x14ac:dyDescent="0.25">
      <c r="A5657" s="676">
        <f t="shared" si="164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3"/>
        <v>02,26</v>
      </c>
      <c r="L5657" s="676" t="s">
        <v>265</v>
      </c>
      <c r="M5657" s="676">
        <v>9728.76</v>
      </c>
      <c r="N5657" s="676" t="s">
        <v>1236</v>
      </c>
    </row>
    <row r="5658" spans="1:14" hidden="1" x14ac:dyDescent="0.25">
      <c r="A5658" s="676">
        <f t="shared" si="164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3"/>
        <v>02,26</v>
      </c>
      <c r="L5658" s="676" t="s">
        <v>265</v>
      </c>
      <c r="M5658" s="676">
        <v>7193.1</v>
      </c>
      <c r="N5658" s="676" t="s">
        <v>1236</v>
      </c>
    </row>
    <row r="5659" spans="1:14" hidden="1" x14ac:dyDescent="0.25">
      <c r="A5659" s="676">
        <f t="shared" si="164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3"/>
        <v>02,26</v>
      </c>
      <c r="L5659" s="678" t="s">
        <v>265</v>
      </c>
      <c r="M5659" s="678">
        <v>13187.16</v>
      </c>
      <c r="N5659" s="678" t="s">
        <v>1236</v>
      </c>
    </row>
    <row r="5660" spans="1:14" hidden="1" x14ac:dyDescent="0.25">
      <c r="A5660" s="676">
        <f t="shared" si="164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3"/>
        <v>02,26</v>
      </c>
      <c r="L5660" s="676" t="s">
        <v>265</v>
      </c>
      <c r="M5660" s="676">
        <v>17666.82</v>
      </c>
      <c r="N5660" s="676" t="s">
        <v>1236</v>
      </c>
    </row>
    <row r="5661" spans="1:14" ht="93.75" hidden="1" x14ac:dyDescent="0.25">
      <c r="A5661" s="676">
        <f t="shared" si="164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3"/>
        <v>02,26</v>
      </c>
      <c r="L5661" s="678" t="s">
        <v>28</v>
      </c>
      <c r="M5661" s="678">
        <v>6683.6</v>
      </c>
      <c r="N5661" s="678" t="s">
        <v>1237</v>
      </c>
    </row>
    <row r="5662" spans="1:14" hidden="1" x14ac:dyDescent="0.25">
      <c r="A5662" s="676">
        <f t="shared" si="164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3"/>
        <v>02,26</v>
      </c>
      <c r="L5662" s="678" t="s">
        <v>28</v>
      </c>
      <c r="M5662" s="678">
        <v>4477.42</v>
      </c>
      <c r="N5662" s="678" t="s">
        <v>1237</v>
      </c>
    </row>
    <row r="5663" spans="1:14" hidden="1" x14ac:dyDescent="0.25">
      <c r="A5663" s="676">
        <f t="shared" si="164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3"/>
        <v>02,26</v>
      </c>
      <c r="L5663" s="678" t="s">
        <v>28</v>
      </c>
      <c r="M5663" s="678">
        <v>4243.41</v>
      </c>
      <c r="N5663" s="678" t="s">
        <v>1237</v>
      </c>
    </row>
    <row r="5664" spans="1:14" hidden="1" x14ac:dyDescent="0.25">
      <c r="A5664" s="676">
        <f t="shared" si="164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3"/>
        <v>02,26</v>
      </c>
      <c r="L5664" s="678" t="s">
        <v>28</v>
      </c>
      <c r="M5664" s="678">
        <v>1422.42</v>
      </c>
      <c r="N5664" s="678" t="s">
        <v>1237</v>
      </c>
    </row>
    <row r="5665" spans="1:14" hidden="1" x14ac:dyDescent="0.25">
      <c r="A5665" s="676">
        <f t="shared" si="164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3"/>
        <v>02,26</v>
      </c>
      <c r="L5665" s="676" t="s">
        <v>28</v>
      </c>
      <c r="M5665" s="676">
        <v>6437.7</v>
      </c>
      <c r="N5665" s="676" t="s">
        <v>1239</v>
      </c>
    </row>
    <row r="5666" spans="1:14" ht="56.25" hidden="1" x14ac:dyDescent="0.25">
      <c r="A5666" s="676">
        <f t="shared" si="164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3"/>
        <v>02,26</v>
      </c>
      <c r="L5666" s="676" t="s">
        <v>28</v>
      </c>
      <c r="M5666" s="676">
        <v>1309.92</v>
      </c>
      <c r="N5666" s="676" t="s">
        <v>1239</v>
      </c>
    </row>
    <row r="5667" spans="1:14" hidden="1" x14ac:dyDescent="0.25">
      <c r="A5667" s="676">
        <f t="shared" si="164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3"/>
        <v>02,26</v>
      </c>
      <c r="L5667" s="676" t="s">
        <v>28</v>
      </c>
      <c r="M5667" s="676">
        <v>10024.4</v>
      </c>
      <c r="N5667" s="676" t="s">
        <v>1239</v>
      </c>
    </row>
    <row r="5668" spans="1:14" hidden="1" x14ac:dyDescent="0.25">
      <c r="A5668" s="676">
        <f t="shared" si="164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3"/>
        <v>02,26</v>
      </c>
      <c r="L5668" s="678" t="s">
        <v>28</v>
      </c>
      <c r="M5668" s="678">
        <v>8425.2900000000009</v>
      </c>
      <c r="N5668" s="678" t="s">
        <v>1240</v>
      </c>
    </row>
    <row r="5669" spans="1:14" hidden="1" x14ac:dyDescent="0.25">
      <c r="A5669" s="676">
        <f t="shared" si="164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3"/>
        <v>02,26</v>
      </c>
      <c r="L5669" s="678" t="s">
        <v>28</v>
      </c>
      <c r="M5669" s="678">
        <v>8950.3799999999992</v>
      </c>
      <c r="N5669" s="678" t="s">
        <v>1240</v>
      </c>
    </row>
    <row r="5670" spans="1:14" hidden="1" x14ac:dyDescent="0.25">
      <c r="A5670" s="676">
        <f t="shared" si="164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3"/>
        <v>02,26</v>
      </c>
      <c r="L5670" s="676" t="s">
        <v>28</v>
      </c>
      <c r="M5670" s="676">
        <v>10394.040000000001</v>
      </c>
      <c r="N5670" s="676" t="s">
        <v>1237</v>
      </c>
    </row>
    <row r="5671" spans="1:14" hidden="1" x14ac:dyDescent="0.25">
      <c r="A5671" s="676">
        <f t="shared" si="164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3"/>
        <v>02,26</v>
      </c>
      <c r="L5671" s="483" t="s">
        <v>265</v>
      </c>
      <c r="M5671" s="483">
        <v>16139.1</v>
      </c>
      <c r="N5671" s="486">
        <v>0.375</v>
      </c>
    </row>
    <row r="5672" spans="1:14" ht="19.5" hidden="1" thickBot="1" x14ac:dyDescent="0.3">
      <c r="A5672" s="676">
        <f t="shared" si="164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3"/>
        <v>02,26</v>
      </c>
      <c r="L5672" s="649" t="s">
        <v>266</v>
      </c>
      <c r="M5672" s="649">
        <v>1209.78</v>
      </c>
      <c r="N5672" s="653">
        <v>0.375</v>
      </c>
    </row>
    <row r="5673" spans="1:14" hidden="1" x14ac:dyDescent="0.25">
      <c r="A5673" s="676">
        <f t="shared" si="164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3"/>
        <v>02,26</v>
      </c>
      <c r="L5673" s="676" t="s">
        <v>28</v>
      </c>
      <c r="M5673" s="676">
        <v>10834.36</v>
      </c>
      <c r="N5673" s="676" t="s">
        <v>1237</v>
      </c>
    </row>
    <row r="5674" spans="1:14" hidden="1" x14ac:dyDescent="0.25">
      <c r="A5674" s="676">
        <f t="shared" si="164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3"/>
        <v>02,26</v>
      </c>
      <c r="L5674" s="678" t="s">
        <v>265</v>
      </c>
      <c r="M5674" s="678">
        <v>12116.48</v>
      </c>
      <c r="N5674" s="678" t="s">
        <v>1236</v>
      </c>
    </row>
    <row r="5675" spans="1:14" ht="37.5" hidden="1" x14ac:dyDescent="0.25">
      <c r="A5675" s="676">
        <f t="shared" si="164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3"/>
        <v>02,26</v>
      </c>
      <c r="L5675" s="676" t="s">
        <v>28</v>
      </c>
      <c r="M5675" s="676">
        <v>6040.8</v>
      </c>
      <c r="N5675" s="676" t="s">
        <v>1237</v>
      </c>
    </row>
    <row r="5676" spans="1:14" hidden="1" x14ac:dyDescent="0.25">
      <c r="A5676" s="676">
        <f t="shared" si="164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3"/>
        <v>02,26</v>
      </c>
      <c r="L5676" s="678" t="s">
        <v>265</v>
      </c>
      <c r="M5676" s="678">
        <v>17722.780000000002</v>
      </c>
      <c r="N5676" s="678" t="s">
        <v>1236</v>
      </c>
    </row>
    <row r="5677" spans="1:14" hidden="1" x14ac:dyDescent="0.25">
      <c r="A5677" s="676">
        <f t="shared" si="164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3"/>
        <v>02,26</v>
      </c>
      <c r="L5677" s="676" t="s">
        <v>265</v>
      </c>
      <c r="M5677" s="676">
        <v>17635.25</v>
      </c>
      <c r="N5677" s="676" t="s">
        <v>1236</v>
      </c>
    </row>
    <row r="5678" spans="1:14" hidden="1" x14ac:dyDescent="0.25">
      <c r="A5678" s="676">
        <f t="shared" ref="A5678:A5689" si="165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3"/>
        <v>02,26</v>
      </c>
      <c r="L5678" s="678" t="s">
        <v>28</v>
      </c>
      <c r="M5678" s="678">
        <v>7603.6200000000008</v>
      </c>
      <c r="N5678" s="678" t="s">
        <v>1237</v>
      </c>
    </row>
    <row r="5679" spans="1:14" hidden="1" x14ac:dyDescent="0.25">
      <c r="A5679" s="676">
        <f t="shared" si="165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3"/>
        <v>02,26</v>
      </c>
      <c r="L5679" s="678" t="s">
        <v>28</v>
      </c>
      <c r="M5679" s="678">
        <v>3580.3200000000006</v>
      </c>
      <c r="N5679" s="678" t="s">
        <v>1237</v>
      </c>
    </row>
    <row r="5680" spans="1:14" hidden="1" x14ac:dyDescent="0.25">
      <c r="A5680" s="676">
        <f t="shared" si="165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3"/>
        <v>02,26</v>
      </c>
      <c r="L5680" s="678" t="s">
        <v>28</v>
      </c>
      <c r="M5680" s="678">
        <v>5911.53</v>
      </c>
      <c r="N5680" s="678" t="s">
        <v>1237</v>
      </c>
    </row>
    <row r="5681" spans="1:14" hidden="1" x14ac:dyDescent="0.25">
      <c r="A5681" s="676">
        <f t="shared" si="165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3"/>
        <v>02,26</v>
      </c>
      <c r="L5681" s="676" t="s">
        <v>28</v>
      </c>
      <c r="M5681" s="676">
        <v>2115</v>
      </c>
      <c r="N5681" s="676" t="s">
        <v>1239</v>
      </c>
    </row>
    <row r="5682" spans="1:14" hidden="1" x14ac:dyDescent="0.25">
      <c r="A5682" s="676">
        <f t="shared" si="165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3"/>
        <v>02,26</v>
      </c>
      <c r="L5682" s="676" t="s">
        <v>28</v>
      </c>
      <c r="M5682" s="676">
        <v>15119.439999999999</v>
      </c>
      <c r="N5682" s="676" t="s">
        <v>1239</v>
      </c>
    </row>
    <row r="5683" spans="1:14" hidden="1" x14ac:dyDescent="0.25">
      <c r="A5683" s="676">
        <f t="shared" si="165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3"/>
        <v>02,26</v>
      </c>
      <c r="L5683" s="678" t="s">
        <v>28</v>
      </c>
      <c r="M5683" s="678">
        <v>12917.169999999998</v>
      </c>
      <c r="N5683" s="678" t="s">
        <v>1240</v>
      </c>
    </row>
    <row r="5684" spans="1:14" hidden="1" x14ac:dyDescent="0.25">
      <c r="A5684" s="676">
        <f t="shared" si="165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3"/>
        <v>02,26</v>
      </c>
      <c r="L5684" s="678" t="s">
        <v>266</v>
      </c>
      <c r="M5684" s="678">
        <v>4147.1200000000008</v>
      </c>
      <c r="N5684" s="678" t="s">
        <v>1240</v>
      </c>
    </row>
    <row r="5685" spans="1:14" hidden="1" x14ac:dyDescent="0.25">
      <c r="A5685" s="676">
        <f t="shared" si="165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3"/>
        <v>02,26</v>
      </c>
      <c r="L5685" s="676" t="s">
        <v>266</v>
      </c>
      <c r="M5685" s="676">
        <v>5969.4400000000005</v>
      </c>
      <c r="N5685" s="676" t="s">
        <v>1237</v>
      </c>
    </row>
    <row r="5686" spans="1:14" hidden="1" x14ac:dyDescent="0.25">
      <c r="A5686" s="676">
        <f t="shared" si="165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3"/>
        <v>02,26</v>
      </c>
      <c r="L5686" s="676" t="s">
        <v>28</v>
      </c>
      <c r="M5686" s="676">
        <v>6655.8000000000011</v>
      </c>
      <c r="N5686" s="676" t="s">
        <v>1237</v>
      </c>
    </row>
    <row r="5687" spans="1:14" hidden="1" x14ac:dyDescent="0.25">
      <c r="A5687" s="676">
        <f t="shared" si="165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6">RIGHT(I5687,5)</f>
        <v>02,26</v>
      </c>
      <c r="L5687" s="678" t="s">
        <v>28</v>
      </c>
      <c r="M5687" s="678">
        <v>3883.6</v>
      </c>
      <c r="N5687" s="678" t="s">
        <v>1239</v>
      </c>
    </row>
    <row r="5688" spans="1:14" hidden="1" x14ac:dyDescent="0.25">
      <c r="A5688" s="676">
        <f t="shared" si="165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6"/>
        <v>02,26</v>
      </c>
      <c r="L5688" s="678" t="s">
        <v>28</v>
      </c>
      <c r="M5688" s="678">
        <v>7016.4000000000005</v>
      </c>
      <c r="N5688" s="678" t="s">
        <v>1239</v>
      </c>
    </row>
    <row r="5689" spans="1:14" hidden="1" x14ac:dyDescent="0.25">
      <c r="A5689" s="676">
        <f t="shared" si="165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6"/>
        <v>02,26</v>
      </c>
      <c r="L5689" s="676" t="s">
        <v>28</v>
      </c>
      <c r="M5689" s="676">
        <v>9205.1200000000008</v>
      </c>
      <c r="N5689" s="676" t="s">
        <v>1240</v>
      </c>
    </row>
    <row r="5690" spans="1:14" hidden="1" x14ac:dyDescent="0.25">
      <c r="A5690" s="676">
        <f t="shared" si="164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6"/>
        <v>02,26</v>
      </c>
      <c r="L5690" s="676" t="s">
        <v>28</v>
      </c>
      <c r="M5690" s="676">
        <v>1905.96</v>
      </c>
      <c r="N5690" s="676" t="s">
        <v>1240</v>
      </c>
    </row>
    <row r="5691" spans="1:14" hidden="1" x14ac:dyDescent="0.25">
      <c r="A5691" s="676">
        <f t="shared" si="164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6"/>
        <v>02,26</v>
      </c>
      <c r="L5691" s="678" t="s">
        <v>28</v>
      </c>
      <c r="M5691" s="678">
        <v>8380.7200000000012</v>
      </c>
      <c r="N5691" s="678" t="s">
        <v>1241</v>
      </c>
    </row>
    <row r="5692" spans="1:14" hidden="1" x14ac:dyDescent="0.25">
      <c r="A5692" s="676">
        <f t="shared" si="164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6"/>
        <v>02,26</v>
      </c>
      <c r="L5692" s="678" t="s">
        <v>28</v>
      </c>
      <c r="M5692" s="678">
        <v>5024.88</v>
      </c>
      <c r="N5692" s="678" t="s">
        <v>1241</v>
      </c>
    </row>
    <row r="5693" spans="1:14" hidden="1" x14ac:dyDescent="0.25">
      <c r="A5693" s="676">
        <f t="shared" si="164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6"/>
        <v>02,26</v>
      </c>
      <c r="L5693" s="676" t="s">
        <v>266</v>
      </c>
      <c r="M5693" s="676">
        <v>1430.55</v>
      </c>
      <c r="N5693" s="676" t="s">
        <v>1240</v>
      </c>
    </row>
    <row r="5694" spans="1:14" hidden="1" x14ac:dyDescent="0.25">
      <c r="A5694" s="676">
        <f t="shared" si="164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6"/>
        <v>02,26</v>
      </c>
      <c r="L5694" s="676" t="s">
        <v>266</v>
      </c>
      <c r="M5694" s="676">
        <v>12957.47</v>
      </c>
      <c r="N5694" s="676" t="s">
        <v>1240</v>
      </c>
    </row>
    <row r="5695" spans="1:14" hidden="1" x14ac:dyDescent="0.25">
      <c r="A5695" s="676">
        <f t="shared" si="164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6"/>
        <v>02,26</v>
      </c>
      <c r="L5695" s="687" t="s">
        <v>266</v>
      </c>
      <c r="M5695" s="687">
        <v>18144.68</v>
      </c>
      <c r="N5695" s="687" t="s">
        <v>1237</v>
      </c>
    </row>
    <row r="5696" spans="1:14" hidden="1" x14ac:dyDescent="0.25">
      <c r="A5696" s="676">
        <f t="shared" si="164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6"/>
        <v>02,26</v>
      </c>
      <c r="L5696" s="676" t="s">
        <v>266</v>
      </c>
      <c r="M5696" s="676">
        <v>18075.939999999999</v>
      </c>
      <c r="N5696" s="676" t="s">
        <v>1239</v>
      </c>
    </row>
    <row r="5697" spans="1:14" hidden="1" x14ac:dyDescent="0.25">
      <c r="A5697" s="676">
        <f t="shared" si="164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6"/>
        <v>02,26</v>
      </c>
      <c r="L5697" s="687" t="s">
        <v>266</v>
      </c>
      <c r="M5697" s="687">
        <v>8248.7199999999993</v>
      </c>
      <c r="N5697" s="687" t="s">
        <v>1240</v>
      </c>
    </row>
    <row r="5698" spans="1:14" hidden="1" x14ac:dyDescent="0.25">
      <c r="A5698" s="676">
        <f t="shared" si="164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6"/>
        <v>02,26</v>
      </c>
      <c r="L5698" s="687" t="s">
        <v>28</v>
      </c>
      <c r="M5698" s="687">
        <v>8719.3799999999992</v>
      </c>
      <c r="N5698" s="687" t="s">
        <v>1240</v>
      </c>
    </row>
    <row r="5699" spans="1:14" hidden="1" x14ac:dyDescent="0.25">
      <c r="A5699" s="676">
        <f t="shared" si="164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6"/>
        <v>02,26</v>
      </c>
      <c r="L5699" s="676" t="s">
        <v>265</v>
      </c>
      <c r="M5699" s="676">
        <v>11370.92</v>
      </c>
      <c r="N5699" s="676" t="s">
        <v>1236</v>
      </c>
    </row>
    <row r="5700" spans="1:14" hidden="1" x14ac:dyDescent="0.25">
      <c r="A5700" s="676">
        <f t="shared" si="164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6"/>
        <v>02,26</v>
      </c>
      <c r="L5700" s="678" t="s">
        <v>265</v>
      </c>
      <c r="M5700" s="678">
        <v>17613.759999999998</v>
      </c>
      <c r="N5700" s="678" t="s">
        <v>1236</v>
      </c>
    </row>
    <row r="5701" spans="1:14" hidden="1" x14ac:dyDescent="0.25">
      <c r="A5701" s="676">
        <f t="shared" si="164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6"/>
        <v>02,26</v>
      </c>
      <c r="L5701" s="676" t="s">
        <v>265</v>
      </c>
      <c r="M5701" s="676">
        <v>17570.919999999998</v>
      </c>
      <c r="N5701" s="676" t="s">
        <v>1236</v>
      </c>
    </row>
    <row r="5702" spans="1:14" hidden="1" x14ac:dyDescent="0.25">
      <c r="A5702" s="676">
        <f t="shared" si="164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6"/>
        <v>02,26</v>
      </c>
      <c r="L5702" s="678" t="s">
        <v>28</v>
      </c>
      <c r="M5702" s="678">
        <v>11289.640000000001</v>
      </c>
      <c r="N5702" s="678" t="s">
        <v>1237</v>
      </c>
    </row>
    <row r="5703" spans="1:14" hidden="1" x14ac:dyDescent="0.25">
      <c r="A5703" s="676">
        <f t="shared" si="164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6"/>
        <v>02,26</v>
      </c>
      <c r="L5703" s="678" t="s">
        <v>28</v>
      </c>
      <c r="M5703" s="678">
        <v>4379.4800000000005</v>
      </c>
      <c r="N5703" s="678" t="s">
        <v>1237</v>
      </c>
    </row>
    <row r="5704" spans="1:14" hidden="1" x14ac:dyDescent="0.25">
      <c r="A5704" s="676">
        <f t="shared" si="164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6"/>
        <v>02,26</v>
      </c>
      <c r="L5704" s="678" t="s">
        <v>28</v>
      </c>
      <c r="M5704" s="678">
        <v>1454.2199999999998</v>
      </c>
      <c r="N5704" s="678" t="s">
        <v>1237</v>
      </c>
    </row>
    <row r="5705" spans="1:14" hidden="1" x14ac:dyDescent="0.25">
      <c r="A5705" s="676">
        <f t="shared" si="164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6"/>
        <v>02,26</v>
      </c>
      <c r="L5705" s="676" t="s">
        <v>28</v>
      </c>
      <c r="M5705" s="676">
        <v>5516.6399999999994</v>
      </c>
      <c r="N5705" s="676" t="s">
        <v>1239</v>
      </c>
    </row>
    <row r="5706" spans="1:14" ht="56.25" hidden="1" x14ac:dyDescent="0.25">
      <c r="A5706" s="676">
        <f t="shared" si="164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6"/>
        <v>02,26</v>
      </c>
      <c r="L5706" s="676" t="s">
        <v>28</v>
      </c>
      <c r="M5706" s="676">
        <v>3220.3199999999997</v>
      </c>
      <c r="N5706" s="676" t="s">
        <v>1239</v>
      </c>
    </row>
    <row r="5707" spans="1:14" hidden="1" x14ac:dyDescent="0.25">
      <c r="A5707" s="676">
        <f t="shared" si="164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6"/>
        <v>02,26</v>
      </c>
      <c r="L5707" s="676" t="s">
        <v>28</v>
      </c>
      <c r="M5707" s="676">
        <v>8396.4</v>
      </c>
      <c r="N5707" s="676" t="s">
        <v>1239</v>
      </c>
    </row>
    <row r="5708" spans="1:14" hidden="1" x14ac:dyDescent="0.25">
      <c r="A5708" s="676">
        <f t="shared" si="164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6"/>
        <v>02,26</v>
      </c>
      <c r="L5708" s="678" t="s">
        <v>28</v>
      </c>
      <c r="M5708" s="678">
        <v>9297.91</v>
      </c>
      <c r="N5708" s="678" t="s">
        <v>1241</v>
      </c>
    </row>
    <row r="5709" spans="1:14" hidden="1" x14ac:dyDescent="0.25">
      <c r="A5709" s="676">
        <f t="shared" si="164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6"/>
        <v>02,26</v>
      </c>
      <c r="L5709" s="678" t="s">
        <v>28</v>
      </c>
      <c r="M5709" s="678">
        <v>7691.8399999999983</v>
      </c>
      <c r="N5709" s="678" t="s">
        <v>1241</v>
      </c>
    </row>
    <row r="5710" spans="1:14" hidden="1" x14ac:dyDescent="0.25">
      <c r="A5710" s="676">
        <f t="shared" si="164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6"/>
        <v>02,26</v>
      </c>
      <c r="L5710" s="676" t="s">
        <v>265</v>
      </c>
      <c r="M5710" s="676">
        <v>15967.019999999999</v>
      </c>
      <c r="N5710" s="676" t="s">
        <v>1236</v>
      </c>
    </row>
    <row r="5711" spans="1:14" hidden="1" x14ac:dyDescent="0.25">
      <c r="A5711" s="676">
        <f t="shared" si="164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6"/>
        <v>02,26</v>
      </c>
      <c r="L5711" s="676" t="s">
        <v>266</v>
      </c>
      <c r="M5711" s="676">
        <v>1493.9999999999995</v>
      </c>
      <c r="N5711" s="676" t="s">
        <v>1236</v>
      </c>
    </row>
    <row r="5712" spans="1:14" hidden="1" x14ac:dyDescent="0.25">
      <c r="A5712" s="676">
        <f t="shared" si="164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6"/>
        <v>02,26</v>
      </c>
      <c r="L5712" s="678" t="s">
        <v>28</v>
      </c>
      <c r="M5712" s="678">
        <v>5338.38</v>
      </c>
      <c r="N5712" s="678" t="s">
        <v>1237</v>
      </c>
    </row>
    <row r="5713" spans="1:14" ht="37.5" hidden="1" x14ac:dyDescent="0.25">
      <c r="A5713" s="676">
        <f t="shared" si="164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6"/>
        <v>02,26</v>
      </c>
      <c r="L5713" s="678" t="s">
        <v>28</v>
      </c>
      <c r="M5713" s="678">
        <v>7367.2800000000007</v>
      </c>
      <c r="N5713" s="678" t="s">
        <v>1237</v>
      </c>
    </row>
    <row r="5714" spans="1:14" hidden="1" x14ac:dyDescent="0.25">
      <c r="A5714" s="676">
        <f t="shared" si="164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6"/>
        <v>02,26</v>
      </c>
      <c r="L5714" s="676" t="s">
        <v>265</v>
      </c>
      <c r="M5714" s="676">
        <v>11790.44</v>
      </c>
      <c r="N5714" s="676" t="s">
        <v>1236</v>
      </c>
    </row>
    <row r="5715" spans="1:14" hidden="1" x14ac:dyDescent="0.25">
      <c r="A5715" s="676">
        <f t="shared" si="164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6"/>
        <v>02,26</v>
      </c>
      <c r="L5715" s="678" t="s">
        <v>28</v>
      </c>
      <c r="M5715" s="678">
        <v>10622.16</v>
      </c>
      <c r="N5715" s="678" t="s">
        <v>1237</v>
      </c>
    </row>
    <row r="5716" spans="1:14" hidden="1" x14ac:dyDescent="0.25">
      <c r="A5716" s="676">
        <f t="shared" ref="A5716:A5779" si="167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6"/>
        <v>02,26</v>
      </c>
      <c r="L5716" s="676" t="s">
        <v>28</v>
      </c>
      <c r="M5716" s="676">
        <v>5085.5600000000004</v>
      </c>
      <c r="N5716" s="676" t="s">
        <v>1240</v>
      </c>
    </row>
    <row r="5717" spans="1:14" hidden="1" x14ac:dyDescent="0.25">
      <c r="A5717" s="676">
        <f t="shared" si="167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6"/>
        <v>02,26</v>
      </c>
      <c r="L5717" s="676" t="s">
        <v>28</v>
      </c>
      <c r="M5717" s="676">
        <v>4011.12</v>
      </c>
      <c r="N5717" s="676" t="s">
        <v>1240</v>
      </c>
    </row>
    <row r="5718" spans="1:14" hidden="1" x14ac:dyDescent="0.25">
      <c r="A5718" s="676">
        <f t="shared" si="167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6"/>
        <v>02,26</v>
      </c>
      <c r="L5718" s="678" t="s">
        <v>265</v>
      </c>
      <c r="M5718" s="678">
        <v>17631.959999999995</v>
      </c>
      <c r="N5718" s="678" t="s">
        <v>1236</v>
      </c>
    </row>
    <row r="5719" spans="1:14" hidden="1" x14ac:dyDescent="0.25">
      <c r="A5719" s="676">
        <f t="shared" si="167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6"/>
        <v>02,26</v>
      </c>
      <c r="L5719" s="676" t="s">
        <v>28</v>
      </c>
      <c r="M5719" s="676">
        <v>8326.42</v>
      </c>
      <c r="N5719" s="676" t="s">
        <v>1237</v>
      </c>
    </row>
    <row r="5720" spans="1:14" hidden="1" x14ac:dyDescent="0.25">
      <c r="A5720" s="676">
        <f t="shared" si="167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6"/>
        <v>02,26</v>
      </c>
      <c r="L5720" s="676" t="s">
        <v>28</v>
      </c>
      <c r="M5720" s="676">
        <v>2561.5200000000004</v>
      </c>
      <c r="N5720" s="676" t="s">
        <v>1237</v>
      </c>
    </row>
    <row r="5721" spans="1:14" hidden="1" x14ac:dyDescent="0.25">
      <c r="A5721" s="676">
        <f t="shared" si="167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6"/>
        <v>02,26</v>
      </c>
      <c r="L5721" s="676" t="s">
        <v>28</v>
      </c>
      <c r="M5721" s="676">
        <v>2829.58</v>
      </c>
      <c r="N5721" s="676" t="s">
        <v>1237</v>
      </c>
    </row>
    <row r="5722" spans="1:14" hidden="1" x14ac:dyDescent="0.25">
      <c r="A5722" s="676">
        <f t="shared" si="167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6"/>
        <v>02,26</v>
      </c>
      <c r="L5722" s="676" t="s">
        <v>28</v>
      </c>
      <c r="M5722" s="676">
        <v>3513</v>
      </c>
      <c r="N5722" s="676" t="s">
        <v>1237</v>
      </c>
    </row>
    <row r="5723" spans="1:14" hidden="1" x14ac:dyDescent="0.25">
      <c r="A5723" s="676">
        <f t="shared" si="167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6"/>
        <v>02,26</v>
      </c>
      <c r="L5723" s="678" t="s">
        <v>28</v>
      </c>
      <c r="M5723" s="678">
        <v>10953.36</v>
      </c>
      <c r="N5723" s="678" t="s">
        <v>1239</v>
      </c>
    </row>
    <row r="5724" spans="1:14" hidden="1" x14ac:dyDescent="0.25">
      <c r="A5724" s="676">
        <f t="shared" si="167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6"/>
        <v>02,26</v>
      </c>
      <c r="L5724" s="678" t="s">
        <v>266</v>
      </c>
      <c r="M5724" s="678">
        <v>6497.22</v>
      </c>
      <c r="N5724" s="678" t="s">
        <v>1239</v>
      </c>
    </row>
    <row r="5725" spans="1:14" hidden="1" x14ac:dyDescent="0.25">
      <c r="A5725" s="676">
        <f t="shared" si="167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6"/>
        <v>02,26</v>
      </c>
      <c r="L5725" s="676" t="s">
        <v>28</v>
      </c>
      <c r="M5725" s="676">
        <v>17127.16</v>
      </c>
      <c r="N5725" s="676" t="s">
        <v>1240</v>
      </c>
    </row>
    <row r="5726" spans="1:14" hidden="1" x14ac:dyDescent="0.25">
      <c r="A5726" s="676">
        <f t="shared" si="167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6"/>
        <v>02,26</v>
      </c>
      <c r="L5726" s="678" t="s">
        <v>28</v>
      </c>
      <c r="M5726" s="678">
        <v>2905.16</v>
      </c>
      <c r="N5726" s="678" t="s">
        <v>1237</v>
      </c>
    </row>
    <row r="5727" spans="1:14" hidden="1" x14ac:dyDescent="0.25">
      <c r="A5727" s="676">
        <f t="shared" si="167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6"/>
        <v>02,26</v>
      </c>
      <c r="L5727" s="678" t="s">
        <v>28</v>
      </c>
      <c r="M5727" s="678">
        <v>1463.7199999999998</v>
      </c>
      <c r="N5727" s="678" t="s">
        <v>1237</v>
      </c>
    </row>
    <row r="5728" spans="1:14" hidden="1" x14ac:dyDescent="0.25">
      <c r="A5728" s="676">
        <f t="shared" si="167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6"/>
        <v>02,26</v>
      </c>
      <c r="L5728" s="678" t="s">
        <v>28</v>
      </c>
      <c r="M5728" s="678">
        <v>7838.3200000000006</v>
      </c>
      <c r="N5728" s="678" t="s">
        <v>1237</v>
      </c>
    </row>
    <row r="5729" spans="1:14" hidden="1" x14ac:dyDescent="0.25">
      <c r="A5729" s="676">
        <f t="shared" si="167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6"/>
        <v>02,26</v>
      </c>
      <c r="L5729" s="676" t="s">
        <v>28</v>
      </c>
      <c r="M5729" s="676">
        <v>9549.119999999999</v>
      </c>
      <c r="N5729" s="676" t="s">
        <v>1239</v>
      </c>
    </row>
    <row r="5730" spans="1:14" hidden="1" x14ac:dyDescent="0.25">
      <c r="A5730" s="678">
        <f t="shared" si="167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6"/>
        <v>02,26</v>
      </c>
      <c r="L5730" s="678" t="s">
        <v>266</v>
      </c>
      <c r="M5730" s="678">
        <v>17049.34</v>
      </c>
      <c r="N5730" s="678" t="s">
        <v>1236</v>
      </c>
    </row>
    <row r="5731" spans="1:14" hidden="1" x14ac:dyDescent="0.25">
      <c r="A5731" s="676">
        <f t="shared" si="167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6"/>
        <v>02,26</v>
      </c>
      <c r="L5731" s="676" t="s">
        <v>266</v>
      </c>
      <c r="M5731" s="676">
        <v>18265.579999999998</v>
      </c>
      <c r="N5731" s="676" t="s">
        <v>1237</v>
      </c>
    </row>
    <row r="5732" spans="1:14" hidden="1" x14ac:dyDescent="0.25">
      <c r="A5732" s="678">
        <f t="shared" si="167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6"/>
        <v>02,26</v>
      </c>
      <c r="L5732" s="678" t="s">
        <v>266</v>
      </c>
      <c r="M5732" s="678">
        <v>18140.560000000001</v>
      </c>
      <c r="N5732" s="678" t="s">
        <v>1239</v>
      </c>
    </row>
    <row r="5733" spans="1:14" hidden="1" x14ac:dyDescent="0.25">
      <c r="A5733" s="676">
        <f t="shared" si="167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6"/>
        <v>02,26</v>
      </c>
      <c r="L5733" s="676" t="s">
        <v>266</v>
      </c>
      <c r="M5733" s="676">
        <v>18075.96</v>
      </c>
      <c r="N5733" s="676" t="s">
        <v>1240</v>
      </c>
    </row>
    <row r="5734" spans="1:14" hidden="1" x14ac:dyDescent="0.25">
      <c r="A5734" s="678">
        <f t="shared" si="167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6"/>
        <v>02,26</v>
      </c>
      <c r="L5734" s="678" t="s">
        <v>266</v>
      </c>
      <c r="M5734" s="678">
        <v>7323.6999999999989</v>
      </c>
      <c r="N5734" s="678" t="s">
        <v>1241</v>
      </c>
    </row>
    <row r="5735" spans="1:14" hidden="1" x14ac:dyDescent="0.25">
      <c r="A5735" s="678">
        <f t="shared" si="167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6"/>
        <v>02,26</v>
      </c>
      <c r="L5735" s="678" t="s">
        <v>266</v>
      </c>
      <c r="M5735" s="678">
        <v>7278.2699999999995</v>
      </c>
      <c r="N5735" s="678" t="s">
        <v>1241</v>
      </c>
    </row>
    <row r="5736" spans="1:14" hidden="1" x14ac:dyDescent="0.25">
      <c r="A5736" s="676">
        <f t="shared" si="167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6"/>
        <v>02,26</v>
      </c>
      <c r="L5736" s="676" t="s">
        <v>265</v>
      </c>
      <c r="M5736" s="676">
        <v>17282.759999999998</v>
      </c>
      <c r="N5736" s="676" t="s">
        <v>1236</v>
      </c>
    </row>
    <row r="5737" spans="1:14" hidden="1" x14ac:dyDescent="0.25">
      <c r="A5737" s="678">
        <f t="shared" si="167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6"/>
        <v>02,26</v>
      </c>
      <c r="L5737" s="678" t="s">
        <v>265</v>
      </c>
      <c r="M5737" s="678">
        <v>17445.300000000003</v>
      </c>
      <c r="N5737" s="678" t="s">
        <v>1236</v>
      </c>
    </row>
    <row r="5738" spans="1:14" hidden="1" x14ac:dyDescent="0.25">
      <c r="A5738" s="676">
        <f t="shared" si="167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6"/>
        <v>02,26</v>
      </c>
      <c r="L5738" s="676" t="s">
        <v>28</v>
      </c>
      <c r="M5738" s="676">
        <v>3310.2</v>
      </c>
      <c r="N5738" s="676" t="s">
        <v>1237</v>
      </c>
    </row>
    <row r="5739" spans="1:14" hidden="1" x14ac:dyDescent="0.25">
      <c r="A5739" s="676">
        <f t="shared" si="167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6"/>
        <v>02,26</v>
      </c>
      <c r="L5739" s="676" t="s">
        <v>28</v>
      </c>
      <c r="M5739" s="676">
        <v>1584.48</v>
      </c>
      <c r="N5739" s="676" t="s">
        <v>1237</v>
      </c>
    </row>
    <row r="5740" spans="1:14" hidden="1" x14ac:dyDescent="0.25">
      <c r="A5740" s="676">
        <f t="shared" si="167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6"/>
        <v>02,26</v>
      </c>
      <c r="L5740" s="676" t="s">
        <v>28</v>
      </c>
      <c r="M5740" s="676">
        <v>7596.4</v>
      </c>
      <c r="N5740" s="676" t="s">
        <v>1237</v>
      </c>
    </row>
    <row r="5741" spans="1:14" hidden="1" x14ac:dyDescent="0.25">
      <c r="A5741" s="676">
        <f t="shared" si="167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6"/>
        <v>02,26</v>
      </c>
      <c r="L5741" s="676" t="s">
        <v>28</v>
      </c>
      <c r="M5741" s="676">
        <v>4727.7</v>
      </c>
      <c r="N5741" s="676" t="s">
        <v>1237</v>
      </c>
    </row>
    <row r="5742" spans="1:14" hidden="1" x14ac:dyDescent="0.25">
      <c r="A5742" s="678">
        <f t="shared" si="167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6"/>
        <v>02,26</v>
      </c>
      <c r="L5742" s="678" t="s">
        <v>28</v>
      </c>
      <c r="M5742" s="678">
        <v>8840.16</v>
      </c>
      <c r="N5742" s="678" t="s">
        <v>1239</v>
      </c>
    </row>
    <row r="5743" spans="1:14" ht="56.25" hidden="1" x14ac:dyDescent="0.25">
      <c r="A5743" s="678">
        <f t="shared" si="167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6"/>
        <v>02,26</v>
      </c>
      <c r="L5743" s="678" t="s">
        <v>28</v>
      </c>
      <c r="M5743" s="678">
        <v>2532.48</v>
      </c>
      <c r="N5743" s="678" t="s">
        <v>1239</v>
      </c>
    </row>
    <row r="5744" spans="1:14" hidden="1" x14ac:dyDescent="0.25">
      <c r="A5744" s="678">
        <f t="shared" si="167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6"/>
        <v>02,26</v>
      </c>
      <c r="L5744" s="678" t="s">
        <v>28</v>
      </c>
      <c r="M5744" s="678">
        <v>5631.16</v>
      </c>
      <c r="N5744" s="678" t="s">
        <v>1239</v>
      </c>
    </row>
    <row r="5745" spans="1:14" hidden="1" x14ac:dyDescent="0.25">
      <c r="A5745" s="676">
        <f t="shared" si="167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6"/>
        <v>02,26</v>
      </c>
      <c r="L5745" s="676" t="s">
        <v>28</v>
      </c>
      <c r="M5745" s="676">
        <v>7424.64</v>
      </c>
      <c r="N5745" s="676" t="s">
        <v>1240</v>
      </c>
    </row>
    <row r="5746" spans="1:14" hidden="1" x14ac:dyDescent="0.25">
      <c r="A5746" s="676">
        <f t="shared" si="167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6"/>
        <v>02,26</v>
      </c>
      <c r="L5746" s="676" t="s">
        <v>28</v>
      </c>
      <c r="M5746" s="676">
        <v>10092.27</v>
      </c>
      <c r="N5746" s="676" t="s">
        <v>1240</v>
      </c>
    </row>
    <row r="5747" spans="1:14" hidden="1" x14ac:dyDescent="0.25">
      <c r="A5747" s="678">
        <f t="shared" si="167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6"/>
        <v>02,26</v>
      </c>
      <c r="L5747" s="678" t="s">
        <v>28</v>
      </c>
      <c r="M5747" s="678">
        <v>14335.439999999999</v>
      </c>
      <c r="N5747" s="678" t="s">
        <v>1241</v>
      </c>
    </row>
    <row r="5748" spans="1:14" hidden="1" x14ac:dyDescent="0.25">
      <c r="A5748" s="678">
        <f t="shared" si="167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6"/>
        <v>02,26</v>
      </c>
      <c r="L5748" s="678" t="s">
        <v>28</v>
      </c>
      <c r="M5748" s="678">
        <v>1316.82</v>
      </c>
      <c r="N5748" s="678" t="s">
        <v>1241</v>
      </c>
    </row>
    <row r="5749" spans="1:14" hidden="1" x14ac:dyDescent="0.25">
      <c r="A5749" s="678">
        <f t="shared" si="167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6"/>
        <v>02,26</v>
      </c>
      <c r="L5749" s="678" t="s">
        <v>28</v>
      </c>
      <c r="M5749" s="678">
        <v>1520.1</v>
      </c>
      <c r="N5749" s="678" t="s">
        <v>1241</v>
      </c>
    </row>
    <row r="5750" spans="1:14" hidden="1" x14ac:dyDescent="0.25">
      <c r="A5750" s="676">
        <f t="shared" si="167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6"/>
        <v>02,26</v>
      </c>
      <c r="L5750" s="676" t="s">
        <v>28</v>
      </c>
      <c r="M5750" s="676">
        <v>17212.78</v>
      </c>
      <c r="N5750" s="676" t="s">
        <v>1242</v>
      </c>
    </row>
    <row r="5751" spans="1:14" hidden="1" x14ac:dyDescent="0.25">
      <c r="A5751" s="678">
        <f t="shared" si="167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8">RIGHT(I5751,5)</f>
        <v>02,26</v>
      </c>
      <c r="L5751" s="678" t="s">
        <v>265</v>
      </c>
      <c r="M5751" s="678">
        <v>12283.880000000001</v>
      </c>
      <c r="N5751" s="678" t="s">
        <v>1236</v>
      </c>
    </row>
    <row r="5752" spans="1:14" hidden="1" x14ac:dyDescent="0.25">
      <c r="A5752" s="678">
        <f t="shared" si="167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8"/>
        <v>02,26</v>
      </c>
      <c r="L5752" s="678" t="s">
        <v>265</v>
      </c>
      <c r="M5752" s="678">
        <v>386.4</v>
      </c>
      <c r="N5752" s="678" t="s">
        <v>1236</v>
      </c>
    </row>
    <row r="5753" spans="1:14" hidden="1" x14ac:dyDescent="0.25">
      <c r="A5753" s="676">
        <f t="shared" si="167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8"/>
        <v>02,26</v>
      </c>
      <c r="L5753" s="676" t="s">
        <v>265</v>
      </c>
      <c r="M5753" s="676">
        <v>15799.320000000002</v>
      </c>
      <c r="N5753" s="676" t="s">
        <v>1236</v>
      </c>
    </row>
    <row r="5754" spans="1:14" hidden="1" x14ac:dyDescent="0.25">
      <c r="A5754" s="676">
        <f t="shared" si="167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8"/>
        <v>02,26</v>
      </c>
      <c r="L5754" s="676" t="s">
        <v>266</v>
      </c>
      <c r="M5754" s="676">
        <v>1561.56</v>
      </c>
      <c r="N5754" s="676" t="s">
        <v>1236</v>
      </c>
    </row>
    <row r="5755" spans="1:14" ht="37.5" hidden="1" x14ac:dyDescent="0.25">
      <c r="A5755" s="678">
        <f t="shared" si="167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8"/>
        <v>02,26</v>
      </c>
      <c r="L5755" s="678" t="s">
        <v>28</v>
      </c>
      <c r="M5755" s="678">
        <v>11107.740000000002</v>
      </c>
      <c r="N5755" s="678" t="s">
        <v>1237</v>
      </c>
    </row>
    <row r="5756" spans="1:14" hidden="1" x14ac:dyDescent="0.25">
      <c r="A5756" s="676">
        <f t="shared" si="167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8"/>
        <v>02,26</v>
      </c>
      <c r="L5756" s="676" t="s">
        <v>28</v>
      </c>
      <c r="M5756" s="676">
        <v>6249.96</v>
      </c>
      <c r="N5756" s="676" t="s">
        <v>1237</v>
      </c>
    </row>
    <row r="5757" spans="1:14" hidden="1" x14ac:dyDescent="0.25">
      <c r="A5757" s="676">
        <f t="shared" si="167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8"/>
        <v>02,26</v>
      </c>
      <c r="L5757" s="676" t="s">
        <v>28</v>
      </c>
      <c r="M5757" s="676">
        <v>5542.2</v>
      </c>
      <c r="N5757" s="676" t="s">
        <v>1237</v>
      </c>
    </row>
    <row r="5758" spans="1:14" hidden="1" x14ac:dyDescent="0.25">
      <c r="A5758" s="678">
        <f t="shared" si="167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8"/>
        <v>02,26</v>
      </c>
      <c r="L5758" s="678" t="s">
        <v>28</v>
      </c>
      <c r="M5758" s="678">
        <v>11174.88</v>
      </c>
      <c r="N5758" s="678" t="s">
        <v>1239</v>
      </c>
    </row>
    <row r="5759" spans="1:14" hidden="1" x14ac:dyDescent="0.25">
      <c r="A5759" s="676">
        <f t="shared" si="167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8"/>
        <v>02,26</v>
      </c>
      <c r="L5759" s="676" t="s">
        <v>265</v>
      </c>
      <c r="M5759" s="676">
        <v>17329.38</v>
      </c>
      <c r="N5759" s="676" t="s">
        <v>1236</v>
      </c>
    </row>
    <row r="5760" spans="1:14" hidden="1" x14ac:dyDescent="0.25">
      <c r="A5760" s="527">
        <f t="shared" si="167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8"/>
        <v>02,26</v>
      </c>
      <c r="L5760" s="527" t="s">
        <v>28</v>
      </c>
      <c r="M5760" s="527">
        <v>8921.9</v>
      </c>
      <c r="N5760" s="527" t="s">
        <v>1237</v>
      </c>
    </row>
    <row r="5761" spans="1:14" hidden="1" x14ac:dyDescent="0.25">
      <c r="A5761" s="527">
        <f t="shared" si="167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8"/>
        <v>02,26</v>
      </c>
      <c r="L5761" s="527" t="s">
        <v>28</v>
      </c>
      <c r="M5761" s="527">
        <v>3031.6800000000003</v>
      </c>
      <c r="N5761" s="527" t="s">
        <v>1237</v>
      </c>
    </row>
    <row r="5762" spans="1:14" hidden="1" x14ac:dyDescent="0.25">
      <c r="A5762" s="527">
        <f t="shared" si="167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8"/>
        <v>02,26</v>
      </c>
      <c r="L5762" s="527" t="s">
        <v>28</v>
      </c>
      <c r="M5762" s="527">
        <v>5304.66</v>
      </c>
      <c r="N5762" s="527" t="s">
        <v>1237</v>
      </c>
    </row>
    <row r="5763" spans="1:14" hidden="1" x14ac:dyDescent="0.25">
      <c r="A5763" s="676">
        <f t="shared" si="167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8"/>
        <v>02,26</v>
      </c>
      <c r="L5763" s="676" t="s">
        <v>28</v>
      </c>
      <c r="M5763" s="676">
        <v>8341.08</v>
      </c>
      <c r="N5763" s="676" t="s">
        <v>1239</v>
      </c>
    </row>
    <row r="5764" spans="1:14" hidden="1" x14ac:dyDescent="0.25">
      <c r="A5764" s="676">
        <f t="shared" si="167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8"/>
        <v>02,26</v>
      </c>
      <c r="L5764" s="676" t="s">
        <v>266</v>
      </c>
      <c r="M5764" s="676">
        <v>8959.5600000000013</v>
      </c>
      <c r="N5764" s="676" t="s">
        <v>1239</v>
      </c>
    </row>
    <row r="5765" spans="1:14" hidden="1" x14ac:dyDescent="0.25">
      <c r="A5765" s="678">
        <f t="shared" si="167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8"/>
        <v>02,26</v>
      </c>
      <c r="L5765" s="678" t="s">
        <v>28</v>
      </c>
      <c r="M5765" s="678">
        <v>1309.08</v>
      </c>
      <c r="N5765" s="678" t="s">
        <v>1240</v>
      </c>
    </row>
    <row r="5766" spans="1:14" ht="37.5" hidden="1" x14ac:dyDescent="0.25">
      <c r="A5766" s="678">
        <f t="shared" si="167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8"/>
        <v>02,26</v>
      </c>
      <c r="L5766" s="678" t="s">
        <v>28</v>
      </c>
      <c r="M5766" s="678">
        <v>14234.52</v>
      </c>
      <c r="N5766" s="678" t="s">
        <v>1240</v>
      </c>
    </row>
    <row r="5767" spans="1:14" hidden="1" x14ac:dyDescent="0.25">
      <c r="A5767" s="676">
        <f t="shared" si="167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8"/>
        <v>02,26</v>
      </c>
      <c r="L5767" s="676" t="s">
        <v>28</v>
      </c>
      <c r="M5767" s="676">
        <v>2268.48</v>
      </c>
      <c r="N5767" s="676" t="s">
        <v>1237</v>
      </c>
    </row>
    <row r="5768" spans="1:14" hidden="1" x14ac:dyDescent="0.25">
      <c r="A5768" s="676">
        <f t="shared" si="167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8"/>
        <v>02,26</v>
      </c>
      <c r="L5768" s="676" t="s">
        <v>28</v>
      </c>
      <c r="M5768" s="676">
        <v>7950</v>
      </c>
      <c r="N5768" s="676" t="s">
        <v>1237</v>
      </c>
    </row>
    <row r="5769" spans="1:14" hidden="1" x14ac:dyDescent="0.25">
      <c r="A5769" s="678">
        <f t="shared" si="167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8"/>
        <v>02,26</v>
      </c>
      <c r="L5769" s="678" t="s">
        <v>266</v>
      </c>
      <c r="M5769" s="678">
        <v>12349.92</v>
      </c>
      <c r="N5769" s="678" t="s">
        <v>1239</v>
      </c>
    </row>
    <row r="5770" spans="1:14" hidden="1" x14ac:dyDescent="0.25">
      <c r="A5770" s="676">
        <f t="shared" si="167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8"/>
        <v>02,26</v>
      </c>
      <c r="L5770" s="676" t="s">
        <v>28</v>
      </c>
      <c r="M5770" s="676">
        <v>4737.68</v>
      </c>
      <c r="N5770" s="676" t="s">
        <v>1240</v>
      </c>
    </row>
    <row r="5771" spans="1:14" hidden="1" x14ac:dyDescent="0.25">
      <c r="A5771" s="676">
        <f t="shared" si="167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8"/>
        <v>02,26</v>
      </c>
      <c r="L5771" s="676" t="s">
        <v>28</v>
      </c>
      <c r="M5771" s="676">
        <v>1496.16</v>
      </c>
      <c r="N5771" s="676" t="s">
        <v>1240</v>
      </c>
    </row>
    <row r="5772" spans="1:14" hidden="1" x14ac:dyDescent="0.25">
      <c r="A5772" s="676">
        <f t="shared" si="167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8"/>
        <v>02,26</v>
      </c>
      <c r="L5772" s="676" t="s">
        <v>28</v>
      </c>
      <c r="M5772" s="676">
        <v>5165.6799999999994</v>
      </c>
      <c r="N5772" s="676" t="s">
        <v>1240</v>
      </c>
    </row>
    <row r="5773" spans="1:14" hidden="1" x14ac:dyDescent="0.25">
      <c r="A5773" s="678">
        <f t="shared" si="167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8"/>
        <v>02,26</v>
      </c>
      <c r="L5773" s="678" t="s">
        <v>266</v>
      </c>
      <c r="M5773" s="678">
        <v>1661.61</v>
      </c>
      <c r="N5773" s="678" t="s">
        <v>1240</v>
      </c>
    </row>
    <row r="5774" spans="1:14" hidden="1" x14ac:dyDescent="0.25">
      <c r="A5774" s="678">
        <f t="shared" si="167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8"/>
        <v>02,26</v>
      </c>
      <c r="L5774" s="678" t="s">
        <v>266</v>
      </c>
      <c r="M5774" s="678">
        <v>11097.840000000004</v>
      </c>
      <c r="N5774" s="678" t="s">
        <v>1240</v>
      </c>
    </row>
    <row r="5775" spans="1:14" hidden="1" x14ac:dyDescent="0.25">
      <c r="A5775" s="676">
        <f t="shared" si="167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8"/>
        <v>02,26</v>
      </c>
      <c r="L5775" s="676" t="s">
        <v>266</v>
      </c>
      <c r="M5775" s="676">
        <v>18168.059999999998</v>
      </c>
      <c r="N5775" s="676" t="s">
        <v>1237</v>
      </c>
    </row>
    <row r="5776" spans="1:14" hidden="1" x14ac:dyDescent="0.25">
      <c r="A5776" s="678">
        <f t="shared" si="167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8"/>
        <v>02,26</v>
      </c>
      <c r="L5776" s="678" t="s">
        <v>266</v>
      </c>
      <c r="M5776" s="678">
        <v>18113.499999999996</v>
      </c>
      <c r="N5776" s="678" t="s">
        <v>1239</v>
      </c>
    </row>
    <row r="5777" spans="1:14" hidden="1" x14ac:dyDescent="0.25">
      <c r="A5777" s="676">
        <f t="shared" si="167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8"/>
        <v>02,26</v>
      </c>
      <c r="L5777" s="676" t="s">
        <v>266</v>
      </c>
      <c r="M5777" s="676">
        <v>18031.2</v>
      </c>
      <c r="N5777" s="676" t="s">
        <v>1240</v>
      </c>
    </row>
    <row r="5778" spans="1:14" hidden="1" x14ac:dyDescent="0.25">
      <c r="A5778" s="678">
        <f t="shared" si="167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8"/>
        <v>02,26</v>
      </c>
      <c r="L5778" s="678" t="s">
        <v>266</v>
      </c>
      <c r="M5778" s="678">
        <v>18098.34</v>
      </c>
      <c r="N5778" s="678" t="s">
        <v>1241</v>
      </c>
    </row>
    <row r="5779" spans="1:14" hidden="1" x14ac:dyDescent="0.25">
      <c r="A5779" s="676">
        <f t="shared" si="167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8"/>
        <v>02,26</v>
      </c>
      <c r="L5779" s="676" t="s">
        <v>266</v>
      </c>
      <c r="M5779" s="676">
        <v>18176.140000000003</v>
      </c>
      <c r="N5779" s="676" t="s">
        <v>1242</v>
      </c>
    </row>
    <row r="5780" spans="1:14" hidden="1" x14ac:dyDescent="0.25">
      <c r="A5780" s="678">
        <f t="shared" ref="A5780:A5843" si="169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8"/>
        <v>02,26</v>
      </c>
      <c r="L5780" s="678" t="s">
        <v>265</v>
      </c>
      <c r="M5780" s="678">
        <v>4004</v>
      </c>
      <c r="N5780" s="678" t="s">
        <v>1236</v>
      </c>
    </row>
    <row r="5781" spans="1:14" hidden="1" x14ac:dyDescent="0.25">
      <c r="A5781" s="678">
        <f t="shared" si="169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8"/>
        <v>02,26</v>
      </c>
      <c r="L5781" s="678" t="s">
        <v>265</v>
      </c>
      <c r="M5781" s="678">
        <v>13232.039999999999</v>
      </c>
      <c r="N5781" s="678" t="s">
        <v>1236</v>
      </c>
    </row>
    <row r="5782" spans="1:14" hidden="1" x14ac:dyDescent="0.25">
      <c r="A5782" s="676">
        <f t="shared" si="169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8"/>
        <v>02,26</v>
      </c>
      <c r="L5782" s="676" t="s">
        <v>265</v>
      </c>
      <c r="M5782" s="676">
        <v>12085.24</v>
      </c>
      <c r="N5782" s="676" t="s">
        <v>1236</v>
      </c>
    </row>
    <row r="5783" spans="1:14" hidden="1" x14ac:dyDescent="0.25">
      <c r="A5783" s="678">
        <f t="shared" si="169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8"/>
        <v>03,26</v>
      </c>
      <c r="L5783" s="678" t="s">
        <v>265</v>
      </c>
      <c r="M5783" s="678">
        <v>17404</v>
      </c>
      <c r="N5783" s="678" t="s">
        <v>1236</v>
      </c>
    </row>
    <row r="5784" spans="1:14" ht="37.5" hidden="1" x14ac:dyDescent="0.25">
      <c r="A5784" s="676">
        <f t="shared" si="169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8"/>
        <v>03,26</v>
      </c>
      <c r="L5784" s="676" t="s">
        <v>28</v>
      </c>
      <c r="M5784" s="676">
        <v>2010</v>
      </c>
      <c r="N5784" s="676" t="s">
        <v>1237</v>
      </c>
    </row>
    <row r="5785" spans="1:14" hidden="1" x14ac:dyDescent="0.25">
      <c r="A5785" s="676">
        <f t="shared" si="169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8"/>
        <v>03,26</v>
      </c>
      <c r="L5785" s="676" t="s">
        <v>266</v>
      </c>
      <c r="M5785" s="676">
        <v>4147.1200000000008</v>
      </c>
      <c r="N5785" s="676" t="s">
        <v>1237</v>
      </c>
    </row>
    <row r="5786" spans="1:14" hidden="1" x14ac:dyDescent="0.25">
      <c r="A5786" s="676">
        <f t="shared" si="169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8"/>
        <v>03,26</v>
      </c>
      <c r="L5786" s="676" t="s">
        <v>28</v>
      </c>
      <c r="M5786" s="676">
        <v>11050.2</v>
      </c>
      <c r="N5786" s="676" t="s">
        <v>1237</v>
      </c>
    </row>
    <row r="5787" spans="1:14" hidden="1" x14ac:dyDescent="0.25">
      <c r="A5787" s="678">
        <f t="shared" si="169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8"/>
        <v>02,26</v>
      </c>
      <c r="L5787" s="678" t="s">
        <v>28</v>
      </c>
      <c r="M5787" s="678">
        <v>2079.6</v>
      </c>
      <c r="N5787" s="678" t="s">
        <v>1239</v>
      </c>
    </row>
    <row r="5788" spans="1:14" hidden="1" x14ac:dyDescent="0.25">
      <c r="A5788" s="678">
        <f t="shared" si="169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8"/>
        <v>02,26</v>
      </c>
      <c r="L5788" s="678" t="s">
        <v>28</v>
      </c>
      <c r="M5788" s="678">
        <v>7324.2000000000007</v>
      </c>
      <c r="N5788" s="678" t="s">
        <v>1239</v>
      </c>
    </row>
    <row r="5789" spans="1:14" hidden="1" x14ac:dyDescent="0.25">
      <c r="A5789" s="678">
        <f t="shared" si="169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8"/>
        <v>03,26</v>
      </c>
      <c r="L5789" s="678" t="s">
        <v>28</v>
      </c>
      <c r="M5789" s="678">
        <v>3471.73</v>
      </c>
      <c r="N5789" s="678" t="s">
        <v>1239</v>
      </c>
    </row>
    <row r="5790" spans="1:14" hidden="1" x14ac:dyDescent="0.25">
      <c r="A5790" s="678">
        <f t="shared" si="169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8"/>
        <v>03,26</v>
      </c>
      <c r="L5790" s="678" t="s">
        <v>28</v>
      </c>
      <c r="M5790" s="678">
        <v>4324.5600000000004</v>
      </c>
      <c r="N5790" s="678" t="s">
        <v>1239</v>
      </c>
    </row>
    <row r="5791" spans="1:14" hidden="1" x14ac:dyDescent="0.25">
      <c r="A5791" s="676">
        <f t="shared" si="169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8"/>
        <v>03,26</v>
      </c>
      <c r="L5791" s="676" t="s">
        <v>28</v>
      </c>
      <c r="M5791" s="676">
        <v>7644.6</v>
      </c>
      <c r="N5791" s="676" t="s">
        <v>1240</v>
      </c>
    </row>
    <row r="5792" spans="1:14" hidden="1" x14ac:dyDescent="0.25">
      <c r="A5792" s="676">
        <f t="shared" si="169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8"/>
        <v>03,26</v>
      </c>
      <c r="L5792" s="676" t="s">
        <v>28</v>
      </c>
      <c r="M5792" s="676">
        <v>9461.880000000001</v>
      </c>
      <c r="N5792" s="676" t="s">
        <v>1240</v>
      </c>
    </row>
    <row r="5793" spans="1:14" hidden="1" x14ac:dyDescent="0.25">
      <c r="A5793" s="678">
        <f t="shared" si="169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8"/>
        <v>03,26</v>
      </c>
      <c r="L5793" s="678" t="s">
        <v>28</v>
      </c>
      <c r="M5793" s="678">
        <v>7953.6200000000008</v>
      </c>
      <c r="N5793" s="678" t="s">
        <v>1241</v>
      </c>
    </row>
    <row r="5794" spans="1:14" hidden="1" x14ac:dyDescent="0.25">
      <c r="A5794" s="678">
        <f t="shared" si="169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8"/>
        <v>03,26</v>
      </c>
      <c r="L5794" s="678" t="s">
        <v>28</v>
      </c>
      <c r="M5794" s="678">
        <v>1280.94</v>
      </c>
      <c r="N5794" s="678" t="s">
        <v>1241</v>
      </c>
    </row>
    <row r="5795" spans="1:14" hidden="1" x14ac:dyDescent="0.25">
      <c r="A5795" s="678">
        <f t="shared" si="169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8"/>
        <v>03,26</v>
      </c>
      <c r="L5795" s="678" t="s">
        <v>28</v>
      </c>
      <c r="M5795" s="678">
        <v>7885.2700000000023</v>
      </c>
      <c r="N5795" s="678" t="s">
        <v>1241</v>
      </c>
    </row>
    <row r="5796" spans="1:14" hidden="1" x14ac:dyDescent="0.25">
      <c r="A5796" s="676">
        <f t="shared" si="169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8"/>
        <v>03,26</v>
      </c>
      <c r="L5796" s="676" t="s">
        <v>265</v>
      </c>
      <c r="M5796" s="676">
        <v>15740.58</v>
      </c>
      <c r="N5796" s="676" t="s">
        <v>1236</v>
      </c>
    </row>
    <row r="5797" spans="1:14" hidden="1" x14ac:dyDescent="0.25">
      <c r="A5797" s="676">
        <f t="shared" si="169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8"/>
        <v>03,26</v>
      </c>
      <c r="L5797" s="676" t="s">
        <v>266</v>
      </c>
      <c r="M5797" s="676">
        <v>1440.72</v>
      </c>
      <c r="N5797" s="676" t="s">
        <v>1236</v>
      </c>
    </row>
    <row r="5798" spans="1:14" hidden="1" x14ac:dyDescent="0.25">
      <c r="A5798" s="678">
        <f t="shared" si="169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8"/>
        <v>03,26</v>
      </c>
      <c r="L5798" s="678" t="s">
        <v>265</v>
      </c>
      <c r="M5798" s="678">
        <v>12011.28</v>
      </c>
      <c r="N5798" s="678" t="s">
        <v>1236</v>
      </c>
    </row>
    <row r="5799" spans="1:14" hidden="1" x14ac:dyDescent="0.25">
      <c r="A5799" s="678">
        <f t="shared" si="169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8"/>
        <v>03,26</v>
      </c>
      <c r="L5799" s="678" t="s">
        <v>265</v>
      </c>
      <c r="M5799" s="678">
        <v>774</v>
      </c>
      <c r="N5799" s="678" t="s">
        <v>1236</v>
      </c>
    </row>
    <row r="5800" spans="1:14" hidden="1" x14ac:dyDescent="0.25">
      <c r="A5800" s="676">
        <f t="shared" si="169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8"/>
        <v>03,26</v>
      </c>
      <c r="L5800" s="676" t="s">
        <v>28</v>
      </c>
      <c r="M5800" s="676">
        <v>12313.64</v>
      </c>
      <c r="N5800" s="676" t="s">
        <v>1237</v>
      </c>
    </row>
    <row r="5801" spans="1:14" ht="37.5" hidden="1" x14ac:dyDescent="0.25">
      <c r="A5801" s="678">
        <f t="shared" si="169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8"/>
        <v>03,26</v>
      </c>
      <c r="L5801" s="678" t="s">
        <v>28</v>
      </c>
      <c r="M5801" s="678">
        <v>13136.880000000001</v>
      </c>
      <c r="N5801" s="678" t="s">
        <v>1237</v>
      </c>
    </row>
    <row r="5802" spans="1:14" hidden="1" x14ac:dyDescent="0.25">
      <c r="A5802" s="676">
        <f t="shared" si="169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8"/>
        <v>03,26</v>
      </c>
      <c r="L5802" s="676" t="s">
        <v>265</v>
      </c>
      <c r="M5802" s="676">
        <v>17537.259999999998</v>
      </c>
      <c r="N5802" s="676" t="s">
        <v>1236</v>
      </c>
    </row>
    <row r="5803" spans="1:14" hidden="1" x14ac:dyDescent="0.25">
      <c r="A5803" s="678">
        <f t="shared" si="169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8"/>
        <v>03,26</v>
      </c>
      <c r="L5803" s="678" t="s">
        <v>28</v>
      </c>
      <c r="M5803" s="678">
        <v>3419.1</v>
      </c>
      <c r="N5803" s="678" t="s">
        <v>1237</v>
      </c>
    </row>
    <row r="5804" spans="1:14" hidden="1" x14ac:dyDescent="0.25">
      <c r="A5804" s="678">
        <f t="shared" si="169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8"/>
        <v>03,26</v>
      </c>
      <c r="L5804" s="678" t="s">
        <v>28</v>
      </c>
      <c r="M5804" s="678">
        <v>1079.1600000000001</v>
      </c>
      <c r="N5804" s="678" t="s">
        <v>1237</v>
      </c>
    </row>
    <row r="5805" spans="1:14" hidden="1" x14ac:dyDescent="0.25">
      <c r="A5805" s="678">
        <f t="shared" si="169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8"/>
        <v>03,26</v>
      </c>
      <c r="L5805" s="678" t="s">
        <v>28</v>
      </c>
      <c r="M5805" s="678">
        <v>2611.1600000000003</v>
      </c>
      <c r="N5805" s="678" t="s">
        <v>1237</v>
      </c>
    </row>
    <row r="5806" spans="1:14" hidden="1" x14ac:dyDescent="0.25">
      <c r="A5806" s="678">
        <f t="shared" si="169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8"/>
        <v>03,26</v>
      </c>
      <c r="L5806" s="678" t="s">
        <v>28</v>
      </c>
      <c r="M5806" s="678">
        <v>9961.4599999999991</v>
      </c>
      <c r="N5806" s="678" t="s">
        <v>1237</v>
      </c>
    </row>
    <row r="5807" spans="1:14" hidden="1" x14ac:dyDescent="0.25">
      <c r="A5807" s="676">
        <f t="shared" si="169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8"/>
        <v>03,26</v>
      </c>
      <c r="L5807" s="676" t="s">
        <v>266</v>
      </c>
      <c r="M5807" s="676">
        <v>4147.1200000000008</v>
      </c>
      <c r="N5807" s="676" t="s">
        <v>1239</v>
      </c>
    </row>
    <row r="5808" spans="1:14" hidden="1" x14ac:dyDescent="0.25">
      <c r="A5808" s="676">
        <f t="shared" si="169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8"/>
        <v>03,26</v>
      </c>
      <c r="L5808" s="676" t="s">
        <v>266</v>
      </c>
      <c r="M5808" s="676">
        <v>10311</v>
      </c>
      <c r="N5808" s="676" t="s">
        <v>1239</v>
      </c>
    </row>
    <row r="5809" spans="1:14" hidden="1" x14ac:dyDescent="0.25">
      <c r="A5809" s="676">
        <f t="shared" si="169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8"/>
        <v>03,26</v>
      </c>
      <c r="L5809" s="676" t="s">
        <v>28</v>
      </c>
      <c r="M5809" s="676">
        <v>2532.36</v>
      </c>
      <c r="N5809" s="676" t="s">
        <v>1239</v>
      </c>
    </row>
    <row r="5810" spans="1:14" hidden="1" x14ac:dyDescent="0.25">
      <c r="A5810" s="678">
        <f t="shared" si="169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8"/>
        <v>03,26</v>
      </c>
      <c r="L5810" s="678" t="s">
        <v>28</v>
      </c>
      <c r="M5810" s="678">
        <v>951</v>
      </c>
      <c r="N5810" s="678" t="s">
        <v>1237</v>
      </c>
    </row>
    <row r="5811" spans="1:14" hidden="1" x14ac:dyDescent="0.25">
      <c r="A5811" s="678">
        <f t="shared" si="169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8"/>
        <v>03,26</v>
      </c>
      <c r="L5811" s="678" t="s">
        <v>28</v>
      </c>
      <c r="M5811" s="678">
        <v>4004.3599999999997</v>
      </c>
      <c r="N5811" s="678" t="s">
        <v>1237</v>
      </c>
    </row>
    <row r="5812" spans="1:14" hidden="1" x14ac:dyDescent="0.25">
      <c r="A5812" s="678">
        <f t="shared" si="169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8"/>
        <v>03,26</v>
      </c>
      <c r="L5812" s="678" t="s">
        <v>28</v>
      </c>
      <c r="M5812" s="678">
        <v>5392.08</v>
      </c>
      <c r="N5812" s="678" t="s">
        <v>1237</v>
      </c>
    </row>
    <row r="5813" spans="1:14" hidden="1" x14ac:dyDescent="0.25">
      <c r="A5813" s="676">
        <f t="shared" si="169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8"/>
        <v>03,26</v>
      </c>
      <c r="L5813" s="676" t="s">
        <v>266</v>
      </c>
      <c r="M5813" s="676">
        <v>18123.539999999997</v>
      </c>
      <c r="N5813" s="676" t="s">
        <v>1237</v>
      </c>
    </row>
    <row r="5814" spans="1:14" hidden="1" x14ac:dyDescent="0.25">
      <c r="A5814" s="678">
        <f t="shared" si="169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8"/>
        <v>03,26</v>
      </c>
      <c r="L5814" s="678" t="s">
        <v>266</v>
      </c>
      <c r="M5814" s="678">
        <v>18149.040000000005</v>
      </c>
      <c r="N5814" s="678" t="s">
        <v>1239</v>
      </c>
    </row>
    <row r="5815" spans="1:14" hidden="1" x14ac:dyDescent="0.25">
      <c r="A5815" s="676">
        <f t="shared" si="169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0">RIGHT(I5815,5)</f>
        <v>03,26</v>
      </c>
      <c r="L5815" s="676" t="s">
        <v>266</v>
      </c>
      <c r="M5815" s="676">
        <v>18092.8</v>
      </c>
      <c r="N5815" s="676" t="s">
        <v>1240</v>
      </c>
    </row>
    <row r="5816" spans="1:14" hidden="1" x14ac:dyDescent="0.25">
      <c r="A5816" s="678">
        <f t="shared" si="169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0"/>
        <v>03,26</v>
      </c>
      <c r="L5816" s="678" t="s">
        <v>265</v>
      </c>
      <c r="M5816" s="678">
        <v>3190.2000000000003</v>
      </c>
      <c r="N5816" s="678" t="s">
        <v>1236</v>
      </c>
    </row>
    <row r="5817" spans="1:14" hidden="1" x14ac:dyDescent="0.25">
      <c r="A5817" s="678">
        <f t="shared" si="169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0"/>
        <v>03,26</v>
      </c>
      <c r="L5817" s="678" t="s">
        <v>265</v>
      </c>
      <c r="M5817" s="678">
        <v>14206.300000000001</v>
      </c>
      <c r="N5817" s="678" t="s">
        <v>1236</v>
      </c>
    </row>
    <row r="5818" spans="1:14" hidden="1" x14ac:dyDescent="0.25">
      <c r="A5818" s="676">
        <f t="shared" si="169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0"/>
        <v>03,26</v>
      </c>
      <c r="L5818" s="676" t="s">
        <v>265</v>
      </c>
      <c r="M5818" s="676">
        <v>12710.04</v>
      </c>
      <c r="N5818" s="676" t="s">
        <v>1236</v>
      </c>
    </row>
    <row r="5819" spans="1:14" hidden="1" x14ac:dyDescent="0.25">
      <c r="A5819" s="676">
        <f t="shared" si="169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0"/>
        <v>03,26</v>
      </c>
      <c r="L5819" s="676" t="s">
        <v>265</v>
      </c>
      <c r="M5819" s="676">
        <v>90.72</v>
      </c>
      <c r="N5819" s="676" t="s">
        <v>1236</v>
      </c>
    </row>
    <row r="5820" spans="1:14" hidden="1" x14ac:dyDescent="0.25">
      <c r="A5820" s="678">
        <f t="shared" si="169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0"/>
        <v>03,26</v>
      </c>
      <c r="L5820" s="678" t="s">
        <v>265</v>
      </c>
      <c r="M5820" s="678">
        <v>17539.689999999999</v>
      </c>
      <c r="N5820" s="678" t="s">
        <v>1236</v>
      </c>
    </row>
    <row r="5821" spans="1:14" hidden="1" x14ac:dyDescent="0.25">
      <c r="A5821" s="676">
        <f t="shared" si="169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0"/>
        <v>03,26</v>
      </c>
      <c r="L5821" s="676" t="s">
        <v>28</v>
      </c>
      <c r="M5821" s="676">
        <v>7708.7999999999993</v>
      </c>
      <c r="N5821" s="676" t="s">
        <v>1239</v>
      </c>
    </row>
    <row r="5822" spans="1:14" hidden="1" x14ac:dyDescent="0.25">
      <c r="A5822" s="676">
        <f t="shared" si="169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0"/>
        <v>03,26</v>
      </c>
      <c r="L5822" s="676" t="s">
        <v>28</v>
      </c>
      <c r="M5822" s="676">
        <v>7410.12</v>
      </c>
      <c r="N5822" s="676" t="s">
        <v>1239</v>
      </c>
    </row>
    <row r="5823" spans="1:14" ht="37.5" hidden="1" x14ac:dyDescent="0.25">
      <c r="A5823" s="676">
        <f t="shared" si="169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0"/>
        <v>03,26</v>
      </c>
      <c r="L5823" s="676" t="s">
        <v>28</v>
      </c>
      <c r="M5823" s="676">
        <v>2115</v>
      </c>
      <c r="N5823" s="676" t="s">
        <v>1239</v>
      </c>
    </row>
    <row r="5824" spans="1:14" hidden="1" x14ac:dyDescent="0.25">
      <c r="A5824" s="678">
        <f t="shared" si="169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0"/>
        <v>03,26</v>
      </c>
      <c r="L5824" s="678" t="s">
        <v>28</v>
      </c>
      <c r="M5824" s="678">
        <v>15776.789999999999</v>
      </c>
      <c r="N5824" s="678" t="s">
        <v>1240</v>
      </c>
    </row>
    <row r="5825" spans="1:14" hidden="1" x14ac:dyDescent="0.25">
      <c r="A5825" s="678">
        <f t="shared" si="169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0"/>
        <v>03,26</v>
      </c>
      <c r="L5825" s="678" t="s">
        <v>28</v>
      </c>
      <c r="M5825" s="678">
        <v>1268.76</v>
      </c>
      <c r="N5825" s="678" t="s">
        <v>1240</v>
      </c>
    </row>
    <row r="5826" spans="1:14" hidden="1" x14ac:dyDescent="0.25">
      <c r="A5826" s="676">
        <f t="shared" si="169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0"/>
        <v>03,26</v>
      </c>
      <c r="L5826" s="676" t="s">
        <v>28</v>
      </c>
      <c r="M5826" s="676">
        <v>17163.760000000002</v>
      </c>
      <c r="N5826" s="676" t="s">
        <v>1241</v>
      </c>
    </row>
    <row r="5827" spans="1:14" hidden="1" x14ac:dyDescent="0.25">
      <c r="A5827" s="678">
        <f t="shared" si="169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0"/>
        <v>03,26</v>
      </c>
      <c r="L5827" s="678" t="s">
        <v>266</v>
      </c>
      <c r="M5827" s="678">
        <v>5527.6999999999989</v>
      </c>
      <c r="N5827" s="678" t="s">
        <v>1242</v>
      </c>
    </row>
    <row r="5828" spans="1:14" hidden="1" x14ac:dyDescent="0.25">
      <c r="A5828" s="678">
        <f t="shared" si="169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0"/>
        <v>03,26</v>
      </c>
      <c r="L5828" s="678" t="s">
        <v>266</v>
      </c>
      <c r="M5828" s="678">
        <v>4701</v>
      </c>
      <c r="N5828" s="678" t="s">
        <v>1242</v>
      </c>
    </row>
    <row r="5829" spans="1:14" hidden="1" x14ac:dyDescent="0.25">
      <c r="A5829" s="678">
        <f t="shared" si="169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0"/>
        <v>03,26</v>
      </c>
      <c r="L5829" s="678" t="s">
        <v>266</v>
      </c>
      <c r="M5829" s="678">
        <v>5635.5599999999986</v>
      </c>
      <c r="N5829" s="678" t="s">
        <v>1242</v>
      </c>
    </row>
    <row r="5830" spans="1:14" hidden="1" x14ac:dyDescent="0.25">
      <c r="A5830" s="676">
        <f t="shared" si="169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0"/>
        <v>03,26</v>
      </c>
      <c r="L5830" s="676" t="s">
        <v>265</v>
      </c>
      <c r="M5830" s="676">
        <v>16175.220000000001</v>
      </c>
      <c r="N5830" s="676" t="s">
        <v>1236</v>
      </c>
    </row>
    <row r="5831" spans="1:14" hidden="1" x14ac:dyDescent="0.25">
      <c r="A5831" s="676">
        <f t="shared" si="169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0"/>
        <v>03,26</v>
      </c>
      <c r="L5831" s="676" t="s">
        <v>266</v>
      </c>
      <c r="M5831" s="676">
        <v>1286.3399999999999</v>
      </c>
      <c r="N5831" s="676" t="s">
        <v>1236</v>
      </c>
    </row>
    <row r="5832" spans="1:14" hidden="1" x14ac:dyDescent="0.25">
      <c r="A5832" s="678">
        <f t="shared" si="169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0"/>
        <v>03,26</v>
      </c>
      <c r="L5832" s="678" t="s">
        <v>265</v>
      </c>
      <c r="M5832" s="678">
        <v>12149</v>
      </c>
      <c r="N5832" s="678" t="s">
        <v>1236</v>
      </c>
    </row>
    <row r="5833" spans="1:14" hidden="1" x14ac:dyDescent="0.25">
      <c r="A5833" s="676">
        <f t="shared" si="169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0"/>
        <v>03,26</v>
      </c>
      <c r="L5833" s="676" t="s">
        <v>28</v>
      </c>
      <c r="M5833" s="676">
        <v>8758</v>
      </c>
      <c r="N5833" s="676" t="s">
        <v>1237</v>
      </c>
    </row>
    <row r="5834" spans="1:14" hidden="1" x14ac:dyDescent="0.25">
      <c r="A5834" s="678">
        <f t="shared" si="169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0"/>
        <v>03,26</v>
      </c>
      <c r="L5834" s="678" t="s">
        <v>28</v>
      </c>
      <c r="M5834" s="678">
        <v>11464.8</v>
      </c>
      <c r="N5834" s="678" t="s">
        <v>1239</v>
      </c>
    </row>
    <row r="5835" spans="1:14" hidden="1" x14ac:dyDescent="0.25">
      <c r="A5835" s="676">
        <f t="shared" si="169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0"/>
        <v>03,26</v>
      </c>
      <c r="L5835" s="676" t="s">
        <v>28</v>
      </c>
      <c r="M5835" s="676">
        <v>11812.480000000001</v>
      </c>
      <c r="N5835" s="676" t="s">
        <v>1237</v>
      </c>
    </row>
    <row r="5836" spans="1:14" ht="56.25" hidden="1" x14ac:dyDescent="0.25">
      <c r="A5836" s="676">
        <f t="shared" si="169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0"/>
        <v>03,26</v>
      </c>
      <c r="L5836" s="676" t="s">
        <v>28</v>
      </c>
      <c r="M5836" s="676">
        <v>979.2</v>
      </c>
      <c r="N5836" s="676" t="s">
        <v>1237</v>
      </c>
    </row>
    <row r="5837" spans="1:14" hidden="1" x14ac:dyDescent="0.25">
      <c r="A5837" s="676">
        <f t="shared" si="169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0"/>
        <v>03,26</v>
      </c>
      <c r="L5837" s="676" t="s">
        <v>28</v>
      </c>
      <c r="M5837" s="676">
        <v>4264.4799999999996</v>
      </c>
      <c r="N5837" s="676" t="s">
        <v>1237</v>
      </c>
    </row>
    <row r="5838" spans="1:14" ht="37.5" hidden="1" x14ac:dyDescent="0.25">
      <c r="A5838" s="678">
        <f t="shared" si="169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0"/>
        <v>03,26</v>
      </c>
      <c r="L5838" s="678" t="s">
        <v>28</v>
      </c>
      <c r="M5838" s="678">
        <v>13093.26</v>
      </c>
      <c r="N5838" s="678" t="s">
        <v>1239</v>
      </c>
    </row>
    <row r="5839" spans="1:14" hidden="1" x14ac:dyDescent="0.25">
      <c r="A5839" s="676">
        <f t="shared" si="169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0"/>
        <v>03,26</v>
      </c>
      <c r="L5839" s="676" t="s">
        <v>265</v>
      </c>
      <c r="M5839" s="676">
        <v>17634.120000000003</v>
      </c>
      <c r="N5839" s="676" t="s">
        <v>1236</v>
      </c>
    </row>
    <row r="5840" spans="1:14" hidden="1" x14ac:dyDescent="0.25">
      <c r="A5840" s="678">
        <f t="shared" si="169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0"/>
        <v>03,26</v>
      </c>
      <c r="L5840" s="678" t="s">
        <v>28</v>
      </c>
      <c r="M5840" s="678">
        <v>4342.68</v>
      </c>
      <c r="N5840" s="678" t="s">
        <v>1237</v>
      </c>
    </row>
    <row r="5841" spans="1:14" hidden="1" x14ac:dyDescent="0.25">
      <c r="A5841" s="678">
        <f t="shared" si="169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0"/>
        <v>03,26</v>
      </c>
      <c r="L5841" s="678" t="s">
        <v>28</v>
      </c>
      <c r="M5841" s="678">
        <v>5349.2400000000007</v>
      </c>
      <c r="N5841" s="678" t="s">
        <v>1237</v>
      </c>
    </row>
    <row r="5842" spans="1:14" hidden="1" x14ac:dyDescent="0.25">
      <c r="A5842" s="678">
        <f t="shared" si="169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0"/>
        <v>03,26</v>
      </c>
      <c r="L5842" s="678" t="s">
        <v>28</v>
      </c>
      <c r="M5842" s="678">
        <v>4509.92</v>
      </c>
      <c r="N5842" s="678" t="s">
        <v>1237</v>
      </c>
    </row>
    <row r="5843" spans="1:14" hidden="1" x14ac:dyDescent="0.25">
      <c r="A5843" s="678">
        <f t="shared" si="169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0"/>
        <v>03,26</v>
      </c>
      <c r="L5843" s="678" t="s">
        <v>28</v>
      </c>
      <c r="M5843" s="678">
        <v>3031.8199999999997</v>
      </c>
      <c r="N5843" s="678" t="s">
        <v>1237</v>
      </c>
    </row>
    <row r="5844" spans="1:14" hidden="1" x14ac:dyDescent="0.25">
      <c r="A5844" s="676">
        <f t="shared" ref="A5844:A5908" si="171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0"/>
        <v>03,26</v>
      </c>
      <c r="L5844" s="676" t="s">
        <v>28</v>
      </c>
      <c r="M5844" s="676">
        <v>5961.1299999999992</v>
      </c>
      <c r="N5844" s="676" t="s">
        <v>1239</v>
      </c>
    </row>
    <row r="5845" spans="1:14" hidden="1" x14ac:dyDescent="0.25">
      <c r="A5845" s="676">
        <f t="shared" si="171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0"/>
        <v>03,26</v>
      </c>
      <c r="L5845" s="676" t="s">
        <v>28</v>
      </c>
      <c r="M5845" s="676">
        <v>3025.2</v>
      </c>
      <c r="N5845" s="676" t="s">
        <v>1239</v>
      </c>
    </row>
    <row r="5846" spans="1:14" hidden="1" x14ac:dyDescent="0.25">
      <c r="A5846" s="676">
        <f t="shared" si="171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0"/>
        <v>03,26</v>
      </c>
      <c r="L5846" s="676" t="s">
        <v>266</v>
      </c>
      <c r="M5846" s="676">
        <v>8239.5300000000025</v>
      </c>
      <c r="N5846" s="676" t="s">
        <v>1239</v>
      </c>
    </row>
    <row r="5847" spans="1:14" hidden="1" x14ac:dyDescent="0.25">
      <c r="A5847" s="678">
        <f t="shared" si="171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0"/>
        <v>03,26</v>
      </c>
      <c r="L5847" s="678" t="s">
        <v>28</v>
      </c>
      <c r="M5847" s="678">
        <v>11553.880000000001</v>
      </c>
      <c r="N5847" s="678" t="s">
        <v>1237</v>
      </c>
    </row>
    <row r="5848" spans="1:14" hidden="1" x14ac:dyDescent="0.25">
      <c r="A5848" s="678">
        <f t="shared" si="171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0"/>
        <v>03,26</v>
      </c>
      <c r="L5848" s="678" t="s">
        <v>28</v>
      </c>
      <c r="M5848" s="678">
        <v>2222.56</v>
      </c>
      <c r="N5848" s="678" t="s">
        <v>1237</v>
      </c>
    </row>
    <row r="5849" spans="1:14" hidden="1" x14ac:dyDescent="0.25">
      <c r="A5849" s="676">
        <f t="shared" si="171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0"/>
        <v>03,26</v>
      </c>
      <c r="L5849" s="676" t="s">
        <v>28</v>
      </c>
      <c r="M5849" s="676">
        <v>6198.8</v>
      </c>
      <c r="N5849" s="676" t="s">
        <v>1239</v>
      </c>
    </row>
    <row r="5850" spans="1:14" hidden="1" x14ac:dyDescent="0.25">
      <c r="A5850" s="676">
        <f t="shared" si="171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0"/>
        <v>03,26</v>
      </c>
      <c r="L5850" s="676" t="s">
        <v>28</v>
      </c>
      <c r="M5850" s="676">
        <v>3880.4000000000005</v>
      </c>
      <c r="N5850" s="676" t="s">
        <v>1239</v>
      </c>
    </row>
    <row r="5851" spans="1:14" hidden="1" x14ac:dyDescent="0.25">
      <c r="A5851" s="676">
        <f t="shared" si="171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0"/>
        <v>03,26</v>
      </c>
      <c r="L5851" s="676" t="s">
        <v>28</v>
      </c>
      <c r="M5851" s="676">
        <v>971.04000000000008</v>
      </c>
      <c r="N5851" s="676" t="s">
        <v>1239</v>
      </c>
    </row>
    <row r="5852" spans="1:14" hidden="1" x14ac:dyDescent="0.25">
      <c r="A5852" s="678">
        <f t="shared" si="171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0"/>
        <v>03,26</v>
      </c>
      <c r="L5852" s="678" t="s">
        <v>28</v>
      </c>
      <c r="M5852" s="678">
        <v>5873.08</v>
      </c>
      <c r="N5852" s="678" t="s">
        <v>1240</v>
      </c>
    </row>
    <row r="5853" spans="1:14" hidden="1" x14ac:dyDescent="0.25">
      <c r="A5853" s="678">
        <f t="shared" si="171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0"/>
        <v>03,26</v>
      </c>
      <c r="L5853" s="678" t="s">
        <v>28</v>
      </c>
      <c r="M5853" s="678">
        <v>6943.2</v>
      </c>
      <c r="N5853" s="678" t="s">
        <v>1240</v>
      </c>
    </row>
    <row r="5854" spans="1:14" hidden="1" x14ac:dyDescent="0.25">
      <c r="A5854" s="676">
        <f t="shared" si="171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0"/>
        <v>03,26</v>
      </c>
      <c r="L5854" s="676" t="s">
        <v>265</v>
      </c>
      <c r="M5854" s="676">
        <v>17722.36</v>
      </c>
      <c r="N5854" s="676" t="s">
        <v>1236</v>
      </c>
    </row>
    <row r="5855" spans="1:14" hidden="1" x14ac:dyDescent="0.25">
      <c r="A5855" s="678">
        <f t="shared" si="171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0"/>
        <v>03,26</v>
      </c>
      <c r="L5855" s="678" t="s">
        <v>266</v>
      </c>
      <c r="M5855" s="678">
        <v>1709.85</v>
      </c>
      <c r="N5855" s="678" t="s">
        <v>1240</v>
      </c>
    </row>
    <row r="5856" spans="1:14" hidden="1" x14ac:dyDescent="0.25">
      <c r="A5856" s="678">
        <f t="shared" si="171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0"/>
        <v>03,26</v>
      </c>
      <c r="L5856" s="678" t="s">
        <v>266</v>
      </c>
      <c r="M5856" s="678">
        <v>12954.889999999998</v>
      </c>
      <c r="N5856" s="678" t="s">
        <v>1240</v>
      </c>
    </row>
    <row r="5857" spans="1:14" hidden="1" x14ac:dyDescent="0.25">
      <c r="A5857" s="676">
        <f t="shared" si="171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0"/>
        <v>03,26</v>
      </c>
      <c r="L5857" s="676" t="s">
        <v>266</v>
      </c>
      <c r="M5857" s="676">
        <v>18103.180000000004</v>
      </c>
      <c r="N5857" s="676" t="s">
        <v>1237</v>
      </c>
    </row>
    <row r="5858" spans="1:14" hidden="1" x14ac:dyDescent="0.25">
      <c r="A5858" s="678">
        <f t="shared" si="171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0"/>
        <v>03,26</v>
      </c>
      <c r="L5858" s="678" t="s">
        <v>266</v>
      </c>
      <c r="M5858" s="678">
        <v>18136.919999999998</v>
      </c>
      <c r="N5858" s="678" t="s">
        <v>1239</v>
      </c>
    </row>
    <row r="5859" spans="1:14" hidden="1" x14ac:dyDescent="0.25">
      <c r="A5859" s="676">
        <f t="shared" si="171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0"/>
        <v>03,26</v>
      </c>
      <c r="L5859" s="676" t="s">
        <v>266</v>
      </c>
      <c r="M5859" s="676">
        <v>17925</v>
      </c>
      <c r="N5859" s="676" t="s">
        <v>1240</v>
      </c>
    </row>
    <row r="5860" spans="1:14" hidden="1" x14ac:dyDescent="0.25">
      <c r="A5860" s="678">
        <f t="shared" si="171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0"/>
        <v>03,26</v>
      </c>
      <c r="L5860" s="678" t="s">
        <v>266</v>
      </c>
      <c r="M5860" s="678">
        <v>18137.440000000002</v>
      </c>
      <c r="N5860" s="678" t="s">
        <v>1241</v>
      </c>
    </row>
    <row r="5861" spans="1:14" hidden="1" x14ac:dyDescent="0.25">
      <c r="A5861" s="676">
        <f t="shared" si="171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0"/>
        <v>03,26</v>
      </c>
      <c r="L5861" s="676" t="s">
        <v>266</v>
      </c>
      <c r="M5861" s="676">
        <v>7107.61</v>
      </c>
      <c r="N5861" s="676" t="s">
        <v>1242</v>
      </c>
    </row>
    <row r="5862" spans="1:14" hidden="1" x14ac:dyDescent="0.25">
      <c r="A5862" s="676">
        <f t="shared" si="171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0"/>
        <v>03,26</v>
      </c>
      <c r="L5862" s="676" t="s">
        <v>266</v>
      </c>
      <c r="M5862" s="676">
        <v>1500</v>
      </c>
      <c r="N5862" s="676" t="s">
        <v>1242</v>
      </c>
    </row>
    <row r="5863" spans="1:14" hidden="1" x14ac:dyDescent="0.25">
      <c r="A5863" s="678">
        <f t="shared" si="171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0"/>
        <v>03,26</v>
      </c>
      <c r="L5863" s="678" t="s">
        <v>265</v>
      </c>
      <c r="M5863" s="678">
        <v>1740</v>
      </c>
      <c r="N5863" s="678" t="s">
        <v>1236</v>
      </c>
    </row>
    <row r="5864" spans="1:14" hidden="1" x14ac:dyDescent="0.25">
      <c r="A5864" s="678">
        <f t="shared" si="171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0"/>
        <v>03,26</v>
      </c>
      <c r="L5864" s="678" t="s">
        <v>265</v>
      </c>
      <c r="M5864" s="678">
        <v>15492.599999999999</v>
      </c>
      <c r="N5864" s="678" t="s">
        <v>1236</v>
      </c>
    </row>
    <row r="5865" spans="1:14" hidden="1" x14ac:dyDescent="0.25">
      <c r="A5865" s="676">
        <f t="shared" si="171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0"/>
        <v>03,26</v>
      </c>
      <c r="L5865" s="676" t="s">
        <v>265</v>
      </c>
      <c r="M5865" s="676">
        <v>11818.8</v>
      </c>
      <c r="N5865" s="676" t="s">
        <v>1236</v>
      </c>
    </row>
    <row r="5866" spans="1:14" hidden="1" x14ac:dyDescent="0.25">
      <c r="A5866" s="678">
        <f t="shared" si="171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0"/>
        <v>03,26</v>
      </c>
      <c r="L5866" s="678" t="s">
        <v>265</v>
      </c>
      <c r="M5866" s="678">
        <v>17550.55</v>
      </c>
      <c r="N5866" s="678" t="s">
        <v>1236</v>
      </c>
    </row>
    <row r="5867" spans="1:14" hidden="1" x14ac:dyDescent="0.25">
      <c r="A5867" s="676">
        <f t="shared" si="171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0"/>
        <v>03,26</v>
      </c>
      <c r="L5867" s="676" t="s">
        <v>28</v>
      </c>
      <c r="M5867" s="676">
        <v>2005.9</v>
      </c>
      <c r="N5867" s="676" t="s">
        <v>1237</v>
      </c>
    </row>
    <row r="5868" spans="1:14" hidden="1" x14ac:dyDescent="0.25">
      <c r="A5868" s="676">
        <f t="shared" si="171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0"/>
        <v>03,26</v>
      </c>
      <c r="L5868" s="676" t="s">
        <v>28</v>
      </c>
      <c r="M5868" s="676">
        <v>5893.7999999999993</v>
      </c>
      <c r="N5868" s="676" t="s">
        <v>1237</v>
      </c>
    </row>
    <row r="5869" spans="1:14" hidden="1" x14ac:dyDescent="0.25">
      <c r="A5869" s="676">
        <f t="shared" si="171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0"/>
        <v>03,26</v>
      </c>
      <c r="L5869" s="676" t="s">
        <v>28</v>
      </c>
      <c r="M5869" s="676">
        <v>5331.3</v>
      </c>
      <c r="N5869" s="676" t="s">
        <v>1237</v>
      </c>
    </row>
    <row r="5870" spans="1:14" hidden="1" x14ac:dyDescent="0.25">
      <c r="A5870" s="676">
        <f t="shared" si="171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0"/>
        <v>03,26</v>
      </c>
      <c r="L5870" s="676" t="s">
        <v>28</v>
      </c>
      <c r="M5870" s="676">
        <v>1140.3600000000001</v>
      </c>
      <c r="N5870" s="676" t="s">
        <v>1237</v>
      </c>
    </row>
    <row r="5871" spans="1:14" hidden="1" x14ac:dyDescent="0.25">
      <c r="A5871" s="676">
        <f t="shared" si="171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0"/>
        <v>03,26</v>
      </c>
      <c r="L5871" s="676" t="s">
        <v>28</v>
      </c>
      <c r="M5871" s="676">
        <v>3014.4</v>
      </c>
      <c r="N5871" s="676" t="s">
        <v>1237</v>
      </c>
    </row>
    <row r="5872" spans="1:14" hidden="1" x14ac:dyDescent="0.25">
      <c r="A5872" s="678">
        <f t="shared" si="171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0"/>
        <v>03,26</v>
      </c>
      <c r="L5872" s="678" t="s">
        <v>28</v>
      </c>
      <c r="M5872" s="678">
        <v>8786.119999999999</v>
      </c>
      <c r="N5872" s="678" t="s">
        <v>1239</v>
      </c>
    </row>
    <row r="5873" spans="1:14" ht="56.25" hidden="1" x14ac:dyDescent="0.25">
      <c r="A5873" s="678">
        <f t="shared" si="171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0"/>
        <v>03,26</v>
      </c>
      <c r="L5873" s="678" t="s">
        <v>28</v>
      </c>
      <c r="M5873" s="678">
        <v>1149.1199999999999</v>
      </c>
      <c r="N5873" s="678" t="s">
        <v>1239</v>
      </c>
    </row>
    <row r="5874" spans="1:14" hidden="1" x14ac:dyDescent="0.25">
      <c r="A5874" s="678">
        <f t="shared" si="171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0"/>
        <v>03,26</v>
      </c>
      <c r="L5874" s="678" t="s">
        <v>28</v>
      </c>
      <c r="M5874" s="678">
        <v>7312.0400000000009</v>
      </c>
      <c r="N5874" s="678" t="s">
        <v>1239</v>
      </c>
    </row>
    <row r="5875" spans="1:14" hidden="1" x14ac:dyDescent="0.25">
      <c r="A5875" s="676">
        <f t="shared" si="171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0"/>
        <v>03,26</v>
      </c>
      <c r="L5875" s="676" t="s">
        <v>265</v>
      </c>
      <c r="M5875" s="676">
        <v>11765.960000000001</v>
      </c>
      <c r="N5875" s="676" t="s">
        <v>1236</v>
      </c>
    </row>
    <row r="5876" spans="1:14" hidden="1" x14ac:dyDescent="0.25">
      <c r="A5876" s="678">
        <f t="shared" si="171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0"/>
        <v>03,26</v>
      </c>
      <c r="L5876" s="678" t="s">
        <v>265</v>
      </c>
      <c r="M5876" s="678">
        <v>15932.070000000002</v>
      </c>
      <c r="N5876" s="678" t="s">
        <v>1236</v>
      </c>
    </row>
    <row r="5877" spans="1:14" hidden="1" x14ac:dyDescent="0.25">
      <c r="A5877" s="678">
        <f t="shared" si="171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0"/>
        <v>03,26</v>
      </c>
      <c r="L5877" s="678" t="s">
        <v>266</v>
      </c>
      <c r="M5877" s="678">
        <v>1529.6399999999999</v>
      </c>
      <c r="N5877" s="678" t="s">
        <v>1236</v>
      </c>
    </row>
    <row r="5878" spans="1:14" hidden="1" x14ac:dyDescent="0.25">
      <c r="A5878" s="676">
        <f t="shared" si="171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0"/>
        <v>03,26</v>
      </c>
      <c r="L5878" s="676" t="s">
        <v>28</v>
      </c>
      <c r="M5878" s="676">
        <v>9918.24</v>
      </c>
      <c r="N5878" s="676" t="s">
        <v>1237</v>
      </c>
    </row>
    <row r="5879" spans="1:14" ht="75" hidden="1" x14ac:dyDescent="0.25">
      <c r="A5879" s="678">
        <f t="shared" si="171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2">RIGHT(I5879,5)</f>
        <v>03,26</v>
      </c>
      <c r="L5879" s="678" t="s">
        <v>28</v>
      </c>
      <c r="M5879" s="678">
        <v>10052</v>
      </c>
      <c r="N5879" s="678" t="s">
        <v>1237</v>
      </c>
    </row>
    <row r="5880" spans="1:14" hidden="1" x14ac:dyDescent="0.25">
      <c r="A5880" s="676">
        <f t="shared" si="171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2"/>
        <v>03,26</v>
      </c>
      <c r="L5880" s="676" t="s">
        <v>265</v>
      </c>
      <c r="M5880" s="676">
        <v>17715.18</v>
      </c>
      <c r="N5880" s="676" t="s">
        <v>1236</v>
      </c>
    </row>
    <row r="5881" spans="1:14" hidden="1" x14ac:dyDescent="0.25">
      <c r="A5881" s="678">
        <f t="shared" si="171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2"/>
        <v>03,26</v>
      </c>
      <c r="L5881" s="678" t="s">
        <v>28</v>
      </c>
      <c r="M5881" s="678">
        <v>7026.48</v>
      </c>
      <c r="N5881" s="678" t="s">
        <v>1237</v>
      </c>
    </row>
    <row r="5882" spans="1:14" hidden="1" x14ac:dyDescent="0.25">
      <c r="A5882" s="678">
        <f t="shared" si="171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2"/>
        <v>03,26</v>
      </c>
      <c r="L5882" s="678" t="s">
        <v>266</v>
      </c>
      <c r="M5882" s="678">
        <v>4981.18</v>
      </c>
      <c r="N5882" s="678" t="s">
        <v>1237</v>
      </c>
    </row>
    <row r="5883" spans="1:14" hidden="1" x14ac:dyDescent="0.25">
      <c r="A5883" s="678">
        <f t="shared" si="171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2"/>
        <v>03,26</v>
      </c>
      <c r="L5883" s="678" t="s">
        <v>28</v>
      </c>
      <c r="M5883" s="678">
        <v>5123.1000000000013</v>
      </c>
      <c r="N5883" s="678" t="s">
        <v>1237</v>
      </c>
    </row>
    <row r="5884" spans="1:14" hidden="1" x14ac:dyDescent="0.25">
      <c r="A5884" s="676">
        <f t="shared" si="171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2"/>
        <v>03,26</v>
      </c>
      <c r="L5884" s="676" t="s">
        <v>28</v>
      </c>
      <c r="M5884" s="676">
        <v>7492.17</v>
      </c>
      <c r="N5884" s="676" t="s">
        <v>1239</v>
      </c>
    </row>
    <row r="5885" spans="1:14" hidden="1" x14ac:dyDescent="0.25">
      <c r="A5885" s="676">
        <f t="shared" si="171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2"/>
        <v>03,26</v>
      </c>
      <c r="L5885" s="676" t="s">
        <v>28</v>
      </c>
      <c r="M5885" s="676">
        <v>9848.6600000000017</v>
      </c>
      <c r="N5885" s="676" t="s">
        <v>1239</v>
      </c>
    </row>
    <row r="5886" spans="1:14" hidden="1" x14ac:dyDescent="0.25">
      <c r="A5886" s="678">
        <f t="shared" si="171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2"/>
        <v>03,26</v>
      </c>
      <c r="L5886" s="678" t="s">
        <v>266</v>
      </c>
      <c r="M5886" s="678">
        <v>17066.449999999997</v>
      </c>
      <c r="N5886" s="678" t="s">
        <v>1236</v>
      </c>
    </row>
    <row r="5887" spans="1:14" hidden="1" x14ac:dyDescent="0.25">
      <c r="A5887" s="676">
        <f t="shared" si="171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2"/>
        <v>03,26</v>
      </c>
      <c r="L5887" s="676" t="s">
        <v>265</v>
      </c>
      <c r="M5887" s="676">
        <v>12002.160000000002</v>
      </c>
      <c r="N5887" s="676" t="s">
        <v>1236</v>
      </c>
    </row>
    <row r="5888" spans="1:14" hidden="1" x14ac:dyDescent="0.25">
      <c r="A5888" s="678">
        <f t="shared" si="171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2"/>
        <v>03,26</v>
      </c>
      <c r="L5888" s="678" t="s">
        <v>28</v>
      </c>
      <c r="M5888" s="678">
        <v>5518.84</v>
      </c>
      <c r="N5888" s="678" t="s">
        <v>1237</v>
      </c>
    </row>
    <row r="5889" spans="1:14" hidden="1" x14ac:dyDescent="0.25">
      <c r="A5889" s="678">
        <f t="shared" si="171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2"/>
        <v>03,26</v>
      </c>
      <c r="L5889" s="678" t="s">
        <v>28</v>
      </c>
      <c r="M5889" s="678">
        <v>6873.96</v>
      </c>
      <c r="N5889" s="678" t="s">
        <v>1237</v>
      </c>
    </row>
    <row r="5890" spans="1:14" hidden="1" x14ac:dyDescent="0.25">
      <c r="A5890" s="676">
        <f t="shared" si="171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2"/>
        <v>03,26</v>
      </c>
      <c r="L5890" s="676" t="s">
        <v>28</v>
      </c>
      <c r="M5890" s="676">
        <v>7232.88</v>
      </c>
      <c r="N5890" s="676" t="s">
        <v>1239</v>
      </c>
    </row>
    <row r="5891" spans="1:14" hidden="1" x14ac:dyDescent="0.25">
      <c r="A5891" s="676">
        <f t="shared" si="171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2"/>
        <v>03,26</v>
      </c>
      <c r="L5891" s="676" t="s">
        <v>28</v>
      </c>
      <c r="M5891" s="676">
        <v>4834.92</v>
      </c>
      <c r="N5891" s="676" t="s">
        <v>1239</v>
      </c>
    </row>
    <row r="5892" spans="1:14" hidden="1" x14ac:dyDescent="0.25">
      <c r="A5892" s="678">
        <f t="shared" si="171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2"/>
        <v>03,26</v>
      </c>
      <c r="L5892" s="678" t="s">
        <v>266</v>
      </c>
      <c r="M5892" s="678">
        <v>18210.959999999995</v>
      </c>
      <c r="N5892" s="678" t="s">
        <v>1237</v>
      </c>
    </row>
    <row r="5893" spans="1:14" hidden="1" x14ac:dyDescent="0.25">
      <c r="A5893" s="676">
        <f t="shared" si="171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2"/>
        <v>03,26</v>
      </c>
      <c r="L5893" s="676" t="s">
        <v>266</v>
      </c>
      <c r="M5893" s="676">
        <v>18148.7</v>
      </c>
      <c r="N5893" s="676" t="s">
        <v>1239</v>
      </c>
    </row>
    <row r="5894" spans="1:14" hidden="1" x14ac:dyDescent="0.25">
      <c r="A5894" s="678">
        <f t="shared" si="171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2"/>
        <v>03,26</v>
      </c>
      <c r="L5894" s="678" t="s">
        <v>266</v>
      </c>
      <c r="M5894" s="678">
        <v>18167.100000000002</v>
      </c>
      <c r="N5894" s="678" t="s">
        <v>1240</v>
      </c>
    </row>
    <row r="5895" spans="1:14" hidden="1" x14ac:dyDescent="0.25">
      <c r="A5895" s="676">
        <f t="shared" si="171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2"/>
        <v>03,26</v>
      </c>
      <c r="L5895" s="676" t="s">
        <v>265</v>
      </c>
      <c r="M5895" s="676">
        <v>4650</v>
      </c>
      <c r="N5895" s="676" t="s">
        <v>1236</v>
      </c>
    </row>
    <row r="5896" spans="1:14" hidden="1" x14ac:dyDescent="0.25">
      <c r="A5896" s="676">
        <f t="shared" si="171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2"/>
        <v>03,26</v>
      </c>
      <c r="L5896" s="676" t="s">
        <v>265</v>
      </c>
      <c r="M5896" s="676">
        <v>12993.619999999999</v>
      </c>
      <c r="N5896" s="676" t="s">
        <v>1236</v>
      </c>
    </row>
    <row r="5897" spans="1:14" hidden="1" x14ac:dyDescent="0.25">
      <c r="A5897" s="678">
        <f t="shared" si="171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2"/>
        <v>03,26</v>
      </c>
      <c r="L5897" s="678" t="s">
        <v>266</v>
      </c>
      <c r="M5897" s="678">
        <v>10586.66</v>
      </c>
      <c r="N5897" s="678" t="s">
        <v>1237</v>
      </c>
    </row>
    <row r="5898" spans="1:14" hidden="1" x14ac:dyDescent="0.25">
      <c r="A5898" s="678">
        <f t="shared" si="171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2"/>
        <v>03,26</v>
      </c>
      <c r="L5898" s="678" t="s">
        <v>266</v>
      </c>
      <c r="M5898" s="678">
        <v>1036.2</v>
      </c>
      <c r="N5898" s="678" t="s">
        <v>1237</v>
      </c>
    </row>
    <row r="5899" spans="1:14" hidden="1" x14ac:dyDescent="0.25">
      <c r="A5899" s="678">
        <f t="shared" si="171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2"/>
        <v>03,26</v>
      </c>
      <c r="L5899" s="678" t="s">
        <v>266</v>
      </c>
      <c r="M5899" s="678">
        <v>3003</v>
      </c>
      <c r="N5899" s="678" t="s">
        <v>1237</v>
      </c>
    </row>
    <row r="5900" spans="1:14" hidden="1" x14ac:dyDescent="0.25">
      <c r="A5900" s="676">
        <f t="shared" si="171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2"/>
        <v>03,26</v>
      </c>
      <c r="L5900" s="676" t="s">
        <v>265</v>
      </c>
      <c r="M5900" s="676">
        <v>11104.68</v>
      </c>
      <c r="N5900" s="676" t="s">
        <v>1236</v>
      </c>
    </row>
    <row r="5901" spans="1:14" hidden="1" x14ac:dyDescent="0.25">
      <c r="A5901" s="678">
        <f t="shared" si="171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2"/>
        <v>03,26</v>
      </c>
      <c r="L5901" s="678" t="s">
        <v>265</v>
      </c>
      <c r="M5901" s="678">
        <v>17735.240000000002</v>
      </c>
      <c r="N5901" s="678" t="s">
        <v>1236</v>
      </c>
    </row>
    <row r="5902" spans="1:14" hidden="1" x14ac:dyDescent="0.25">
      <c r="A5902" s="676">
        <f t="shared" si="171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2"/>
        <v>03,26</v>
      </c>
      <c r="L5902" s="676" t="s">
        <v>28</v>
      </c>
      <c r="M5902" s="676">
        <v>9724.2199999999975</v>
      </c>
      <c r="N5902" s="676" t="s">
        <v>1237</v>
      </c>
    </row>
    <row r="5903" spans="1:14" hidden="1" x14ac:dyDescent="0.25">
      <c r="A5903" s="676">
        <f t="shared" si="171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2"/>
        <v>03,26</v>
      </c>
      <c r="L5903" s="676" t="s">
        <v>28</v>
      </c>
      <c r="M5903" s="676">
        <v>5399.38</v>
      </c>
      <c r="N5903" s="676" t="s">
        <v>1237</v>
      </c>
    </row>
    <row r="5904" spans="1:14" hidden="1" x14ac:dyDescent="0.25">
      <c r="A5904" s="676">
        <f t="shared" si="171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2"/>
        <v>03,26</v>
      </c>
      <c r="L5904" s="676" t="s">
        <v>28</v>
      </c>
      <c r="M5904" s="676">
        <v>2101.92</v>
      </c>
      <c r="N5904" s="676" t="s">
        <v>1237</v>
      </c>
    </row>
    <row r="5905" spans="1:14" hidden="1" x14ac:dyDescent="0.25">
      <c r="A5905" s="678">
        <f t="shared" si="171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2"/>
        <v>03,26</v>
      </c>
      <c r="L5905" s="678" t="s">
        <v>28</v>
      </c>
      <c r="M5905" s="678">
        <v>9135.2200000000012</v>
      </c>
      <c r="N5905" s="678" t="s">
        <v>1239</v>
      </c>
    </row>
    <row r="5906" spans="1:14" hidden="1" x14ac:dyDescent="0.25">
      <c r="A5906" s="678">
        <f t="shared" si="171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2"/>
        <v>03,26</v>
      </c>
      <c r="L5906" s="678" t="s">
        <v>28</v>
      </c>
      <c r="M5906" s="678">
        <v>8001.0400000000009</v>
      </c>
      <c r="N5906" s="678" t="s">
        <v>1239</v>
      </c>
    </row>
    <row r="5907" spans="1:14" hidden="1" x14ac:dyDescent="0.25">
      <c r="A5907" s="676">
        <f t="shared" si="171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2"/>
        <v>03,26</v>
      </c>
      <c r="L5907" s="676" t="s">
        <v>28</v>
      </c>
      <c r="M5907" s="676">
        <v>16309.080000000002</v>
      </c>
      <c r="N5907" s="676" t="s">
        <v>1240</v>
      </c>
    </row>
    <row r="5908" spans="1:14" hidden="1" x14ac:dyDescent="0.25">
      <c r="A5908" s="676">
        <f t="shared" si="171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2"/>
        <v>03,26</v>
      </c>
      <c r="L5908" s="676" t="s">
        <v>28</v>
      </c>
      <c r="M5908" s="676">
        <v>852.72</v>
      </c>
      <c r="N5908" s="676" t="s">
        <v>1240</v>
      </c>
    </row>
    <row r="5909" spans="1:14" hidden="1" x14ac:dyDescent="0.25">
      <c r="A5909" s="678">
        <f t="shared" ref="A5909:A5972" si="173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2"/>
        <v>03,26</v>
      </c>
      <c r="L5909" s="678" t="s">
        <v>265</v>
      </c>
      <c r="M5909" s="678">
        <v>16169.919999999998</v>
      </c>
      <c r="N5909" s="678" t="s">
        <v>1236</v>
      </c>
    </row>
    <row r="5910" spans="1:14" hidden="1" x14ac:dyDescent="0.25">
      <c r="A5910" s="678">
        <f t="shared" si="173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2"/>
        <v>03,26</v>
      </c>
      <c r="L5910" s="678" t="s">
        <v>266</v>
      </c>
      <c r="M5910" s="678">
        <v>1330.56</v>
      </c>
      <c r="N5910" s="678" t="s">
        <v>1236</v>
      </c>
    </row>
    <row r="5911" spans="1:14" ht="37.5" hidden="1" x14ac:dyDescent="0.25">
      <c r="A5911" s="676">
        <f t="shared" si="173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2"/>
        <v>03,26</v>
      </c>
      <c r="L5911" s="676" t="s">
        <v>265</v>
      </c>
      <c r="M5911" s="676">
        <v>11551.519999999999</v>
      </c>
      <c r="N5911" s="676" t="s">
        <v>1236</v>
      </c>
    </row>
    <row r="5912" spans="1:14" ht="75" hidden="1" x14ac:dyDescent="0.25">
      <c r="A5912" s="678">
        <f t="shared" si="173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2"/>
        <v>03,26</v>
      </c>
      <c r="L5912" s="678" t="s">
        <v>28</v>
      </c>
      <c r="M5912" s="678">
        <v>10091.100000000002</v>
      </c>
      <c r="N5912" s="678" t="s">
        <v>1237</v>
      </c>
    </row>
    <row r="5913" spans="1:14" hidden="1" x14ac:dyDescent="0.25">
      <c r="A5913" s="676">
        <f t="shared" si="173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2"/>
        <v>03,26</v>
      </c>
      <c r="L5913" s="676" t="s">
        <v>265</v>
      </c>
      <c r="M5913" s="676">
        <v>17491.580000000002</v>
      </c>
      <c r="N5913" s="676" t="s">
        <v>1236</v>
      </c>
    </row>
    <row r="5914" spans="1:14" hidden="1" x14ac:dyDescent="0.25">
      <c r="A5914" s="678">
        <f t="shared" si="173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2"/>
        <v>03,26</v>
      </c>
      <c r="L5914" s="678" t="s">
        <v>28</v>
      </c>
      <c r="M5914" s="678">
        <v>10836.72</v>
      </c>
      <c r="N5914" s="678" t="s">
        <v>1237</v>
      </c>
    </row>
    <row r="5915" spans="1:14" hidden="1" x14ac:dyDescent="0.25">
      <c r="A5915" s="678">
        <f t="shared" si="173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2"/>
        <v>03,26</v>
      </c>
      <c r="L5915" s="678" t="s">
        <v>266</v>
      </c>
      <c r="M5915" s="678">
        <v>6288.1</v>
      </c>
      <c r="N5915" s="678" t="s">
        <v>1237</v>
      </c>
    </row>
    <row r="5916" spans="1:14" hidden="1" x14ac:dyDescent="0.25">
      <c r="A5916" s="676">
        <f t="shared" si="173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2"/>
        <v>03,26</v>
      </c>
      <c r="L5916" s="676" t="s">
        <v>28</v>
      </c>
      <c r="M5916" s="676">
        <v>17121.799999999996</v>
      </c>
      <c r="N5916" s="676" t="s">
        <v>1239</v>
      </c>
    </row>
    <row r="5917" spans="1:14" hidden="1" x14ac:dyDescent="0.25">
      <c r="A5917" s="678">
        <f t="shared" si="173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2"/>
        <v>03,26</v>
      </c>
      <c r="L5917" s="678" t="s">
        <v>28</v>
      </c>
      <c r="M5917" s="678">
        <v>17079.3</v>
      </c>
      <c r="N5917" s="678" t="s">
        <v>1240</v>
      </c>
    </row>
    <row r="5918" spans="1:14" hidden="1" x14ac:dyDescent="0.25">
      <c r="A5918" s="676">
        <f t="shared" si="173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2"/>
        <v>03,26</v>
      </c>
      <c r="L5918" s="676" t="s">
        <v>28</v>
      </c>
      <c r="M5918" s="676">
        <v>17176.809999999998</v>
      </c>
      <c r="N5918" s="676" t="s">
        <v>1241</v>
      </c>
    </row>
    <row r="5919" spans="1:14" hidden="1" x14ac:dyDescent="0.25">
      <c r="A5919" s="678">
        <f t="shared" si="173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2"/>
        <v>03,26</v>
      </c>
      <c r="L5919" s="678" t="s">
        <v>28</v>
      </c>
      <c r="M5919" s="678">
        <v>7019.28</v>
      </c>
      <c r="N5919" s="678" t="s">
        <v>1242</v>
      </c>
    </row>
    <row r="5920" spans="1:14" hidden="1" x14ac:dyDescent="0.25">
      <c r="A5920" s="678">
        <f t="shared" si="173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2"/>
        <v>03,26</v>
      </c>
      <c r="L5920" s="678" t="s">
        <v>28</v>
      </c>
      <c r="M5920" s="678">
        <v>10038.48</v>
      </c>
      <c r="N5920" s="678" t="s">
        <v>1242</v>
      </c>
    </row>
    <row r="5921" spans="1:14" hidden="1" x14ac:dyDescent="0.25">
      <c r="A5921" s="676">
        <f t="shared" si="173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2"/>
        <v>03,26</v>
      </c>
      <c r="L5921" s="676" t="s">
        <v>28</v>
      </c>
      <c r="M5921" s="676">
        <v>17290.330000000002</v>
      </c>
      <c r="N5921" s="676" t="s">
        <v>1306</v>
      </c>
    </row>
    <row r="5922" spans="1:14" hidden="1" x14ac:dyDescent="0.25">
      <c r="A5922" s="678">
        <f t="shared" si="173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2"/>
        <v>03,26</v>
      </c>
      <c r="L5922" s="678" t="s">
        <v>28</v>
      </c>
      <c r="M5922" s="678">
        <v>1255.8</v>
      </c>
      <c r="N5922" s="678" t="s">
        <v>1237</v>
      </c>
    </row>
    <row r="5923" spans="1:14" hidden="1" x14ac:dyDescent="0.25">
      <c r="A5923" s="678">
        <f t="shared" si="173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2"/>
        <v>03,26</v>
      </c>
      <c r="L5923" s="678" t="s">
        <v>28</v>
      </c>
      <c r="M5923" s="678">
        <v>10013.280000000001</v>
      </c>
      <c r="N5923" s="678" t="s">
        <v>1237</v>
      </c>
    </row>
    <row r="5924" spans="1:14" hidden="1" x14ac:dyDescent="0.25">
      <c r="A5924" s="676">
        <f t="shared" si="173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2"/>
        <v>03,26</v>
      </c>
      <c r="L5924" s="676" t="s">
        <v>28</v>
      </c>
      <c r="M5924" s="676">
        <v>12899.119999999999</v>
      </c>
      <c r="N5924" s="676" t="s">
        <v>1239</v>
      </c>
    </row>
    <row r="5925" spans="1:14" hidden="1" x14ac:dyDescent="0.25">
      <c r="A5925" s="678">
        <f t="shared" si="173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2"/>
        <v>03,26</v>
      </c>
      <c r="L5925" s="678" t="s">
        <v>28</v>
      </c>
      <c r="M5925" s="678">
        <v>3710.2799999999997</v>
      </c>
      <c r="N5925" s="678" t="s">
        <v>1240</v>
      </c>
    </row>
    <row r="5926" spans="1:14" hidden="1" x14ac:dyDescent="0.25">
      <c r="A5926" s="678">
        <f t="shared" si="173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2"/>
        <v>03,26</v>
      </c>
      <c r="L5926" s="678" t="s">
        <v>28</v>
      </c>
      <c r="M5926" s="678">
        <v>5392.2</v>
      </c>
      <c r="N5926" s="678" t="s">
        <v>1240</v>
      </c>
    </row>
    <row r="5927" spans="1:14" hidden="1" x14ac:dyDescent="0.25">
      <c r="A5927" s="676">
        <f t="shared" si="173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2"/>
        <v>03,26</v>
      </c>
      <c r="L5927" s="676" t="s">
        <v>28</v>
      </c>
      <c r="M5927" s="676">
        <v>10376.84</v>
      </c>
      <c r="N5927" s="676" t="s">
        <v>1241</v>
      </c>
    </row>
    <row r="5928" spans="1:14" hidden="1" x14ac:dyDescent="0.25">
      <c r="A5928" s="678">
        <f t="shared" si="173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2"/>
        <v>03,26</v>
      </c>
      <c r="L5928" s="678" t="s">
        <v>28</v>
      </c>
      <c r="M5928" s="678">
        <v>1688.4</v>
      </c>
      <c r="N5928" s="678" t="s">
        <v>1242</v>
      </c>
    </row>
    <row r="5929" spans="1:14" hidden="1" x14ac:dyDescent="0.25">
      <c r="A5929" s="678">
        <f t="shared" si="173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2"/>
        <v>03,26</v>
      </c>
      <c r="L5929" s="678" t="s">
        <v>28</v>
      </c>
      <c r="M5929" s="678">
        <v>9044.0400000000009</v>
      </c>
      <c r="N5929" s="678" t="s">
        <v>1242</v>
      </c>
    </row>
    <row r="5930" spans="1:14" hidden="1" x14ac:dyDescent="0.25">
      <c r="A5930" s="676">
        <f t="shared" si="173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2"/>
        <v>03,26</v>
      </c>
      <c r="L5930" s="676" t="s">
        <v>265</v>
      </c>
      <c r="M5930" s="676">
        <v>17654.200000000004</v>
      </c>
      <c r="N5930" s="676" t="s">
        <v>1236</v>
      </c>
    </row>
    <row r="5931" spans="1:14" hidden="1" x14ac:dyDescent="0.25">
      <c r="A5931" s="678">
        <f t="shared" si="173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2"/>
        <v>03,26</v>
      </c>
      <c r="L5931" s="678" t="s">
        <v>266</v>
      </c>
      <c r="M5931" s="678">
        <v>2747.38</v>
      </c>
      <c r="N5931" s="678" t="s">
        <v>1240</v>
      </c>
    </row>
    <row r="5932" spans="1:14" hidden="1" x14ac:dyDescent="0.25">
      <c r="A5932" s="678">
        <f t="shared" si="173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2"/>
        <v>03,26</v>
      </c>
      <c r="L5932" s="678" t="s">
        <v>266</v>
      </c>
      <c r="M5932" s="678">
        <v>12658.999999999998</v>
      </c>
      <c r="N5932" s="678" t="s">
        <v>1240</v>
      </c>
    </row>
    <row r="5933" spans="1:14" hidden="1" x14ac:dyDescent="0.25">
      <c r="A5933" s="676">
        <f t="shared" si="173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2"/>
        <v>03,26</v>
      </c>
      <c r="L5933" s="676" t="s">
        <v>266</v>
      </c>
      <c r="M5933" s="676">
        <v>18067.28</v>
      </c>
      <c r="N5933" s="676" t="s">
        <v>1236</v>
      </c>
    </row>
    <row r="5934" spans="1:14" hidden="1" x14ac:dyDescent="0.25">
      <c r="A5934" s="678">
        <f t="shared" si="173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2"/>
        <v>03,26</v>
      </c>
      <c r="L5934" s="678" t="s">
        <v>266</v>
      </c>
      <c r="M5934" s="678">
        <v>18242.36</v>
      </c>
      <c r="N5934" s="678" t="s">
        <v>1237</v>
      </c>
    </row>
    <row r="5935" spans="1:14" hidden="1" x14ac:dyDescent="0.25">
      <c r="A5935" s="676">
        <f t="shared" si="173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2"/>
        <v>03,26</v>
      </c>
      <c r="L5935" s="676" t="s">
        <v>266</v>
      </c>
      <c r="M5935" s="676">
        <v>18152.12</v>
      </c>
      <c r="N5935" s="676" t="s">
        <v>1239</v>
      </c>
    </row>
    <row r="5936" spans="1:14" hidden="1" x14ac:dyDescent="0.25">
      <c r="A5936" s="678">
        <f t="shared" si="173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2"/>
        <v>03,26</v>
      </c>
      <c r="L5936" s="678" t="s">
        <v>266</v>
      </c>
      <c r="M5936" s="678">
        <v>18243.599999999999</v>
      </c>
      <c r="N5936" s="678" t="s">
        <v>1240</v>
      </c>
    </row>
    <row r="5937" spans="1:14" hidden="1" x14ac:dyDescent="0.25">
      <c r="A5937" s="676">
        <f t="shared" si="173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2"/>
        <v>03,26</v>
      </c>
      <c r="L5937" s="676" t="s">
        <v>265</v>
      </c>
      <c r="M5937" s="676">
        <v>1755.9</v>
      </c>
      <c r="N5937" s="676" t="s">
        <v>1236</v>
      </c>
    </row>
    <row r="5938" spans="1:14" hidden="1" x14ac:dyDescent="0.25">
      <c r="A5938" s="676">
        <f t="shared" si="173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2"/>
        <v>03,26</v>
      </c>
      <c r="L5938" s="676" t="s">
        <v>265</v>
      </c>
      <c r="M5938" s="676">
        <v>15534.8</v>
      </c>
      <c r="N5938" s="676" t="s">
        <v>1236</v>
      </c>
    </row>
    <row r="5939" spans="1:14" hidden="1" x14ac:dyDescent="0.25">
      <c r="A5939" s="678">
        <f t="shared" si="173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2"/>
        <v>03,26</v>
      </c>
      <c r="L5939" s="678" t="s">
        <v>266</v>
      </c>
      <c r="M5939" s="678">
        <v>1227</v>
      </c>
      <c r="N5939" s="678" t="s">
        <v>1237</v>
      </c>
    </row>
    <row r="5940" spans="1:14" hidden="1" x14ac:dyDescent="0.25">
      <c r="A5940" s="678">
        <f t="shared" si="173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2"/>
        <v>03,26</v>
      </c>
      <c r="L5940" s="678" t="s">
        <v>266</v>
      </c>
      <c r="M5940" s="678">
        <v>6866.72</v>
      </c>
      <c r="N5940" s="678" t="s">
        <v>1237</v>
      </c>
    </row>
    <row r="5941" spans="1:14" hidden="1" x14ac:dyDescent="0.25">
      <c r="A5941" s="678">
        <f t="shared" si="173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2"/>
        <v>03,26</v>
      </c>
      <c r="L5941" s="678" t="s">
        <v>266</v>
      </c>
      <c r="M5941" s="678">
        <v>4679.5200000000004</v>
      </c>
      <c r="N5941" s="678" t="s">
        <v>1237</v>
      </c>
    </row>
    <row r="5942" spans="1:14" hidden="1" x14ac:dyDescent="0.25">
      <c r="A5942" s="678">
        <f t="shared" si="173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2"/>
        <v>03,26</v>
      </c>
      <c r="L5942" s="678" t="s">
        <v>266</v>
      </c>
      <c r="M5942" s="678">
        <v>2004.6</v>
      </c>
      <c r="N5942" s="678" t="s">
        <v>1237</v>
      </c>
    </row>
    <row r="5943" spans="1:14" hidden="1" x14ac:dyDescent="0.25">
      <c r="A5943" s="676">
        <f t="shared" si="173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4">RIGHT(I5943,5)</f>
        <v>03,26</v>
      </c>
      <c r="L5943" s="676" t="s">
        <v>265</v>
      </c>
      <c r="M5943" s="676">
        <v>11917.72</v>
      </c>
      <c r="N5943" s="676" t="s">
        <v>1236</v>
      </c>
    </row>
    <row r="5944" spans="1:14" hidden="1" x14ac:dyDescent="0.25">
      <c r="A5944" s="678">
        <f t="shared" si="173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4"/>
        <v>03,26</v>
      </c>
      <c r="L5944" s="678" t="s">
        <v>28</v>
      </c>
      <c r="M5944" s="678">
        <v>7350</v>
      </c>
      <c r="N5944" s="678" t="s">
        <v>1237</v>
      </c>
    </row>
    <row r="5945" spans="1:14" hidden="1" x14ac:dyDescent="0.25">
      <c r="A5945" s="676">
        <f t="shared" si="173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4"/>
        <v>03,26</v>
      </c>
      <c r="L5945" s="676" t="s">
        <v>265</v>
      </c>
      <c r="M5945" s="676">
        <v>17655.580000000002</v>
      </c>
      <c r="N5945" s="676" t="s">
        <v>1236</v>
      </c>
    </row>
    <row r="5946" spans="1:14" hidden="1" x14ac:dyDescent="0.25">
      <c r="A5946" s="678">
        <f t="shared" si="173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4"/>
        <v>03,26</v>
      </c>
      <c r="L5946" s="678" t="s">
        <v>28</v>
      </c>
      <c r="M5946" s="678">
        <v>8546.6400000000012</v>
      </c>
      <c r="N5946" s="678" t="s">
        <v>1237</v>
      </c>
    </row>
    <row r="5947" spans="1:14" ht="56.25" hidden="1" x14ac:dyDescent="0.25">
      <c r="A5947" s="678">
        <f t="shared" si="173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4"/>
        <v>03,26</v>
      </c>
      <c r="L5947" s="678" t="s">
        <v>28</v>
      </c>
      <c r="M5947" s="678">
        <v>788.6400000000001</v>
      </c>
      <c r="N5947" s="678" t="s">
        <v>1237</v>
      </c>
    </row>
    <row r="5948" spans="1:14" hidden="1" x14ac:dyDescent="0.25">
      <c r="A5948" s="678">
        <f t="shared" si="173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4"/>
        <v>03,26</v>
      </c>
      <c r="L5948" s="678" t="s">
        <v>28</v>
      </c>
      <c r="M5948" s="678">
        <v>7811.3200000000006</v>
      </c>
      <c r="N5948" s="678" t="s">
        <v>1237</v>
      </c>
    </row>
    <row r="5949" spans="1:14" hidden="1" x14ac:dyDescent="0.25">
      <c r="A5949" s="676">
        <f t="shared" si="173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4"/>
        <v>03,26</v>
      </c>
      <c r="L5949" s="676" t="s">
        <v>28</v>
      </c>
      <c r="M5949" s="676">
        <v>9129.659999999998</v>
      </c>
      <c r="N5949" s="676" t="s">
        <v>1239</v>
      </c>
    </row>
    <row r="5950" spans="1:14" hidden="1" x14ac:dyDescent="0.25">
      <c r="A5950" s="676">
        <f t="shared" si="173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4"/>
        <v>03,26</v>
      </c>
      <c r="L5950" s="676" t="s">
        <v>28</v>
      </c>
      <c r="M5950" s="676">
        <v>3058.98</v>
      </c>
      <c r="N5950" s="676" t="s">
        <v>1239</v>
      </c>
    </row>
    <row r="5951" spans="1:14" hidden="1" x14ac:dyDescent="0.25">
      <c r="A5951" s="676">
        <f t="shared" si="173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4"/>
        <v>03,26</v>
      </c>
      <c r="L5951" s="676" t="s">
        <v>28</v>
      </c>
      <c r="M5951" s="676">
        <v>5022</v>
      </c>
      <c r="N5951" s="676" t="s">
        <v>1239</v>
      </c>
    </row>
    <row r="5952" spans="1:14" hidden="1" x14ac:dyDescent="0.25">
      <c r="A5952" s="678">
        <f t="shared" si="173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4"/>
        <v>03,26</v>
      </c>
      <c r="L5952" s="678" t="s">
        <v>28</v>
      </c>
      <c r="M5952" s="678">
        <v>15859.26</v>
      </c>
      <c r="N5952" s="678" t="s">
        <v>1240</v>
      </c>
    </row>
    <row r="5953" spans="1:14" hidden="1" x14ac:dyDescent="0.25">
      <c r="A5953" s="678">
        <f t="shared" si="173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4"/>
        <v>03,26</v>
      </c>
      <c r="L5953" s="678" t="s">
        <v>28</v>
      </c>
      <c r="M5953" s="678">
        <v>1331.3400000000001</v>
      </c>
      <c r="N5953" s="678" t="s">
        <v>1240</v>
      </c>
    </row>
    <row r="5954" spans="1:14" hidden="1" x14ac:dyDescent="0.25">
      <c r="A5954" s="676">
        <f t="shared" si="173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4"/>
        <v>03,26</v>
      </c>
      <c r="L5954" s="676" t="s">
        <v>28</v>
      </c>
      <c r="M5954" s="676">
        <v>17124.740000000002</v>
      </c>
      <c r="N5954" s="676" t="s">
        <v>1241</v>
      </c>
    </row>
    <row r="5955" spans="1:14" hidden="1" x14ac:dyDescent="0.25">
      <c r="A5955" s="678">
        <f t="shared" si="173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4"/>
        <v>03,26</v>
      </c>
      <c r="L5955" s="678" t="s">
        <v>28</v>
      </c>
      <c r="M5955" s="678">
        <v>17441.169999999998</v>
      </c>
      <c r="N5955" s="678" t="s">
        <v>1242</v>
      </c>
    </row>
    <row r="5956" spans="1:14" hidden="1" x14ac:dyDescent="0.25">
      <c r="A5956" s="676">
        <f t="shared" si="173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4"/>
        <v>03,26</v>
      </c>
      <c r="L5956" s="676" t="s">
        <v>265</v>
      </c>
      <c r="M5956" s="676">
        <v>16058.12</v>
      </c>
      <c r="N5956" s="676" t="s">
        <v>1236</v>
      </c>
    </row>
    <row r="5957" spans="1:14" hidden="1" x14ac:dyDescent="0.25">
      <c r="A5957" s="676">
        <f t="shared" si="173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4"/>
        <v>03,26</v>
      </c>
      <c r="L5957" s="676" t="s">
        <v>266</v>
      </c>
      <c r="M5957" s="676">
        <v>1424.16</v>
      </c>
      <c r="N5957" s="676" t="s">
        <v>1236</v>
      </c>
    </row>
    <row r="5958" spans="1:14" hidden="1" x14ac:dyDescent="0.25">
      <c r="A5958" s="678">
        <f t="shared" si="173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4"/>
        <v>03,26</v>
      </c>
      <c r="L5958" s="678" t="s">
        <v>266</v>
      </c>
      <c r="M5958" s="678">
        <v>18015</v>
      </c>
      <c r="N5958" s="678" t="s">
        <v>1237</v>
      </c>
    </row>
    <row r="5959" spans="1:14" ht="37.5" hidden="1" x14ac:dyDescent="0.25">
      <c r="A5959" s="676">
        <f t="shared" si="173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4"/>
        <v>03,26</v>
      </c>
      <c r="L5959" s="676" t="s">
        <v>28</v>
      </c>
      <c r="M5959" s="676">
        <v>13157.18</v>
      </c>
      <c r="N5959" s="676" t="s">
        <v>1240</v>
      </c>
    </row>
    <row r="5960" spans="1:14" hidden="1" x14ac:dyDescent="0.25">
      <c r="A5960" s="678">
        <f t="shared" si="173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4"/>
        <v>03,26</v>
      </c>
      <c r="L5960" s="678" t="s">
        <v>265</v>
      </c>
      <c r="M5960" s="678">
        <v>13063.879999999997</v>
      </c>
      <c r="N5960" s="678" t="s">
        <v>1236</v>
      </c>
    </row>
    <row r="5961" spans="1:14" hidden="1" x14ac:dyDescent="0.25">
      <c r="A5961" s="676">
        <f t="shared" si="173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4"/>
        <v>03,26</v>
      </c>
      <c r="L5961" s="676" t="s">
        <v>28</v>
      </c>
      <c r="M5961" s="676">
        <v>9839.0400000000009</v>
      </c>
      <c r="N5961" s="676" t="s">
        <v>1237</v>
      </c>
    </row>
    <row r="5962" spans="1:14" hidden="1" x14ac:dyDescent="0.25">
      <c r="A5962" s="678">
        <f t="shared" si="173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4"/>
        <v>03,26</v>
      </c>
      <c r="L5962" s="678" t="s">
        <v>265</v>
      </c>
      <c r="M5962" s="678">
        <v>17669.740000000002</v>
      </c>
      <c r="N5962" s="678" t="s">
        <v>1236</v>
      </c>
    </row>
    <row r="5963" spans="1:14" hidden="1" x14ac:dyDescent="0.25">
      <c r="A5963" s="676">
        <f t="shared" si="173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4"/>
        <v>03,26</v>
      </c>
      <c r="L5963" s="676" t="s">
        <v>28</v>
      </c>
      <c r="M5963" s="676">
        <v>2817.3</v>
      </c>
      <c r="N5963" s="676" t="s">
        <v>1237</v>
      </c>
    </row>
    <row r="5964" spans="1:14" hidden="1" x14ac:dyDescent="0.25">
      <c r="A5964" s="676">
        <f t="shared" si="173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4"/>
        <v>03,26</v>
      </c>
      <c r="L5964" s="676" t="s">
        <v>266</v>
      </c>
      <c r="M5964" s="676">
        <v>10391.459999999999</v>
      </c>
      <c r="N5964" s="676" t="s">
        <v>1237</v>
      </c>
    </row>
    <row r="5965" spans="1:14" hidden="1" x14ac:dyDescent="0.25">
      <c r="A5965" s="676">
        <f t="shared" si="173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4"/>
        <v>03,26</v>
      </c>
      <c r="L5965" s="676" t="s">
        <v>266</v>
      </c>
      <c r="M5965" s="676">
        <v>3929.42</v>
      </c>
      <c r="N5965" s="676" t="s">
        <v>1237</v>
      </c>
    </row>
    <row r="5966" spans="1:14" hidden="1" x14ac:dyDescent="0.25">
      <c r="A5966" s="678">
        <f t="shared" si="173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4"/>
        <v>03,26</v>
      </c>
      <c r="L5966" s="678" t="s">
        <v>28</v>
      </c>
      <c r="M5966" s="678">
        <v>6910.12</v>
      </c>
      <c r="N5966" s="678" t="s">
        <v>1239</v>
      </c>
    </row>
    <row r="5967" spans="1:14" hidden="1" x14ac:dyDescent="0.25">
      <c r="A5967" s="678">
        <f t="shared" si="173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4"/>
        <v>03,26</v>
      </c>
      <c r="L5967" s="678" t="s">
        <v>28</v>
      </c>
      <c r="M5967" s="678">
        <v>10546.279999999999</v>
      </c>
      <c r="N5967" s="678" t="s">
        <v>1239</v>
      </c>
    </row>
    <row r="5968" spans="1:14" hidden="1" x14ac:dyDescent="0.25">
      <c r="A5968" s="676">
        <f t="shared" si="173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4"/>
        <v>03,26</v>
      </c>
      <c r="L5968" s="676" t="s">
        <v>28</v>
      </c>
      <c r="M5968" s="676">
        <v>10353.780000000001</v>
      </c>
      <c r="N5968" s="676" t="s">
        <v>1240</v>
      </c>
    </row>
    <row r="5969" spans="1:14" hidden="1" x14ac:dyDescent="0.25">
      <c r="A5969" s="676">
        <f t="shared" si="173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4"/>
        <v>03,26</v>
      </c>
      <c r="L5969" s="676" t="s">
        <v>28</v>
      </c>
      <c r="M5969" s="676">
        <v>6929.0800000000017</v>
      </c>
      <c r="N5969" s="676" t="s">
        <v>1240</v>
      </c>
    </row>
    <row r="5970" spans="1:14" hidden="1" x14ac:dyDescent="0.25">
      <c r="A5970" s="678">
        <f t="shared" si="173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4"/>
        <v>03,26</v>
      </c>
      <c r="L5970" s="678" t="s">
        <v>28</v>
      </c>
      <c r="M5970" s="678">
        <v>17174.760000000002</v>
      </c>
      <c r="N5970" s="678" t="s">
        <v>1241</v>
      </c>
    </row>
    <row r="5971" spans="1:14" hidden="1" x14ac:dyDescent="0.25">
      <c r="A5971" s="676">
        <f t="shared" si="173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4"/>
        <v>03,26</v>
      </c>
      <c r="L5971" s="676" t="s">
        <v>28</v>
      </c>
      <c r="M5971" s="676">
        <v>5437.4</v>
      </c>
      <c r="N5971" s="676" t="s">
        <v>1237</v>
      </c>
    </row>
    <row r="5972" spans="1:14" hidden="1" x14ac:dyDescent="0.25">
      <c r="A5972" s="676">
        <f t="shared" si="173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4"/>
        <v>03,26</v>
      </c>
      <c r="L5972" s="676" t="s">
        <v>28</v>
      </c>
      <c r="M5972" s="676">
        <v>6889.8</v>
      </c>
      <c r="N5972" s="676" t="s">
        <v>1237</v>
      </c>
    </row>
    <row r="5973" spans="1:14" hidden="1" x14ac:dyDescent="0.25">
      <c r="A5973" s="678">
        <f t="shared" ref="A5973:A6036" si="175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4"/>
        <v>03,26</v>
      </c>
      <c r="L5973" s="678" t="s">
        <v>28</v>
      </c>
      <c r="M5973" s="678">
        <v>6467.4400000000005</v>
      </c>
      <c r="N5973" s="678" t="s">
        <v>1239</v>
      </c>
    </row>
    <row r="5974" spans="1:14" hidden="1" x14ac:dyDescent="0.25">
      <c r="A5974" s="678">
        <f t="shared" si="175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4"/>
        <v>03,26</v>
      </c>
      <c r="L5974" s="678" t="s">
        <v>28</v>
      </c>
      <c r="M5974" s="678">
        <v>8409.1999999999989</v>
      </c>
      <c r="N5974" s="678" t="s">
        <v>1239</v>
      </c>
    </row>
    <row r="5975" spans="1:14" hidden="1" x14ac:dyDescent="0.25">
      <c r="A5975" s="676">
        <f t="shared" si="175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4"/>
        <v>03,26</v>
      </c>
      <c r="L5975" s="676" t="s">
        <v>28</v>
      </c>
      <c r="M5975" s="676">
        <v>6506.6</v>
      </c>
      <c r="N5975" s="676" t="s">
        <v>1240</v>
      </c>
    </row>
    <row r="5976" spans="1:14" hidden="1" x14ac:dyDescent="0.25">
      <c r="A5976" s="676">
        <f t="shared" si="175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4"/>
        <v>03,26</v>
      </c>
      <c r="L5976" s="676" t="s">
        <v>28</v>
      </c>
      <c r="M5976" s="676">
        <v>5191.6399999999994</v>
      </c>
      <c r="N5976" s="676" t="s">
        <v>1240</v>
      </c>
    </row>
    <row r="5977" spans="1:14" hidden="1" x14ac:dyDescent="0.25">
      <c r="A5977" s="678">
        <f t="shared" si="175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4"/>
        <v>03,26</v>
      </c>
      <c r="L5977" s="678" t="s">
        <v>265</v>
      </c>
      <c r="M5977" s="678">
        <v>17647.25</v>
      </c>
      <c r="N5977" s="678" t="s">
        <v>1236</v>
      </c>
    </row>
    <row r="5978" spans="1:14" hidden="1" x14ac:dyDescent="0.25">
      <c r="A5978" s="676">
        <f t="shared" si="175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4"/>
        <v>04,26</v>
      </c>
      <c r="L5978" s="676" t="s">
        <v>266</v>
      </c>
      <c r="M5978" s="676">
        <v>18139.18</v>
      </c>
      <c r="N5978" s="676" t="s">
        <v>1237</v>
      </c>
    </row>
    <row r="5979" spans="1:14" hidden="1" x14ac:dyDescent="0.25">
      <c r="A5979" s="678">
        <f t="shared" si="175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4"/>
        <v>04,26</v>
      </c>
      <c r="L5979" s="678" t="s">
        <v>266</v>
      </c>
      <c r="M5979" s="678">
        <v>18153.72</v>
      </c>
      <c r="N5979" s="678" t="s">
        <v>1236</v>
      </c>
    </row>
    <row r="5980" spans="1:14" hidden="1" x14ac:dyDescent="0.25">
      <c r="A5980" s="676">
        <f t="shared" si="175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4"/>
        <v>04,26</v>
      </c>
      <c r="L5980" s="676" t="s">
        <v>266</v>
      </c>
      <c r="M5980" s="676">
        <v>18170.180000000004</v>
      </c>
      <c r="N5980" s="676" t="s">
        <v>1237</v>
      </c>
    </row>
    <row r="5981" spans="1:14" hidden="1" x14ac:dyDescent="0.25">
      <c r="A5981" s="678">
        <f t="shared" si="175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4"/>
        <v>04,26</v>
      </c>
      <c r="L5981" s="678" t="s">
        <v>266</v>
      </c>
      <c r="M5981" s="678">
        <v>18136.400000000001</v>
      </c>
      <c r="N5981" s="678" t="s">
        <v>1239</v>
      </c>
    </row>
    <row r="5982" spans="1:14" hidden="1" x14ac:dyDescent="0.25">
      <c r="A5982" s="676">
        <f t="shared" si="175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4"/>
        <v>04,26</v>
      </c>
      <c r="L5982" s="676" t="s">
        <v>266</v>
      </c>
      <c r="M5982" s="676">
        <v>18211.800000000003</v>
      </c>
      <c r="N5982" s="676" t="s">
        <v>1240</v>
      </c>
    </row>
    <row r="5983" spans="1:14" hidden="1" x14ac:dyDescent="0.25">
      <c r="A5983" s="678">
        <f t="shared" si="175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4"/>
        <v>04,26</v>
      </c>
      <c r="L5983" s="678" t="s">
        <v>266</v>
      </c>
      <c r="M5983" s="678">
        <v>4677.8499999999995</v>
      </c>
      <c r="N5983" s="678" t="s">
        <v>1241</v>
      </c>
    </row>
    <row r="5984" spans="1:14" hidden="1" x14ac:dyDescent="0.25">
      <c r="A5984" s="678">
        <f t="shared" si="175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4"/>
        <v>04,26</v>
      </c>
      <c r="L5984" s="678" t="s">
        <v>266</v>
      </c>
      <c r="M5984" s="678">
        <v>4014.6</v>
      </c>
      <c r="N5984" s="678" t="s">
        <v>1241</v>
      </c>
    </row>
    <row r="5985" spans="1:14" hidden="1" x14ac:dyDescent="0.25">
      <c r="A5985" s="676">
        <f t="shared" si="175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4"/>
        <v>04,26</v>
      </c>
      <c r="L5985" s="676" t="s">
        <v>265</v>
      </c>
      <c r="M5985" s="676">
        <v>3788.7</v>
      </c>
      <c r="N5985" s="676" t="s">
        <v>1236</v>
      </c>
    </row>
    <row r="5986" spans="1:14" hidden="1" x14ac:dyDescent="0.25">
      <c r="A5986" s="676">
        <f t="shared" si="175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4"/>
        <v>04,26</v>
      </c>
      <c r="L5986" s="676" t="s">
        <v>265</v>
      </c>
      <c r="M5986" s="676">
        <v>13654.6</v>
      </c>
      <c r="N5986" s="676" t="s">
        <v>1236</v>
      </c>
    </row>
    <row r="5987" spans="1:14" hidden="1" x14ac:dyDescent="0.25">
      <c r="A5987" s="678">
        <f t="shared" si="175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4"/>
        <v>04,26</v>
      </c>
      <c r="L5987" s="678" t="s">
        <v>265</v>
      </c>
      <c r="M5987" s="678">
        <v>12875.68</v>
      </c>
      <c r="N5987" s="678" t="s">
        <v>1236</v>
      </c>
    </row>
    <row r="5988" spans="1:14" hidden="1" x14ac:dyDescent="0.25">
      <c r="A5988" s="676">
        <f t="shared" si="175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4"/>
        <v>04,26</v>
      </c>
      <c r="L5988" s="676" t="s">
        <v>265</v>
      </c>
      <c r="M5988" s="676">
        <v>17790.82</v>
      </c>
      <c r="N5988" s="676" t="s">
        <v>1236</v>
      </c>
    </row>
    <row r="5989" spans="1:14" hidden="1" x14ac:dyDescent="0.25">
      <c r="A5989" s="678">
        <f t="shared" si="175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4"/>
        <v>04,26</v>
      </c>
      <c r="L5989" s="678" t="s">
        <v>28</v>
      </c>
      <c r="M5989" s="678">
        <v>5547.3600000000006</v>
      </c>
      <c r="N5989" s="678" t="s">
        <v>1237</v>
      </c>
    </row>
    <row r="5990" spans="1:14" ht="56.25" hidden="1" x14ac:dyDescent="0.25">
      <c r="A5990" s="678">
        <f t="shared" si="175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4"/>
        <v>04,26</v>
      </c>
      <c r="L5990" s="678" t="s">
        <v>28</v>
      </c>
      <c r="M5990" s="678">
        <v>1653.12</v>
      </c>
      <c r="N5990" s="678" t="s">
        <v>1237</v>
      </c>
    </row>
    <row r="5991" spans="1:14" hidden="1" x14ac:dyDescent="0.25">
      <c r="A5991" s="678">
        <f t="shared" si="175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4"/>
        <v>04,26</v>
      </c>
      <c r="L5991" s="678" t="s">
        <v>28</v>
      </c>
      <c r="M5991" s="678">
        <v>9967.880000000001</v>
      </c>
      <c r="N5991" s="678" t="s">
        <v>1237</v>
      </c>
    </row>
    <row r="5992" spans="1:14" hidden="1" x14ac:dyDescent="0.25">
      <c r="A5992" s="676">
        <f t="shared" si="175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4"/>
        <v>04,26</v>
      </c>
      <c r="L5992" s="676" t="s">
        <v>28</v>
      </c>
      <c r="M5992" s="676">
        <v>4269.0699999999988</v>
      </c>
      <c r="N5992" s="676" t="s">
        <v>1239</v>
      </c>
    </row>
    <row r="5993" spans="1:14" hidden="1" x14ac:dyDescent="0.25">
      <c r="A5993" s="676">
        <f t="shared" si="175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4"/>
        <v>04,26</v>
      </c>
      <c r="L5993" s="676" t="s">
        <v>28</v>
      </c>
      <c r="M5993" s="676">
        <v>8813.3599999999988</v>
      </c>
      <c r="N5993" s="676" t="s">
        <v>1239</v>
      </c>
    </row>
    <row r="5994" spans="1:14" hidden="1" x14ac:dyDescent="0.25">
      <c r="A5994" s="676">
        <f t="shared" si="175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4"/>
        <v>04,26</v>
      </c>
      <c r="L5994" s="676" t="s">
        <v>28</v>
      </c>
      <c r="M5994" s="676">
        <v>4323</v>
      </c>
      <c r="N5994" s="676" t="s">
        <v>1239</v>
      </c>
    </row>
    <row r="5995" spans="1:14" ht="37.5" hidden="1" x14ac:dyDescent="0.25">
      <c r="A5995" s="678">
        <f t="shared" si="175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4"/>
        <v>04,26</v>
      </c>
      <c r="L5995" s="678" t="s">
        <v>28</v>
      </c>
      <c r="M5995" s="678">
        <v>8526.0600000000013</v>
      </c>
      <c r="N5995" s="678" t="s">
        <v>1240</v>
      </c>
    </row>
    <row r="5996" spans="1:14" hidden="1" x14ac:dyDescent="0.25">
      <c r="A5996" s="676">
        <f t="shared" si="175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4"/>
        <v>04,26</v>
      </c>
      <c r="L5996" s="676" t="s">
        <v>28</v>
      </c>
      <c r="M5996" s="676">
        <v>3522.6</v>
      </c>
      <c r="N5996" s="676" t="s">
        <v>1241</v>
      </c>
    </row>
    <row r="5997" spans="1:14" hidden="1" x14ac:dyDescent="0.25">
      <c r="A5997" s="676">
        <f t="shared" si="175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4"/>
        <v>04,26</v>
      </c>
      <c r="L5997" s="676" t="s">
        <v>28</v>
      </c>
      <c r="M5997" s="676">
        <v>13850.980000000005</v>
      </c>
      <c r="N5997" s="676" t="s">
        <v>1241</v>
      </c>
    </row>
    <row r="5998" spans="1:14" hidden="1" x14ac:dyDescent="0.25">
      <c r="A5998" s="678">
        <f t="shared" si="175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4"/>
        <v>04,26</v>
      </c>
      <c r="L5998" s="678" t="s">
        <v>28</v>
      </c>
      <c r="M5998" s="678">
        <v>15821.579999999998</v>
      </c>
      <c r="N5998" s="678" t="s">
        <v>1242</v>
      </c>
    </row>
    <row r="5999" spans="1:14" hidden="1" x14ac:dyDescent="0.25">
      <c r="A5999" s="678">
        <f t="shared" si="175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4"/>
        <v>04,26</v>
      </c>
      <c r="L5999" s="678" t="s">
        <v>28</v>
      </c>
      <c r="M5999" s="678">
        <v>1482.18</v>
      </c>
      <c r="N5999" s="678" t="s">
        <v>1242</v>
      </c>
    </row>
    <row r="6000" spans="1:14" hidden="1" x14ac:dyDescent="0.25">
      <c r="A6000" s="676">
        <f t="shared" si="175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4"/>
        <v>04,26</v>
      </c>
      <c r="L6000" s="676" t="s">
        <v>265</v>
      </c>
      <c r="M6000" s="676">
        <v>15538.599999999999</v>
      </c>
      <c r="N6000" s="676" t="s">
        <v>1236</v>
      </c>
    </row>
    <row r="6001" spans="1:14" hidden="1" x14ac:dyDescent="0.25">
      <c r="A6001" s="676">
        <f t="shared" si="175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4"/>
        <v>04,26</v>
      </c>
      <c r="L6001" s="676" t="s">
        <v>266</v>
      </c>
      <c r="M6001" s="676">
        <v>1829.6999999999998</v>
      </c>
      <c r="N6001" s="676" t="s">
        <v>1236</v>
      </c>
    </row>
    <row r="6002" spans="1:14" hidden="1" x14ac:dyDescent="0.25">
      <c r="A6002" s="678">
        <f t="shared" si="175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4"/>
        <v>04,26</v>
      </c>
      <c r="L6002" s="678" t="s">
        <v>265</v>
      </c>
      <c r="M6002" s="678">
        <v>12680.480000000001</v>
      </c>
      <c r="N6002" s="678" t="s">
        <v>1236</v>
      </c>
    </row>
    <row r="6003" spans="1:14" ht="75" hidden="1" x14ac:dyDescent="0.25">
      <c r="A6003" s="676">
        <f t="shared" si="175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4"/>
        <v>04,26</v>
      </c>
      <c r="L6003" s="676" t="s">
        <v>28</v>
      </c>
      <c r="M6003" s="676">
        <v>15061.68</v>
      </c>
      <c r="N6003" s="676" t="s">
        <v>1237</v>
      </c>
    </row>
    <row r="6004" spans="1:14" hidden="1" x14ac:dyDescent="0.25">
      <c r="A6004" s="678">
        <f t="shared" si="175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4"/>
        <v>04,26</v>
      </c>
      <c r="L6004" s="678" t="s">
        <v>265</v>
      </c>
      <c r="M6004" s="678">
        <v>17651.16</v>
      </c>
      <c r="N6004" s="678" t="s">
        <v>1236</v>
      </c>
    </row>
    <row r="6005" spans="1:14" hidden="1" x14ac:dyDescent="0.25">
      <c r="A6005" s="676">
        <f t="shared" si="175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4"/>
        <v>04,26</v>
      </c>
      <c r="L6005" s="676" t="s">
        <v>28</v>
      </c>
      <c r="M6005" s="676">
        <v>1005</v>
      </c>
      <c r="N6005" s="676" t="s">
        <v>1237</v>
      </c>
    </row>
    <row r="6006" spans="1:14" hidden="1" x14ac:dyDescent="0.25">
      <c r="A6006" s="676">
        <f t="shared" si="175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4"/>
        <v>04,26</v>
      </c>
      <c r="L6006" s="676" t="s">
        <v>266</v>
      </c>
      <c r="M6006" s="676">
        <v>11897.84</v>
      </c>
      <c r="N6006" s="676" t="s">
        <v>1237</v>
      </c>
    </row>
    <row r="6007" spans="1:14" hidden="1" x14ac:dyDescent="0.25">
      <c r="A6007" s="676">
        <f t="shared" si="175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6">RIGHT(I6007,5)</f>
        <v>04,26</v>
      </c>
      <c r="L6007" s="676" t="s">
        <v>266</v>
      </c>
      <c r="M6007" s="676">
        <v>4200.22</v>
      </c>
      <c r="N6007" s="676" t="s">
        <v>1237</v>
      </c>
    </row>
    <row r="6008" spans="1:14" hidden="1" x14ac:dyDescent="0.25">
      <c r="A6008" s="678">
        <f t="shared" si="175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6"/>
        <v>04,26</v>
      </c>
      <c r="L6008" s="678" t="s">
        <v>28</v>
      </c>
      <c r="M6008" s="678">
        <v>9613.7199999999993</v>
      </c>
      <c r="N6008" s="678" t="s">
        <v>1239</v>
      </c>
    </row>
    <row r="6009" spans="1:14" hidden="1" x14ac:dyDescent="0.25">
      <c r="A6009" s="678">
        <f t="shared" si="175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6"/>
        <v>04,26</v>
      </c>
      <c r="L6009" s="678" t="s">
        <v>28</v>
      </c>
      <c r="M6009" s="678">
        <v>5603.4900000000007</v>
      </c>
      <c r="N6009" s="678" t="s">
        <v>1239</v>
      </c>
    </row>
    <row r="6010" spans="1:14" hidden="1" x14ac:dyDescent="0.25">
      <c r="A6010" s="678">
        <f t="shared" si="175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6"/>
        <v>04,26</v>
      </c>
      <c r="L6010" s="678" t="s">
        <v>28</v>
      </c>
      <c r="M6010" s="678">
        <v>2021.1</v>
      </c>
      <c r="N6010" s="678" t="s">
        <v>1239</v>
      </c>
    </row>
    <row r="6011" spans="1:14" hidden="1" x14ac:dyDescent="0.25">
      <c r="A6011" s="676">
        <f t="shared" si="175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6"/>
        <v>04,26</v>
      </c>
      <c r="L6011" s="676" t="s">
        <v>28</v>
      </c>
      <c r="M6011" s="676">
        <v>12101.96</v>
      </c>
      <c r="N6011" s="676" t="s">
        <v>1240</v>
      </c>
    </row>
    <row r="6012" spans="1:14" hidden="1" x14ac:dyDescent="0.25">
      <c r="A6012" s="676">
        <f t="shared" si="175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6"/>
        <v>04,26</v>
      </c>
      <c r="L6012" s="676" t="s">
        <v>28</v>
      </c>
      <c r="M6012" s="676">
        <v>5087.7999999999993</v>
      </c>
      <c r="N6012" s="676" t="s">
        <v>1240</v>
      </c>
    </row>
    <row r="6013" spans="1:14" hidden="1" x14ac:dyDescent="0.25">
      <c r="A6013" s="678">
        <f t="shared" si="175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6"/>
        <v>04,26</v>
      </c>
      <c r="L6013" s="678" t="s">
        <v>266</v>
      </c>
      <c r="M6013" s="678">
        <v>15882.539999999999</v>
      </c>
      <c r="N6013" s="678" t="s">
        <v>1241</v>
      </c>
    </row>
    <row r="6014" spans="1:14" hidden="1" x14ac:dyDescent="0.25">
      <c r="A6014" s="676">
        <f t="shared" si="175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6"/>
        <v>04,26</v>
      </c>
      <c r="L6014" s="676" t="s">
        <v>28</v>
      </c>
      <c r="M6014" s="676">
        <v>4628.3999999999996</v>
      </c>
      <c r="N6014" s="676" t="s">
        <v>1237</v>
      </c>
    </row>
    <row r="6015" spans="1:14" hidden="1" x14ac:dyDescent="0.25">
      <c r="A6015" s="676">
        <f t="shared" si="175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6"/>
        <v>04,26</v>
      </c>
      <c r="L6015" s="676" t="s">
        <v>28</v>
      </c>
      <c r="M6015" s="676">
        <v>4879.1600000000008</v>
      </c>
      <c r="N6015" s="676" t="s">
        <v>1237</v>
      </c>
    </row>
    <row r="6016" spans="1:14" hidden="1" x14ac:dyDescent="0.25">
      <c r="A6016" s="676">
        <f t="shared" si="175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6"/>
        <v>04,26</v>
      </c>
      <c r="L6016" s="676" t="s">
        <v>28</v>
      </c>
      <c r="M6016" s="676">
        <v>1952.0399999999997</v>
      </c>
      <c r="N6016" s="676" t="s">
        <v>1237</v>
      </c>
    </row>
    <row r="6017" spans="1:14" hidden="1" x14ac:dyDescent="0.25">
      <c r="A6017" s="678">
        <f t="shared" si="175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6"/>
        <v>04,26</v>
      </c>
      <c r="L6017" s="678" t="s">
        <v>28</v>
      </c>
      <c r="M6017" s="678">
        <v>9477.7200000000012</v>
      </c>
      <c r="N6017" s="678" t="s">
        <v>1239</v>
      </c>
    </row>
    <row r="6018" spans="1:14" hidden="1" x14ac:dyDescent="0.25">
      <c r="A6018" s="676">
        <f t="shared" si="175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6"/>
        <v>04,26</v>
      </c>
      <c r="L6018" s="676" t="s">
        <v>28</v>
      </c>
      <c r="M6018" s="676">
        <v>11631.32</v>
      </c>
      <c r="N6018" s="676" t="s">
        <v>1240</v>
      </c>
    </row>
    <row r="6019" spans="1:14" hidden="1" x14ac:dyDescent="0.25">
      <c r="A6019" s="678">
        <f t="shared" si="175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6"/>
        <v>04,26</v>
      </c>
      <c r="L6019" s="678" t="s">
        <v>265</v>
      </c>
      <c r="M6019" s="678">
        <v>17655.78</v>
      </c>
      <c r="N6019" s="678" t="s">
        <v>1236</v>
      </c>
    </row>
    <row r="6020" spans="1:14" hidden="1" x14ac:dyDescent="0.25">
      <c r="A6020" s="676">
        <f t="shared" si="175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6"/>
        <v>04,26</v>
      </c>
      <c r="L6020" s="676" t="s">
        <v>266</v>
      </c>
      <c r="M6020" s="676">
        <v>1600.5599999999997</v>
      </c>
      <c r="N6020" s="676" t="s">
        <v>1240</v>
      </c>
    </row>
    <row r="6021" spans="1:14" hidden="1" x14ac:dyDescent="0.25">
      <c r="A6021" s="676">
        <f t="shared" si="175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6"/>
        <v>04,26</v>
      </c>
      <c r="L6021" s="676" t="s">
        <v>266</v>
      </c>
      <c r="M6021" s="676">
        <v>12748.149999999998</v>
      </c>
      <c r="N6021" s="676" t="s">
        <v>1240</v>
      </c>
    </row>
    <row r="6022" spans="1:14" hidden="1" x14ac:dyDescent="0.25">
      <c r="A6022" s="678">
        <f t="shared" si="175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6"/>
        <v>04,26</v>
      </c>
      <c r="L6022" s="678" t="s">
        <v>266</v>
      </c>
      <c r="M6022" s="678">
        <v>18166.800000000003</v>
      </c>
      <c r="N6022" s="678" t="s">
        <v>1236</v>
      </c>
    </row>
    <row r="6023" spans="1:14" hidden="1" x14ac:dyDescent="0.25">
      <c r="A6023" s="676">
        <f t="shared" si="175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6"/>
        <v>04,26</v>
      </c>
      <c r="L6023" s="676" t="s">
        <v>266</v>
      </c>
      <c r="M6023" s="676">
        <v>18056.579999999998</v>
      </c>
      <c r="N6023" s="676" t="s">
        <v>1237</v>
      </c>
    </row>
    <row r="6024" spans="1:14" hidden="1" x14ac:dyDescent="0.25">
      <c r="A6024" s="678">
        <f t="shared" si="175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6"/>
        <v>04,26</v>
      </c>
      <c r="L6024" s="678" t="s">
        <v>266</v>
      </c>
      <c r="M6024" s="678">
        <v>18055.52</v>
      </c>
      <c r="N6024" s="678" t="s">
        <v>1239</v>
      </c>
    </row>
    <row r="6025" spans="1:14" hidden="1" x14ac:dyDescent="0.25">
      <c r="A6025" s="676">
        <f t="shared" si="175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6"/>
        <v>04,26</v>
      </c>
      <c r="L6025" s="676" t="s">
        <v>266</v>
      </c>
      <c r="M6025" s="676">
        <v>18033</v>
      </c>
      <c r="N6025" s="676" t="s">
        <v>1240</v>
      </c>
    </row>
    <row r="6026" spans="1:14" hidden="1" x14ac:dyDescent="0.25">
      <c r="A6026" s="678">
        <f t="shared" si="175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6"/>
        <v>04,26</v>
      </c>
      <c r="L6026" s="678" t="s">
        <v>265</v>
      </c>
      <c r="M6026" s="678">
        <v>4279</v>
      </c>
      <c r="N6026" s="678" t="s">
        <v>1236</v>
      </c>
    </row>
    <row r="6027" spans="1:14" hidden="1" x14ac:dyDescent="0.25">
      <c r="A6027" s="678">
        <f t="shared" si="175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6"/>
        <v>04,26</v>
      </c>
      <c r="L6027" s="678" t="s">
        <v>265</v>
      </c>
      <c r="M6027" s="678">
        <v>13358.81</v>
      </c>
      <c r="N6027" s="678" t="s">
        <v>1236</v>
      </c>
    </row>
    <row r="6028" spans="1:14" hidden="1" x14ac:dyDescent="0.25">
      <c r="A6028" s="676">
        <f t="shared" si="175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6"/>
        <v>04,26</v>
      </c>
      <c r="L6028" s="676" t="s">
        <v>266</v>
      </c>
      <c r="M6028" s="676">
        <v>8233.82</v>
      </c>
      <c r="N6028" s="676" t="s">
        <v>1239</v>
      </c>
    </row>
    <row r="6029" spans="1:14" hidden="1" x14ac:dyDescent="0.25">
      <c r="A6029" s="676">
        <f t="shared" si="175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6"/>
        <v>04,26</v>
      </c>
      <c r="L6029" s="676" t="s">
        <v>266</v>
      </c>
      <c r="M6029" s="676">
        <v>4932.54</v>
      </c>
      <c r="N6029" s="676" t="s">
        <v>1239</v>
      </c>
    </row>
    <row r="6030" spans="1:14" hidden="1" x14ac:dyDescent="0.25">
      <c r="A6030" s="676">
        <f t="shared" si="175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6"/>
        <v>04,26</v>
      </c>
      <c r="L6030" s="676" t="s">
        <v>266</v>
      </c>
      <c r="M6030" s="676">
        <v>3504.6</v>
      </c>
      <c r="N6030" s="676" t="s">
        <v>1239</v>
      </c>
    </row>
    <row r="6031" spans="1:14" hidden="1" x14ac:dyDescent="0.25">
      <c r="A6031" s="678">
        <f t="shared" si="175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6"/>
        <v>04,26</v>
      </c>
      <c r="L6031" s="678" t="s">
        <v>265</v>
      </c>
      <c r="M6031" s="678">
        <v>12295.96</v>
      </c>
      <c r="N6031" s="678" t="s">
        <v>1236</v>
      </c>
    </row>
    <row r="6032" spans="1:14" hidden="1" x14ac:dyDescent="0.25">
      <c r="A6032" s="676">
        <f t="shared" si="175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6"/>
        <v>04,26</v>
      </c>
      <c r="L6032" s="676" t="s">
        <v>265</v>
      </c>
      <c r="M6032" s="676">
        <v>17734.52</v>
      </c>
      <c r="N6032" s="676" t="s">
        <v>1236</v>
      </c>
    </row>
    <row r="6033" spans="1:14" hidden="1" x14ac:dyDescent="0.25">
      <c r="A6033" s="678">
        <f t="shared" si="175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6"/>
        <v>04,26</v>
      </c>
      <c r="L6033" s="678" t="s">
        <v>28</v>
      </c>
      <c r="M6033" s="678">
        <v>9969.15</v>
      </c>
      <c r="N6033" s="678" t="s">
        <v>1237</v>
      </c>
    </row>
    <row r="6034" spans="1:14" ht="56.25" hidden="1" x14ac:dyDescent="0.25">
      <c r="A6034" s="678">
        <f t="shared" si="175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6"/>
        <v>04,26</v>
      </c>
      <c r="L6034" s="678" t="s">
        <v>28</v>
      </c>
      <c r="M6034" s="678">
        <v>1109.28</v>
      </c>
      <c r="N6034" s="678" t="s">
        <v>1237</v>
      </c>
    </row>
    <row r="6035" spans="1:14" hidden="1" x14ac:dyDescent="0.25">
      <c r="A6035" s="678">
        <f t="shared" si="175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6"/>
        <v>04,26</v>
      </c>
      <c r="L6035" s="678" t="s">
        <v>28</v>
      </c>
      <c r="M6035" s="678">
        <v>6064.2400000000007</v>
      </c>
      <c r="N6035" s="678" t="s">
        <v>1237</v>
      </c>
    </row>
    <row r="6036" spans="1:14" hidden="1" x14ac:dyDescent="0.25">
      <c r="A6036" s="676">
        <f t="shared" si="175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6"/>
        <v>04,26</v>
      </c>
      <c r="L6036" s="676" t="s">
        <v>28</v>
      </c>
      <c r="M6036" s="676">
        <v>10978.710000000003</v>
      </c>
      <c r="N6036" s="676" t="s">
        <v>1239</v>
      </c>
    </row>
    <row r="6037" spans="1:14" hidden="1" x14ac:dyDescent="0.25">
      <c r="A6037" s="676">
        <f t="shared" ref="A6037:A6100" si="177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6"/>
        <v>04,26</v>
      </c>
      <c r="L6037" s="676" t="s">
        <v>28</v>
      </c>
      <c r="M6037" s="676">
        <v>6532.5899999999983</v>
      </c>
      <c r="N6037" s="676" t="s">
        <v>1239</v>
      </c>
    </row>
    <row r="6038" spans="1:14" hidden="1" x14ac:dyDescent="0.25">
      <c r="A6038" s="678">
        <f t="shared" si="177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6"/>
        <v>04,26</v>
      </c>
      <c r="L6038" s="678" t="s">
        <v>28</v>
      </c>
      <c r="M6038" s="678">
        <v>15604.639999999998</v>
      </c>
      <c r="N6038" s="678" t="s">
        <v>1240</v>
      </c>
    </row>
    <row r="6039" spans="1:14" hidden="1" x14ac:dyDescent="0.25">
      <c r="A6039" s="678">
        <f t="shared" si="177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6"/>
        <v>04,26</v>
      </c>
      <c r="L6039" s="678" t="s">
        <v>28</v>
      </c>
      <c r="M6039" s="678">
        <v>1634.64</v>
      </c>
      <c r="N6039" s="678" t="s">
        <v>1240</v>
      </c>
    </row>
    <row r="6040" spans="1:14" hidden="1" x14ac:dyDescent="0.25">
      <c r="A6040" s="676">
        <f t="shared" si="177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6"/>
        <v>04,26</v>
      </c>
      <c r="L6040" s="676" t="s">
        <v>265</v>
      </c>
      <c r="M6040" s="676">
        <v>16538.019999999997</v>
      </c>
      <c r="N6040" s="676" t="s">
        <v>1236</v>
      </c>
    </row>
    <row r="6041" spans="1:14" hidden="1" x14ac:dyDescent="0.25">
      <c r="A6041" s="676">
        <f t="shared" si="177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6"/>
        <v>04,26</v>
      </c>
      <c r="L6041" s="676" t="s">
        <v>265</v>
      </c>
      <c r="M6041" s="676">
        <v>1313.7</v>
      </c>
      <c r="N6041" s="676" t="s">
        <v>1236</v>
      </c>
    </row>
    <row r="6042" spans="1:14" hidden="1" x14ac:dyDescent="0.25">
      <c r="A6042" s="678">
        <f t="shared" si="177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6"/>
        <v>04,26</v>
      </c>
      <c r="L6042" s="678" t="s">
        <v>265</v>
      </c>
      <c r="M6042" s="678">
        <v>13008.919999999998</v>
      </c>
      <c r="N6042" s="678" t="s">
        <v>1236</v>
      </c>
    </row>
    <row r="6043" spans="1:14" hidden="1" x14ac:dyDescent="0.25">
      <c r="A6043" s="676">
        <f t="shared" si="177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6"/>
        <v>04,26</v>
      </c>
      <c r="L6043" s="676" t="s">
        <v>266</v>
      </c>
      <c r="M6043" s="676">
        <v>11680.56</v>
      </c>
      <c r="N6043" s="676" t="s">
        <v>1237</v>
      </c>
    </row>
    <row r="6044" spans="1:14" hidden="1" x14ac:dyDescent="0.25">
      <c r="A6044" s="678">
        <f t="shared" si="177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6"/>
        <v>04,26</v>
      </c>
      <c r="L6044" s="678" t="s">
        <v>28</v>
      </c>
      <c r="M6044" s="678">
        <v>475.67999999999995</v>
      </c>
      <c r="N6044" s="678" t="s">
        <v>1239</v>
      </c>
    </row>
    <row r="6045" spans="1:14" hidden="1" x14ac:dyDescent="0.25">
      <c r="A6045" s="678">
        <f t="shared" si="177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6"/>
        <v>04,26</v>
      </c>
      <c r="L6045" s="678" t="s">
        <v>28</v>
      </c>
      <c r="M6045" s="678">
        <v>5288.5199999999995</v>
      </c>
      <c r="N6045" s="678" t="s">
        <v>1239</v>
      </c>
    </row>
    <row r="6046" spans="1:14" hidden="1" x14ac:dyDescent="0.25">
      <c r="A6046" s="678">
        <f t="shared" si="177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6"/>
        <v>04,26</v>
      </c>
      <c r="L6046" s="678" t="s">
        <v>28</v>
      </c>
      <c r="M6046" s="678">
        <v>7759.8</v>
      </c>
      <c r="N6046" s="678" t="s">
        <v>1239</v>
      </c>
    </row>
    <row r="6047" spans="1:14" hidden="1" x14ac:dyDescent="0.25">
      <c r="A6047" s="676">
        <f t="shared" si="177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6"/>
        <v>04,26</v>
      </c>
      <c r="L6047" s="676" t="s">
        <v>28</v>
      </c>
      <c r="M6047" s="676">
        <v>3080.88</v>
      </c>
      <c r="N6047" s="676" t="s">
        <v>1240</v>
      </c>
    </row>
    <row r="6048" spans="1:14" hidden="1" x14ac:dyDescent="0.25">
      <c r="A6048" s="676">
        <f t="shared" si="177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6"/>
        <v>04,26</v>
      </c>
      <c r="L6048" s="676" t="s">
        <v>28</v>
      </c>
      <c r="M6048" s="676">
        <v>10082.84</v>
      </c>
      <c r="N6048" s="676" t="s">
        <v>1240</v>
      </c>
    </row>
    <row r="6049" spans="1:14" hidden="1" x14ac:dyDescent="0.25">
      <c r="A6049" s="678">
        <f t="shared" si="177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6"/>
        <v>04,26</v>
      </c>
      <c r="L6049" s="678" t="s">
        <v>265</v>
      </c>
      <c r="M6049" s="678">
        <v>17796.72</v>
      </c>
      <c r="N6049" s="678" t="s">
        <v>1236</v>
      </c>
    </row>
    <row r="6050" spans="1:14" hidden="1" x14ac:dyDescent="0.25">
      <c r="A6050" s="676">
        <f t="shared" si="177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6"/>
        <v>04,26</v>
      </c>
      <c r="L6050" s="676" t="s">
        <v>28</v>
      </c>
      <c r="M6050" s="676">
        <v>9718.619999999999</v>
      </c>
      <c r="N6050" s="676" t="s">
        <v>1237</v>
      </c>
    </row>
    <row r="6051" spans="1:14" hidden="1" x14ac:dyDescent="0.25">
      <c r="A6051" s="676">
        <f t="shared" si="177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6"/>
        <v>04,26</v>
      </c>
      <c r="L6051" s="676" t="s">
        <v>266</v>
      </c>
      <c r="M6051" s="676">
        <v>7466.7</v>
      </c>
      <c r="N6051" s="676" t="s">
        <v>1237</v>
      </c>
    </row>
    <row r="6052" spans="1:14" hidden="1" x14ac:dyDescent="0.25">
      <c r="A6052" s="678">
        <f t="shared" si="177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6"/>
        <v>04,26</v>
      </c>
      <c r="L6052" s="678" t="s">
        <v>28</v>
      </c>
      <c r="M6052" s="678">
        <v>3505.92</v>
      </c>
      <c r="N6052" s="678" t="s">
        <v>1239</v>
      </c>
    </row>
    <row r="6053" spans="1:14" hidden="1" x14ac:dyDescent="0.25">
      <c r="A6053" s="678">
        <f t="shared" si="177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6"/>
        <v>04,26</v>
      </c>
      <c r="L6053" s="678" t="s">
        <v>266</v>
      </c>
      <c r="M6053" s="678">
        <v>13679.76</v>
      </c>
      <c r="N6053" s="678" t="s">
        <v>1239</v>
      </c>
    </row>
    <row r="6054" spans="1:14" hidden="1" x14ac:dyDescent="0.25">
      <c r="A6054" s="676">
        <f t="shared" si="177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6"/>
        <v>04,26</v>
      </c>
      <c r="L6054" s="676" t="s">
        <v>28</v>
      </c>
      <c r="M6054" s="676">
        <v>10776.289999999999</v>
      </c>
      <c r="N6054" s="676" t="s">
        <v>1240</v>
      </c>
    </row>
    <row r="6055" spans="1:14" hidden="1" x14ac:dyDescent="0.25">
      <c r="A6055" s="676">
        <f t="shared" si="177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6"/>
        <v>04,26</v>
      </c>
      <c r="L6055" s="676" t="s">
        <v>28</v>
      </c>
      <c r="M6055" s="676">
        <v>6533.64</v>
      </c>
      <c r="N6055" s="676" t="s">
        <v>1240</v>
      </c>
    </row>
    <row r="6056" spans="1:14" hidden="1" x14ac:dyDescent="0.25">
      <c r="A6056" s="678">
        <f t="shared" si="177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6"/>
        <v>04,26</v>
      </c>
      <c r="L6056" s="678" t="s">
        <v>28</v>
      </c>
      <c r="M6056" s="678">
        <v>17292.39</v>
      </c>
      <c r="N6056" s="678" t="s">
        <v>1241</v>
      </c>
    </row>
    <row r="6057" spans="1:14" hidden="1" x14ac:dyDescent="0.25">
      <c r="A6057" s="676">
        <f t="shared" si="177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6"/>
        <v>04,26</v>
      </c>
      <c r="L6057" s="676" t="s">
        <v>265</v>
      </c>
      <c r="M6057" s="676">
        <v>17725.52</v>
      </c>
      <c r="N6057" s="676" t="s">
        <v>1236</v>
      </c>
    </row>
    <row r="6058" spans="1:14" hidden="1" x14ac:dyDescent="0.25">
      <c r="A6058" s="676">
        <f t="shared" si="177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6"/>
        <v>04,26</v>
      </c>
      <c r="L6058" s="676" t="s">
        <v>265</v>
      </c>
      <c r="M6058" s="676">
        <v>21.6</v>
      </c>
      <c r="N6058" s="676" t="s">
        <v>1236</v>
      </c>
    </row>
    <row r="6059" spans="1:14" hidden="1" x14ac:dyDescent="0.25">
      <c r="A6059" s="678">
        <f t="shared" si="177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6"/>
        <v>04,26</v>
      </c>
      <c r="L6059" s="678" t="s">
        <v>266</v>
      </c>
      <c r="M6059" s="678">
        <v>18145.66</v>
      </c>
      <c r="N6059" s="678" t="s">
        <v>1237</v>
      </c>
    </row>
    <row r="6060" spans="1:14" hidden="1" x14ac:dyDescent="0.25">
      <c r="A6060" s="676">
        <f t="shared" si="177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6"/>
        <v>04,26</v>
      </c>
      <c r="L6060" s="676" t="s">
        <v>266</v>
      </c>
      <c r="M6060" s="676">
        <v>18076.540000000005</v>
      </c>
      <c r="N6060" s="676" t="s">
        <v>1239</v>
      </c>
    </row>
    <row r="6061" spans="1:14" hidden="1" x14ac:dyDescent="0.25">
      <c r="A6061" s="678">
        <f t="shared" si="177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6"/>
        <v>04,26</v>
      </c>
      <c r="L6061" s="678" t="s">
        <v>266</v>
      </c>
      <c r="M6061" s="678">
        <v>18130.46</v>
      </c>
      <c r="N6061" s="678" t="s">
        <v>1241</v>
      </c>
    </row>
    <row r="6062" spans="1:14" hidden="1" x14ac:dyDescent="0.25">
      <c r="A6062" s="676">
        <f t="shared" si="177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6"/>
        <v>04,26</v>
      </c>
      <c r="L6062" s="676" t="s">
        <v>265</v>
      </c>
      <c r="M6062" s="676">
        <v>2209.6</v>
      </c>
      <c r="N6062" s="676" t="s">
        <v>1236</v>
      </c>
    </row>
    <row r="6063" spans="1:14" hidden="1" x14ac:dyDescent="0.25">
      <c r="A6063" s="676">
        <f t="shared" si="177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6"/>
        <v>04,26</v>
      </c>
      <c r="L6063" s="676" t="s">
        <v>265</v>
      </c>
      <c r="M6063" s="676">
        <v>15503.880000000001</v>
      </c>
      <c r="N6063" s="676" t="s">
        <v>1236</v>
      </c>
    </row>
    <row r="6064" spans="1:14" hidden="1" x14ac:dyDescent="0.25">
      <c r="A6064" s="678">
        <f t="shared" si="177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6"/>
        <v>04,26</v>
      </c>
      <c r="L6064" s="678" t="s">
        <v>265</v>
      </c>
      <c r="M6064" s="678">
        <v>11774.32</v>
      </c>
      <c r="N6064" s="678" t="s">
        <v>1236</v>
      </c>
    </row>
    <row r="6065" spans="1:14" hidden="1" x14ac:dyDescent="0.25">
      <c r="A6065" s="676">
        <f t="shared" si="177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6"/>
        <v>04,26</v>
      </c>
      <c r="L6065" s="676" t="s">
        <v>265</v>
      </c>
      <c r="M6065" s="676">
        <v>17729.43</v>
      </c>
      <c r="N6065" s="676" t="s">
        <v>1236</v>
      </c>
    </row>
    <row r="6066" spans="1:14" hidden="1" x14ac:dyDescent="0.25">
      <c r="A6066" s="678">
        <f t="shared" si="177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6"/>
        <v>04,26</v>
      </c>
      <c r="L6066" s="678" t="s">
        <v>28</v>
      </c>
      <c r="M6066" s="678">
        <v>5145</v>
      </c>
      <c r="N6066" s="678" t="s">
        <v>1237</v>
      </c>
    </row>
    <row r="6067" spans="1:14" ht="56.25" hidden="1" x14ac:dyDescent="0.25">
      <c r="A6067" s="678">
        <f t="shared" si="177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6"/>
        <v>04,26</v>
      </c>
      <c r="L6067" s="678" t="s">
        <v>28</v>
      </c>
      <c r="M6067" s="678">
        <v>960.48</v>
      </c>
      <c r="N6067" s="678" t="s">
        <v>1237</v>
      </c>
    </row>
    <row r="6068" spans="1:14" hidden="1" x14ac:dyDescent="0.25">
      <c r="A6068" s="678">
        <f t="shared" si="177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6"/>
        <v>04,26</v>
      </c>
      <c r="L6068" s="678" t="s">
        <v>28</v>
      </c>
      <c r="M6068" s="678">
        <v>6322.72</v>
      </c>
      <c r="N6068" s="678" t="s">
        <v>1237</v>
      </c>
    </row>
    <row r="6069" spans="1:14" hidden="1" x14ac:dyDescent="0.25">
      <c r="A6069" s="678">
        <f t="shared" si="177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6"/>
        <v>04,26</v>
      </c>
      <c r="L6069" s="678" t="s">
        <v>266</v>
      </c>
      <c r="M6069" s="678">
        <v>4778.130000000001</v>
      </c>
      <c r="N6069" s="678" t="s">
        <v>1237</v>
      </c>
    </row>
    <row r="6070" spans="1:14" hidden="1" x14ac:dyDescent="0.25">
      <c r="A6070" s="676">
        <f t="shared" si="177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6"/>
        <v>04,26</v>
      </c>
      <c r="L6070" s="676" t="s">
        <v>28</v>
      </c>
      <c r="M6070" s="676">
        <v>8922.7200000000012</v>
      </c>
      <c r="N6070" s="676" t="s">
        <v>1239</v>
      </c>
    </row>
    <row r="6071" spans="1:14" hidden="1" x14ac:dyDescent="0.25">
      <c r="A6071" s="676">
        <f t="shared" si="177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8">RIGHT(I6071,5)</f>
        <v>04,26</v>
      </c>
      <c r="L6071" s="676" t="s">
        <v>28</v>
      </c>
      <c r="M6071" s="676">
        <v>8509.32</v>
      </c>
      <c r="N6071" s="676" t="s">
        <v>1239</v>
      </c>
    </row>
    <row r="6072" spans="1:14" hidden="1" x14ac:dyDescent="0.25">
      <c r="A6072" s="678">
        <f t="shared" si="177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8"/>
        <v>04,26</v>
      </c>
      <c r="L6072" s="678" t="s">
        <v>28</v>
      </c>
      <c r="M6072" s="678">
        <v>15814.97</v>
      </c>
      <c r="N6072" s="678" t="s">
        <v>1240</v>
      </c>
    </row>
    <row r="6073" spans="1:14" hidden="1" x14ac:dyDescent="0.25">
      <c r="A6073" s="678">
        <f t="shared" si="177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8"/>
        <v>04,26</v>
      </c>
      <c r="L6073" s="678" t="s">
        <v>28</v>
      </c>
      <c r="M6073" s="678">
        <v>1502.46</v>
      </c>
      <c r="N6073" s="678" t="s">
        <v>1240</v>
      </c>
    </row>
    <row r="6074" spans="1:14" hidden="1" x14ac:dyDescent="0.25">
      <c r="A6074" s="676">
        <f t="shared" si="177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8"/>
        <v>04,26</v>
      </c>
      <c r="L6074" s="676" t="s">
        <v>265</v>
      </c>
      <c r="M6074" s="676">
        <v>16184.560000000001</v>
      </c>
      <c r="N6074" s="676" t="s">
        <v>1236</v>
      </c>
    </row>
    <row r="6075" spans="1:14" hidden="1" x14ac:dyDescent="0.25">
      <c r="A6075" s="676">
        <f t="shared" si="177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8"/>
        <v>04,26</v>
      </c>
      <c r="L6075" s="676" t="s">
        <v>265</v>
      </c>
      <c r="M6075" s="676">
        <v>1328.2199999999998</v>
      </c>
      <c r="N6075" s="676" t="s">
        <v>1236</v>
      </c>
    </row>
    <row r="6076" spans="1:14" hidden="1" x14ac:dyDescent="0.25">
      <c r="A6076" s="678">
        <f t="shared" si="177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8"/>
        <v>04,26</v>
      </c>
      <c r="L6076" s="678" t="s">
        <v>265</v>
      </c>
      <c r="M6076" s="678">
        <v>11548.079999999998</v>
      </c>
      <c r="N6076" s="678" t="s">
        <v>1236</v>
      </c>
    </row>
    <row r="6077" spans="1:14" hidden="1" x14ac:dyDescent="0.25">
      <c r="A6077" s="676">
        <f t="shared" si="177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8"/>
        <v>04,26</v>
      </c>
      <c r="L6077" s="676" t="s">
        <v>28</v>
      </c>
      <c r="M6077" s="676">
        <v>11457.36</v>
      </c>
      <c r="N6077" s="676" t="s">
        <v>1237</v>
      </c>
    </row>
    <row r="6078" spans="1:14" hidden="1" x14ac:dyDescent="0.25">
      <c r="A6078" s="678">
        <f t="shared" si="177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8"/>
        <v>04,26</v>
      </c>
      <c r="L6078" s="678" t="s">
        <v>28</v>
      </c>
      <c r="M6078" s="678">
        <v>2310</v>
      </c>
      <c r="N6078" s="678" t="s">
        <v>1237</v>
      </c>
    </row>
    <row r="6079" spans="1:14" hidden="1" x14ac:dyDescent="0.25">
      <c r="A6079" s="678">
        <f t="shared" si="177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8"/>
        <v>04,26</v>
      </c>
      <c r="L6079" s="678" t="s">
        <v>266</v>
      </c>
      <c r="M6079" s="678">
        <v>14819.340000000002</v>
      </c>
      <c r="N6079" s="678" t="s">
        <v>1237</v>
      </c>
    </row>
    <row r="6080" spans="1:14" ht="36" hidden="1" customHeight="1" x14ac:dyDescent="0.25">
      <c r="A6080" s="676">
        <f t="shared" si="177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11" t="s">
        <v>1339</v>
      </c>
      <c r="H6080" s="676" t="s">
        <v>1338</v>
      </c>
      <c r="I6080" s="477" t="s">
        <v>1338</v>
      </c>
      <c r="J6080" s="478"/>
      <c r="K6080" s="676" t="str">
        <f t="shared" si="178"/>
        <v>04,26</v>
      </c>
      <c r="L6080" s="676" t="s">
        <v>28</v>
      </c>
      <c r="M6080" s="676">
        <v>5034.24</v>
      </c>
      <c r="N6080" s="676" t="s">
        <v>1239</v>
      </c>
    </row>
    <row r="6081" spans="1:14" hidden="1" x14ac:dyDescent="0.25">
      <c r="A6081" s="676">
        <f t="shared" si="177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12"/>
      <c r="H6081" s="676" t="s">
        <v>1338</v>
      </c>
      <c r="I6081" s="477" t="s">
        <v>1338</v>
      </c>
      <c r="J6081" s="478"/>
      <c r="K6081" s="676" t="str">
        <f t="shared" si="178"/>
        <v>04,26</v>
      </c>
      <c r="L6081" s="676" t="s">
        <v>28</v>
      </c>
      <c r="M6081" s="676">
        <v>10179.180000000002</v>
      </c>
      <c r="N6081" s="676" t="s">
        <v>1239</v>
      </c>
    </row>
    <row r="6082" spans="1:14" hidden="1" x14ac:dyDescent="0.25">
      <c r="A6082" s="678">
        <f t="shared" si="177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8"/>
        <v>04,26</v>
      </c>
      <c r="L6082" s="678" t="s">
        <v>266</v>
      </c>
      <c r="M6082" s="678">
        <v>15080.850000000002</v>
      </c>
      <c r="N6082" s="678" t="s">
        <v>1236</v>
      </c>
    </row>
    <row r="6083" spans="1:14" hidden="1" x14ac:dyDescent="0.25">
      <c r="A6083" s="676">
        <f t="shared" si="177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8"/>
        <v>04,26</v>
      </c>
      <c r="L6083" s="676" t="s">
        <v>265</v>
      </c>
      <c r="M6083" s="676">
        <v>17439.73</v>
      </c>
      <c r="N6083" s="694" t="s">
        <v>1246</v>
      </c>
    </row>
    <row r="6084" spans="1:14" hidden="1" x14ac:dyDescent="0.25">
      <c r="A6084" s="678">
        <f t="shared" si="177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8"/>
        <v>04,26</v>
      </c>
      <c r="L6084" s="678" t="s">
        <v>28</v>
      </c>
      <c r="M6084" s="678">
        <v>7238.7300000000005</v>
      </c>
      <c r="N6084" s="678" t="s">
        <v>1237</v>
      </c>
    </row>
    <row r="6085" spans="1:14" hidden="1" x14ac:dyDescent="0.25">
      <c r="A6085" s="678">
        <f t="shared" si="177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8"/>
        <v>04,26</v>
      </c>
      <c r="L6085" s="678" t="s">
        <v>266</v>
      </c>
      <c r="M6085" s="678">
        <v>9915.75</v>
      </c>
      <c r="N6085" s="678" t="s">
        <v>1237</v>
      </c>
    </row>
    <row r="6086" spans="1:14" hidden="1" x14ac:dyDescent="0.25">
      <c r="A6086" s="676">
        <f t="shared" si="177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8"/>
        <v>04,26</v>
      </c>
      <c r="L6086" s="676" t="s">
        <v>266</v>
      </c>
      <c r="M6086" s="676">
        <v>9539.1999999999989</v>
      </c>
      <c r="N6086" s="676" t="s">
        <v>1239</v>
      </c>
    </row>
    <row r="6087" spans="1:14" hidden="1" x14ac:dyDescent="0.25">
      <c r="A6087" s="678">
        <f t="shared" si="177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8"/>
        <v>04,26</v>
      </c>
      <c r="L6087" s="678" t="s">
        <v>28</v>
      </c>
      <c r="M6087" s="678">
        <v>8164.8</v>
      </c>
      <c r="N6087" s="678" t="s">
        <v>1240</v>
      </c>
    </row>
    <row r="6088" spans="1:14" hidden="1" x14ac:dyDescent="0.25">
      <c r="A6088" s="678">
        <f t="shared" si="177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8"/>
        <v>04,26</v>
      </c>
      <c r="L6088" s="678" t="s">
        <v>28</v>
      </c>
      <c r="M6088" s="678">
        <v>9142.42</v>
      </c>
      <c r="N6088" s="678" t="s">
        <v>1240</v>
      </c>
    </row>
    <row r="6089" spans="1:14" hidden="1" x14ac:dyDescent="0.25">
      <c r="A6089" s="676">
        <f t="shared" si="177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8"/>
        <v>04,26</v>
      </c>
      <c r="L6089" s="676" t="s">
        <v>28</v>
      </c>
      <c r="M6089" s="676">
        <v>10046.64</v>
      </c>
      <c r="N6089" s="676" t="s">
        <v>1237</v>
      </c>
    </row>
    <row r="6090" spans="1:14" hidden="1" x14ac:dyDescent="0.25">
      <c r="A6090" s="676">
        <f t="shared" si="177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8"/>
        <v>04,26</v>
      </c>
      <c r="L6090" s="676" t="s">
        <v>266</v>
      </c>
      <c r="M6090" s="676">
        <v>1648.76</v>
      </c>
      <c r="N6090" s="676" t="s">
        <v>1237</v>
      </c>
    </row>
    <row r="6091" spans="1:14" hidden="1" x14ac:dyDescent="0.25">
      <c r="A6091" s="678">
        <f t="shared" si="177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8"/>
        <v>04,26</v>
      </c>
      <c r="L6091" s="678" t="s">
        <v>28</v>
      </c>
      <c r="M6091" s="678">
        <v>5657.8799999999992</v>
      </c>
      <c r="N6091" s="678" t="s">
        <v>1239</v>
      </c>
    </row>
    <row r="6092" spans="1:14" hidden="1" x14ac:dyDescent="0.25">
      <c r="A6092" s="678">
        <f t="shared" si="177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8"/>
        <v>04,26</v>
      </c>
      <c r="L6092" s="678" t="s">
        <v>28</v>
      </c>
      <c r="M6092" s="678">
        <v>3765.7599999999993</v>
      </c>
      <c r="N6092" s="678" t="s">
        <v>1239</v>
      </c>
    </row>
    <row r="6093" spans="1:14" hidden="1" x14ac:dyDescent="0.25">
      <c r="A6093" s="676">
        <f t="shared" si="177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8"/>
        <v>04,26</v>
      </c>
      <c r="L6093" s="676" t="s">
        <v>266</v>
      </c>
      <c r="M6093" s="676">
        <v>905.19</v>
      </c>
      <c r="N6093" s="676" t="s">
        <v>1240</v>
      </c>
    </row>
    <row r="6094" spans="1:14" hidden="1" x14ac:dyDescent="0.25">
      <c r="A6094" s="676">
        <f t="shared" si="177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8"/>
        <v>04,26</v>
      </c>
      <c r="L6094" s="676" t="s">
        <v>266</v>
      </c>
      <c r="M6094" s="676">
        <v>15817.78</v>
      </c>
      <c r="N6094" s="676" t="s">
        <v>1240</v>
      </c>
    </row>
    <row r="6095" spans="1:14" hidden="1" x14ac:dyDescent="0.25">
      <c r="A6095" s="678">
        <f t="shared" si="177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8"/>
        <v>04,26</v>
      </c>
      <c r="L6095" s="678" t="s">
        <v>266</v>
      </c>
      <c r="M6095" s="678">
        <v>18048.719999999998</v>
      </c>
      <c r="N6095" s="678" t="s">
        <v>1237</v>
      </c>
    </row>
    <row r="6096" spans="1:14" hidden="1" x14ac:dyDescent="0.25">
      <c r="A6096" s="676">
        <f t="shared" si="177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8"/>
        <v>04,26</v>
      </c>
      <c r="L6096" s="676" t="s">
        <v>266</v>
      </c>
      <c r="M6096" s="676">
        <v>18163.66</v>
      </c>
      <c r="N6096" s="676" t="s">
        <v>1239</v>
      </c>
    </row>
    <row r="6097" spans="1:14" hidden="1" x14ac:dyDescent="0.25">
      <c r="A6097" s="678">
        <f t="shared" si="177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8"/>
        <v>04,26</v>
      </c>
      <c r="L6097" s="678" t="s">
        <v>266</v>
      </c>
      <c r="M6097" s="678">
        <v>18123.080000000002</v>
      </c>
      <c r="N6097" s="678" t="s">
        <v>1241</v>
      </c>
    </row>
    <row r="6098" spans="1:14" hidden="1" x14ac:dyDescent="0.25">
      <c r="A6098" s="676">
        <f t="shared" si="177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8"/>
        <v>04,26</v>
      </c>
      <c r="L6098" s="676" t="s">
        <v>265</v>
      </c>
      <c r="M6098" s="676">
        <v>5495.5</v>
      </c>
      <c r="N6098" s="676" t="s">
        <v>1236</v>
      </c>
    </row>
    <row r="6099" spans="1:14" hidden="1" x14ac:dyDescent="0.25">
      <c r="A6099" s="676">
        <f t="shared" si="177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8"/>
        <v>04,26</v>
      </c>
      <c r="L6099" s="676" t="s">
        <v>265</v>
      </c>
      <c r="M6099" s="676">
        <v>11971.720000000001</v>
      </c>
      <c r="N6099" s="676" t="s">
        <v>1236</v>
      </c>
    </row>
    <row r="6100" spans="1:14" hidden="1" x14ac:dyDescent="0.25">
      <c r="A6100" s="678">
        <f t="shared" si="177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8"/>
        <v>04,26</v>
      </c>
      <c r="L6100" s="678" t="s">
        <v>266</v>
      </c>
      <c r="M6100" s="678">
        <v>6842.9</v>
      </c>
      <c r="N6100" s="678" t="s">
        <v>1237</v>
      </c>
    </row>
    <row r="6101" spans="1:14" hidden="1" x14ac:dyDescent="0.25">
      <c r="A6101" s="678">
        <f t="shared" ref="A6101:A6164" si="179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8"/>
        <v>04,26</v>
      </c>
      <c r="L6101" s="678" t="s">
        <v>266</v>
      </c>
      <c r="M6101" s="678">
        <v>8011.8</v>
      </c>
      <c r="N6101" s="678" t="s">
        <v>1237</v>
      </c>
    </row>
    <row r="6102" spans="1:14" hidden="1" x14ac:dyDescent="0.25">
      <c r="A6102" s="676">
        <f t="shared" si="179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8"/>
        <v>04,26</v>
      </c>
      <c r="L6102" s="676" t="s">
        <v>265</v>
      </c>
      <c r="M6102" s="676">
        <v>12054.559999999998</v>
      </c>
      <c r="N6102" s="676" t="s">
        <v>1236</v>
      </c>
    </row>
    <row r="6103" spans="1:14" hidden="1" x14ac:dyDescent="0.25">
      <c r="A6103" s="678">
        <f t="shared" si="179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8"/>
        <v>04,26</v>
      </c>
      <c r="L6103" s="678" t="s">
        <v>265</v>
      </c>
      <c r="M6103" s="678">
        <v>17624.18</v>
      </c>
      <c r="N6103" s="678" t="s">
        <v>1236</v>
      </c>
    </row>
    <row r="6104" spans="1:14" hidden="1" x14ac:dyDescent="0.25">
      <c r="A6104" s="676">
        <f t="shared" si="179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8"/>
        <v>04,26</v>
      </c>
      <c r="L6104" s="676" t="s">
        <v>28</v>
      </c>
      <c r="M6104" s="676">
        <v>8762.2799999999988</v>
      </c>
      <c r="N6104" s="676" t="s">
        <v>1237</v>
      </c>
    </row>
    <row r="6105" spans="1:14" ht="56.25" hidden="1" x14ac:dyDescent="0.25">
      <c r="A6105" s="676">
        <f t="shared" si="179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8"/>
        <v>04,26</v>
      </c>
      <c r="L6105" s="676" t="s">
        <v>28</v>
      </c>
      <c r="M6105" s="676">
        <v>1452.48</v>
      </c>
      <c r="N6105" s="676" t="s">
        <v>1237</v>
      </c>
    </row>
    <row r="6106" spans="1:14" hidden="1" x14ac:dyDescent="0.25">
      <c r="A6106" s="676">
        <f t="shared" si="179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8"/>
        <v>04,26</v>
      </c>
      <c r="L6106" s="676" t="s">
        <v>28</v>
      </c>
      <c r="M6106" s="676">
        <v>6914.2400000000007</v>
      </c>
      <c r="N6106" s="676" t="s">
        <v>1237</v>
      </c>
    </row>
    <row r="6107" spans="1:14" hidden="1" x14ac:dyDescent="0.25">
      <c r="A6107" s="678">
        <f t="shared" si="179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8"/>
        <v>04,26</v>
      </c>
      <c r="L6107" s="678" t="s">
        <v>28</v>
      </c>
      <c r="M6107" s="678">
        <v>17526.739999999998</v>
      </c>
      <c r="N6107" s="678" t="s">
        <v>1239</v>
      </c>
    </row>
    <row r="6108" spans="1:14" hidden="1" x14ac:dyDescent="0.25">
      <c r="A6108" s="676">
        <f t="shared" si="179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8"/>
        <v>04,26</v>
      </c>
      <c r="L6108" s="676" t="s">
        <v>28</v>
      </c>
      <c r="M6108" s="676">
        <v>13258.180000000002</v>
      </c>
      <c r="N6108" s="676" t="s">
        <v>1240</v>
      </c>
    </row>
    <row r="6109" spans="1:14" hidden="1" x14ac:dyDescent="0.25">
      <c r="A6109" s="676">
        <f t="shared" si="179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8"/>
        <v>04,26</v>
      </c>
      <c r="L6109" s="676" t="s">
        <v>28</v>
      </c>
      <c r="M6109" s="676">
        <v>4049.7</v>
      </c>
      <c r="N6109" s="676" t="s">
        <v>1240</v>
      </c>
    </row>
    <row r="6110" spans="1:14" hidden="1" x14ac:dyDescent="0.25">
      <c r="A6110" s="678">
        <f t="shared" si="179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8"/>
        <v>04,26</v>
      </c>
      <c r="L6110" s="678" t="s">
        <v>28</v>
      </c>
      <c r="M6110" s="678">
        <v>15645</v>
      </c>
      <c r="N6110" s="678" t="s">
        <v>1241</v>
      </c>
    </row>
    <row r="6111" spans="1:14" hidden="1" x14ac:dyDescent="0.25">
      <c r="A6111" s="678">
        <f t="shared" si="179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8"/>
        <v>04,26</v>
      </c>
      <c r="L6111" s="678" t="s">
        <v>28</v>
      </c>
      <c r="M6111" s="678">
        <v>1517.04</v>
      </c>
      <c r="N6111" s="678" t="s">
        <v>1241</v>
      </c>
    </row>
    <row r="6112" spans="1:14" hidden="1" x14ac:dyDescent="0.25">
      <c r="A6112" s="676">
        <f t="shared" si="179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8"/>
        <v>04,26</v>
      </c>
      <c r="L6112" s="676" t="s">
        <v>28</v>
      </c>
      <c r="M6112" s="676">
        <v>11846.880000000001</v>
      </c>
      <c r="N6112" s="676" t="s">
        <v>1242</v>
      </c>
    </row>
    <row r="6113" spans="1:14" hidden="1" x14ac:dyDescent="0.25">
      <c r="A6113" s="676">
        <f t="shared" si="179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8"/>
        <v>04,26</v>
      </c>
      <c r="L6113" s="676" t="s">
        <v>28</v>
      </c>
      <c r="M6113" s="676">
        <v>5402.39</v>
      </c>
      <c r="N6113" s="676" t="s">
        <v>1242</v>
      </c>
    </row>
    <row r="6114" spans="1:14" hidden="1" x14ac:dyDescent="0.25">
      <c r="A6114" s="678">
        <f t="shared" si="179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8"/>
        <v>04,26</v>
      </c>
      <c r="L6114" s="678" t="s">
        <v>28</v>
      </c>
      <c r="M6114" s="678">
        <v>17382.109999999997</v>
      </c>
      <c r="N6114" s="678" t="s">
        <v>1306</v>
      </c>
    </row>
    <row r="6115" spans="1:14" hidden="1" x14ac:dyDescent="0.25">
      <c r="A6115" s="676">
        <f t="shared" si="179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8"/>
        <v>04,26</v>
      </c>
      <c r="L6115" s="676" t="s">
        <v>265</v>
      </c>
      <c r="M6115" s="676">
        <v>16954.440000000002</v>
      </c>
      <c r="N6115" s="676" t="s">
        <v>1236</v>
      </c>
    </row>
    <row r="6116" spans="1:14" hidden="1" x14ac:dyDescent="0.25">
      <c r="A6116" s="676">
        <f t="shared" si="179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8"/>
        <v>04,26</v>
      </c>
      <c r="L6116" s="676" t="s">
        <v>265</v>
      </c>
      <c r="M6116" s="676">
        <v>462.78</v>
      </c>
      <c r="N6116" s="676" t="s">
        <v>1236</v>
      </c>
    </row>
    <row r="6117" spans="1:14" hidden="1" x14ac:dyDescent="0.25">
      <c r="A6117" s="678">
        <f t="shared" si="179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8"/>
        <v>04,26</v>
      </c>
      <c r="L6117" s="678" t="s">
        <v>265</v>
      </c>
      <c r="M6117" s="678">
        <v>12442.480000000003</v>
      </c>
      <c r="N6117" s="678" t="s">
        <v>1236</v>
      </c>
    </row>
    <row r="6118" spans="1:14" hidden="1" x14ac:dyDescent="0.25">
      <c r="A6118" s="676">
        <f t="shared" si="179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8"/>
        <v>04,26</v>
      </c>
      <c r="L6118" s="676" t="s">
        <v>28</v>
      </c>
      <c r="M6118" s="676">
        <v>8370</v>
      </c>
      <c r="N6118" s="676" t="s">
        <v>1237</v>
      </c>
    </row>
    <row r="6119" spans="1:14" hidden="1" x14ac:dyDescent="0.25">
      <c r="A6119" s="676">
        <f t="shared" si="179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8"/>
        <v>04,26</v>
      </c>
      <c r="L6119" s="676" t="s">
        <v>28</v>
      </c>
      <c r="M6119" s="676">
        <v>4359</v>
      </c>
      <c r="N6119" s="676" t="s">
        <v>1237</v>
      </c>
    </row>
    <row r="6120" spans="1:14" ht="75" hidden="1" x14ac:dyDescent="0.25">
      <c r="A6120" s="678">
        <f t="shared" si="179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8"/>
        <v>04,26</v>
      </c>
      <c r="L6120" s="678" t="s">
        <v>28</v>
      </c>
      <c r="M6120" s="678">
        <v>12094.3</v>
      </c>
      <c r="N6120" s="678" t="s">
        <v>1237</v>
      </c>
    </row>
    <row r="6121" spans="1:14" hidden="1" x14ac:dyDescent="0.25">
      <c r="A6121" s="676">
        <f t="shared" si="179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8"/>
        <v>04,26</v>
      </c>
      <c r="L6121" s="676" t="s">
        <v>265</v>
      </c>
      <c r="M6121" s="676">
        <v>17575.780000000002</v>
      </c>
      <c r="N6121" s="676" t="s">
        <v>1236</v>
      </c>
    </row>
    <row r="6122" spans="1:14" hidden="1" x14ac:dyDescent="0.25">
      <c r="A6122" s="678">
        <f t="shared" si="179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8"/>
        <v>04,26</v>
      </c>
      <c r="L6122" s="678" t="s">
        <v>28</v>
      </c>
      <c r="M6122" s="678">
        <v>6918.2700000000013</v>
      </c>
      <c r="N6122" s="678" t="s">
        <v>1237</v>
      </c>
    </row>
    <row r="6123" spans="1:14" hidden="1" x14ac:dyDescent="0.25">
      <c r="A6123" s="678">
        <f t="shared" si="179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8"/>
        <v>04,26</v>
      </c>
      <c r="L6123" s="678" t="s">
        <v>28</v>
      </c>
      <c r="M6123" s="678">
        <v>5166.7</v>
      </c>
      <c r="N6123" s="678" t="s">
        <v>1237</v>
      </c>
    </row>
    <row r="6124" spans="1:14" hidden="1" x14ac:dyDescent="0.25">
      <c r="A6124" s="678">
        <f t="shared" si="179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8"/>
        <v>04,26</v>
      </c>
      <c r="L6124" s="678" t="s">
        <v>28</v>
      </c>
      <c r="M6124" s="678">
        <v>5498.86</v>
      </c>
      <c r="N6124" s="678" t="s">
        <v>1237</v>
      </c>
    </row>
    <row r="6125" spans="1:14" hidden="1" x14ac:dyDescent="0.25">
      <c r="A6125" s="676">
        <f t="shared" si="179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8"/>
        <v>04,26</v>
      </c>
      <c r="L6125" s="676" t="s">
        <v>28</v>
      </c>
      <c r="M6125" s="676">
        <v>6835.0199999999995</v>
      </c>
      <c r="N6125" s="676" t="s">
        <v>1239</v>
      </c>
    </row>
    <row r="6126" spans="1:14" hidden="1" x14ac:dyDescent="0.25">
      <c r="A6126" s="676">
        <f t="shared" si="179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8"/>
        <v>04,26</v>
      </c>
      <c r="L6126" s="676" t="s">
        <v>266</v>
      </c>
      <c r="M6126" s="676">
        <v>4582.12</v>
      </c>
      <c r="N6126" s="676" t="s">
        <v>1239</v>
      </c>
    </row>
    <row r="6127" spans="1:14" hidden="1" x14ac:dyDescent="0.25">
      <c r="A6127" s="676">
        <f t="shared" si="179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8"/>
        <v>04,26</v>
      </c>
      <c r="L6127" s="676" t="s">
        <v>266</v>
      </c>
      <c r="M6127" s="676">
        <v>5765.25</v>
      </c>
      <c r="N6127" s="676" t="s">
        <v>1239</v>
      </c>
    </row>
    <row r="6128" spans="1:14" hidden="1" x14ac:dyDescent="0.25">
      <c r="A6128" s="678">
        <f t="shared" si="179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8"/>
        <v>04,26</v>
      </c>
      <c r="L6128" s="678" t="s">
        <v>28</v>
      </c>
      <c r="M6128" s="678">
        <v>12503.060000000001</v>
      </c>
      <c r="N6128" s="678" t="s">
        <v>1240</v>
      </c>
    </row>
    <row r="6129" spans="1:14" hidden="1" x14ac:dyDescent="0.25">
      <c r="A6129" s="678">
        <f t="shared" si="179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8"/>
        <v>04,26</v>
      </c>
      <c r="L6129" s="678" t="s">
        <v>28</v>
      </c>
      <c r="M6129" s="678">
        <v>5068.4400000000005</v>
      </c>
      <c r="N6129" s="678" t="s">
        <v>1240</v>
      </c>
    </row>
    <row r="6130" spans="1:14" hidden="1" x14ac:dyDescent="0.25">
      <c r="A6130" s="676">
        <f t="shared" si="179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8"/>
        <v>04,26</v>
      </c>
      <c r="L6130" s="676" t="s">
        <v>28</v>
      </c>
      <c r="M6130" s="676">
        <v>4656.6000000000004</v>
      </c>
      <c r="N6130" s="676" t="s">
        <v>1237</v>
      </c>
    </row>
    <row r="6131" spans="1:14" hidden="1" x14ac:dyDescent="0.25">
      <c r="A6131" s="676">
        <f t="shared" si="179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8"/>
        <v>04,26</v>
      </c>
      <c r="L6131" s="676" t="s">
        <v>28</v>
      </c>
      <c r="M6131" s="676">
        <v>5622.96</v>
      </c>
      <c r="N6131" s="676" t="s">
        <v>1237</v>
      </c>
    </row>
    <row r="6132" spans="1:14" hidden="1" x14ac:dyDescent="0.25">
      <c r="A6132" s="678">
        <f t="shared" si="179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8"/>
        <v>04,26</v>
      </c>
      <c r="L6132" s="678" t="s">
        <v>28</v>
      </c>
      <c r="M6132" s="678">
        <v>10238.84</v>
      </c>
      <c r="N6132" s="678" t="s">
        <v>1239</v>
      </c>
    </row>
    <row r="6133" spans="1:14" hidden="1" x14ac:dyDescent="0.25">
      <c r="A6133" s="678">
        <f t="shared" si="179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8"/>
        <v>04,26</v>
      </c>
      <c r="L6133" s="678" t="s">
        <v>28</v>
      </c>
      <c r="M6133" s="678">
        <v>2156.7600000000002</v>
      </c>
      <c r="N6133" s="678" t="s">
        <v>1239</v>
      </c>
    </row>
    <row r="6134" spans="1:14" hidden="1" x14ac:dyDescent="0.25">
      <c r="A6134" s="676">
        <f t="shared" si="179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8"/>
        <v>04,26</v>
      </c>
      <c r="L6134" s="676" t="s">
        <v>28</v>
      </c>
      <c r="M6134" s="676">
        <v>11370.480000000001</v>
      </c>
      <c r="N6134" s="676" t="s">
        <v>1240</v>
      </c>
    </row>
    <row r="6135" spans="1:14" hidden="1" x14ac:dyDescent="0.25">
      <c r="A6135" s="678">
        <f t="shared" si="179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0">RIGHT(I6135,5)</f>
        <v>04,26</v>
      </c>
      <c r="L6135" s="678" t="s">
        <v>28</v>
      </c>
      <c r="M6135" s="678">
        <v>10370.879999999999</v>
      </c>
      <c r="N6135" s="678" t="s">
        <v>1241</v>
      </c>
    </row>
    <row r="6136" spans="1:14" hidden="1" x14ac:dyDescent="0.25">
      <c r="A6136" s="676">
        <f t="shared" si="179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0"/>
        <v>04,26</v>
      </c>
      <c r="L6136" s="676" t="s">
        <v>265</v>
      </c>
      <c r="M6136" s="676">
        <v>17615.88</v>
      </c>
      <c r="N6136" s="676" t="s">
        <v>1236</v>
      </c>
    </row>
    <row r="6137" spans="1:14" hidden="1" x14ac:dyDescent="0.25">
      <c r="A6137" s="678">
        <f t="shared" si="179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0"/>
        <v>04,26</v>
      </c>
      <c r="L6137" s="678" t="s">
        <v>266</v>
      </c>
      <c r="M6137" s="678">
        <v>18144.3</v>
      </c>
      <c r="N6137" s="678" t="s">
        <v>1237</v>
      </c>
    </row>
    <row r="6138" spans="1:14" hidden="1" x14ac:dyDescent="0.25">
      <c r="A6138" s="676">
        <f t="shared" si="179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0"/>
        <v>05,26</v>
      </c>
      <c r="L6138" s="676" t="s">
        <v>266</v>
      </c>
      <c r="M6138" s="676">
        <v>18125.48</v>
      </c>
      <c r="N6138" s="676" t="s">
        <v>1239</v>
      </c>
    </row>
    <row r="6139" spans="1:14" hidden="1" x14ac:dyDescent="0.25">
      <c r="A6139" s="678">
        <f t="shared" si="179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0"/>
        <v>04,26</v>
      </c>
      <c r="L6139" s="678" t="s">
        <v>266</v>
      </c>
      <c r="M6139" s="678">
        <v>18133.499999999996</v>
      </c>
      <c r="N6139" s="678" t="s">
        <v>1241</v>
      </c>
    </row>
    <row r="6140" spans="1:14" hidden="1" x14ac:dyDescent="0.25">
      <c r="A6140" s="676">
        <f t="shared" si="179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0"/>
        <v>05,26</v>
      </c>
      <c r="L6140" s="676" t="s">
        <v>265</v>
      </c>
      <c r="M6140" s="676">
        <v>2905.2</v>
      </c>
      <c r="N6140" s="676" t="s">
        <v>1236</v>
      </c>
    </row>
    <row r="6141" spans="1:14" hidden="1" x14ac:dyDescent="0.25">
      <c r="A6141" s="676">
        <f t="shared" si="179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0"/>
        <v>05,26</v>
      </c>
      <c r="L6141" s="676" t="s">
        <v>265</v>
      </c>
      <c r="M6141" s="676">
        <v>14619.38</v>
      </c>
      <c r="N6141" s="676" t="s">
        <v>1236</v>
      </c>
    </row>
    <row r="6142" spans="1:14" hidden="1" x14ac:dyDescent="0.25">
      <c r="A6142" s="678">
        <f t="shared" si="179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0"/>
        <v>05,26</v>
      </c>
      <c r="L6142" s="678" t="s">
        <v>266</v>
      </c>
      <c r="M6142" s="678">
        <v>4775.2400000000016</v>
      </c>
      <c r="N6142" s="678" t="s">
        <v>1306</v>
      </c>
    </row>
    <row r="6143" spans="1:14" hidden="1" x14ac:dyDescent="0.25">
      <c r="A6143" s="678">
        <f t="shared" si="179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0"/>
        <v>05,26</v>
      </c>
      <c r="L6143" s="678" t="s">
        <v>266</v>
      </c>
      <c r="M6143" s="678">
        <v>4146.8099999999995</v>
      </c>
      <c r="N6143" s="678" t="s">
        <v>1306</v>
      </c>
    </row>
    <row r="6144" spans="1:14" hidden="1" x14ac:dyDescent="0.25">
      <c r="A6144" s="678">
        <f t="shared" si="179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0"/>
        <v>05,26</v>
      </c>
      <c r="L6144" s="678" t="s">
        <v>28</v>
      </c>
      <c r="M6144" s="678">
        <v>8124</v>
      </c>
      <c r="N6144" s="678" t="s">
        <v>1306</v>
      </c>
    </row>
    <row r="6145" spans="1:14" hidden="1" x14ac:dyDescent="0.25">
      <c r="A6145" s="676">
        <f t="shared" si="179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0"/>
        <v>05,26</v>
      </c>
      <c r="L6145" s="676" t="s">
        <v>265</v>
      </c>
      <c r="M6145" s="676">
        <v>11973.44</v>
      </c>
      <c r="N6145" s="676" t="s">
        <v>1236</v>
      </c>
    </row>
    <row r="6146" spans="1:14" hidden="1" x14ac:dyDescent="0.25">
      <c r="A6146" s="678">
        <f t="shared" si="179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0"/>
        <v>05,26</v>
      </c>
      <c r="L6146" s="678" t="s">
        <v>265</v>
      </c>
      <c r="M6146" s="678">
        <v>12368.8</v>
      </c>
      <c r="N6146" s="678" t="s">
        <v>1237</v>
      </c>
    </row>
    <row r="6147" spans="1:14" hidden="1" x14ac:dyDescent="0.25">
      <c r="A6147" s="676">
        <f t="shared" si="179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0"/>
        <v>05,26</v>
      </c>
      <c r="L6147" s="676" t="s">
        <v>265</v>
      </c>
      <c r="M6147" s="676">
        <v>17759.28</v>
      </c>
      <c r="N6147" s="676" t="s">
        <v>1236</v>
      </c>
    </row>
    <row r="6148" spans="1:14" hidden="1" x14ac:dyDescent="0.25">
      <c r="A6148" s="678">
        <f t="shared" si="179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0"/>
        <v>05,26</v>
      </c>
      <c r="L6148" s="678" t="s">
        <v>28</v>
      </c>
      <c r="M6148" s="678">
        <v>10477.34</v>
      </c>
      <c r="N6148" s="678" t="s">
        <v>1237</v>
      </c>
    </row>
    <row r="6149" spans="1:14" ht="56.25" hidden="1" x14ac:dyDescent="0.25">
      <c r="A6149" s="678">
        <f t="shared" si="179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0"/>
        <v>05,26</v>
      </c>
      <c r="L6149" s="678" t="s">
        <v>28</v>
      </c>
      <c r="M6149" s="678">
        <v>929.28</v>
      </c>
      <c r="N6149" s="678" t="s">
        <v>1237</v>
      </c>
    </row>
    <row r="6150" spans="1:14" hidden="1" x14ac:dyDescent="0.25">
      <c r="A6150" s="678">
        <f t="shared" si="179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0"/>
        <v>05,26</v>
      </c>
      <c r="L6150" s="678" t="s">
        <v>28</v>
      </c>
      <c r="M6150" s="678">
        <v>5836.6</v>
      </c>
      <c r="N6150" s="678" t="s">
        <v>1237</v>
      </c>
    </row>
    <row r="6151" spans="1:14" hidden="1" x14ac:dyDescent="0.25">
      <c r="A6151" s="676">
        <f t="shared" si="179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0"/>
        <v>05,26</v>
      </c>
      <c r="L6151" s="676" t="s">
        <v>28</v>
      </c>
      <c r="M6151" s="676">
        <v>13322.92</v>
      </c>
      <c r="N6151" s="676" t="s">
        <v>1239</v>
      </c>
    </row>
    <row r="6152" spans="1:14" hidden="1" x14ac:dyDescent="0.25">
      <c r="A6152" s="676">
        <f t="shared" si="179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0"/>
        <v>05,26</v>
      </c>
      <c r="L6152" s="676" t="s">
        <v>28</v>
      </c>
      <c r="M6152" s="676">
        <v>4137.3599999999997</v>
      </c>
      <c r="N6152" s="676" t="s">
        <v>1239</v>
      </c>
    </row>
    <row r="6153" spans="1:14" hidden="1" x14ac:dyDescent="0.25">
      <c r="A6153" s="678">
        <f t="shared" si="179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0"/>
        <v>05,26</v>
      </c>
      <c r="L6153" s="678" t="s">
        <v>28</v>
      </c>
      <c r="M6153" s="678">
        <v>9766.8399999999983</v>
      </c>
      <c r="N6153" s="678" t="s">
        <v>1240</v>
      </c>
    </row>
    <row r="6154" spans="1:14" hidden="1" x14ac:dyDescent="0.25">
      <c r="A6154" s="678">
        <f t="shared" si="179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0"/>
        <v>05,26</v>
      </c>
      <c r="L6154" s="678" t="s">
        <v>28</v>
      </c>
      <c r="M6154" s="678">
        <v>5755.62</v>
      </c>
      <c r="N6154" s="678" t="s">
        <v>1240</v>
      </c>
    </row>
    <row r="6155" spans="1:14" hidden="1" x14ac:dyDescent="0.25">
      <c r="A6155" s="678">
        <f t="shared" si="179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0"/>
        <v>05,26</v>
      </c>
      <c r="L6155" s="678" t="s">
        <v>28</v>
      </c>
      <c r="M6155" s="678">
        <v>1817.4</v>
      </c>
      <c r="N6155" s="678" t="s">
        <v>1240</v>
      </c>
    </row>
    <row r="6156" spans="1:14" hidden="1" x14ac:dyDescent="0.25">
      <c r="A6156" s="676">
        <f t="shared" si="179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0"/>
        <v>05,26</v>
      </c>
      <c r="L6156" s="676" t="s">
        <v>28</v>
      </c>
      <c r="M6156" s="676">
        <v>17214.740000000002</v>
      </c>
      <c r="N6156" s="676" t="s">
        <v>1241</v>
      </c>
    </row>
    <row r="6157" spans="1:14" hidden="1" x14ac:dyDescent="0.25">
      <c r="A6157" s="678">
        <f t="shared" si="179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0"/>
        <v>05,26</v>
      </c>
      <c r="L6157" s="678" t="s">
        <v>265</v>
      </c>
      <c r="M6157" s="678">
        <v>16791.800000000003</v>
      </c>
      <c r="N6157" s="678" t="s">
        <v>1236</v>
      </c>
    </row>
    <row r="6158" spans="1:14" hidden="1" x14ac:dyDescent="0.25">
      <c r="A6158" s="678">
        <f t="shared" si="179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0"/>
        <v>05,26</v>
      </c>
      <c r="L6158" s="678" t="s">
        <v>265</v>
      </c>
      <c r="M6158" s="678">
        <v>828.42000000000007</v>
      </c>
      <c r="N6158" s="678" t="s">
        <v>1236</v>
      </c>
    </row>
    <row r="6159" spans="1:14" hidden="1" x14ac:dyDescent="0.25">
      <c r="A6159" s="676">
        <f t="shared" si="179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0"/>
        <v>05,26</v>
      </c>
      <c r="L6159" s="676" t="s">
        <v>265</v>
      </c>
      <c r="M6159" s="676">
        <v>13057.480000000001</v>
      </c>
      <c r="N6159" s="676" t="s">
        <v>1236</v>
      </c>
    </row>
    <row r="6160" spans="1:14" hidden="1" x14ac:dyDescent="0.25">
      <c r="A6160" s="678">
        <f t="shared" si="179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0"/>
        <v>05,26</v>
      </c>
      <c r="L6160" s="678" t="s">
        <v>266</v>
      </c>
      <c r="M6160" s="678">
        <v>15094.260000000002</v>
      </c>
      <c r="N6160" s="678" t="s">
        <v>1237</v>
      </c>
    </row>
    <row r="6161" spans="1:14" hidden="1" x14ac:dyDescent="0.25">
      <c r="A6161" s="678">
        <f t="shared" si="179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0"/>
        <v>05,26</v>
      </c>
      <c r="L6161" s="678" t="s">
        <v>28</v>
      </c>
      <c r="M6161" s="678">
        <v>2009.4</v>
      </c>
      <c r="N6161" s="678" t="s">
        <v>1237</v>
      </c>
    </row>
    <row r="6162" spans="1:14" ht="75" hidden="1" x14ac:dyDescent="0.25">
      <c r="A6162" s="676">
        <f t="shared" si="179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0"/>
        <v>05,26</v>
      </c>
      <c r="L6162" s="676" t="s">
        <v>28</v>
      </c>
      <c r="M6162" s="676">
        <v>13184.88</v>
      </c>
      <c r="N6162" s="676" t="s">
        <v>1240</v>
      </c>
    </row>
    <row r="6163" spans="1:14" hidden="1" x14ac:dyDescent="0.25">
      <c r="A6163" s="678">
        <f t="shared" si="179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0"/>
        <v>05,26</v>
      </c>
      <c r="L6163" s="678" t="s">
        <v>265</v>
      </c>
      <c r="M6163" s="678">
        <v>14184.060000000001</v>
      </c>
      <c r="N6163" s="678" t="s">
        <v>1236</v>
      </c>
    </row>
    <row r="6164" spans="1:14" hidden="1" x14ac:dyDescent="0.25">
      <c r="A6164" s="678">
        <f t="shared" si="179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0"/>
        <v>05,26</v>
      </c>
      <c r="L6164" s="678" t="s">
        <v>265</v>
      </c>
      <c r="M6164" s="678">
        <v>3394.7400000000007</v>
      </c>
      <c r="N6164" s="678" t="s">
        <v>1236</v>
      </c>
    </row>
    <row r="6165" spans="1:14" hidden="1" x14ac:dyDescent="0.25">
      <c r="A6165" s="676">
        <f t="shared" ref="A6165:A6228" si="181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0"/>
        <v>05,26</v>
      </c>
      <c r="L6165" s="676" t="s">
        <v>28</v>
      </c>
      <c r="M6165" s="676">
        <v>8343.7800000000007</v>
      </c>
      <c r="N6165" s="676" t="s">
        <v>1237</v>
      </c>
    </row>
    <row r="6166" spans="1:14" hidden="1" x14ac:dyDescent="0.25">
      <c r="A6166" s="676">
        <f t="shared" si="181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0"/>
        <v>05,26</v>
      </c>
      <c r="L6166" s="676" t="s">
        <v>266</v>
      </c>
      <c r="M6166" s="676">
        <v>3179.32</v>
      </c>
      <c r="N6166" s="676" t="s">
        <v>1237</v>
      </c>
    </row>
    <row r="6167" spans="1:14" hidden="1" x14ac:dyDescent="0.25">
      <c r="A6167" s="676">
        <f t="shared" si="181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0"/>
        <v>05,26</v>
      </c>
      <c r="L6167" s="676" t="s">
        <v>266</v>
      </c>
      <c r="M6167" s="676">
        <v>5653.06</v>
      </c>
      <c r="N6167" s="676" t="s">
        <v>1237</v>
      </c>
    </row>
    <row r="6168" spans="1:14" hidden="1" x14ac:dyDescent="0.25">
      <c r="A6168" s="678">
        <f t="shared" si="181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0"/>
        <v>05,26</v>
      </c>
      <c r="L6168" s="678" t="s">
        <v>28</v>
      </c>
      <c r="M6168" s="678">
        <v>11659.66</v>
      </c>
      <c r="N6168" s="678" t="s">
        <v>1239</v>
      </c>
    </row>
    <row r="6169" spans="1:14" hidden="1" x14ac:dyDescent="0.25">
      <c r="A6169" s="678">
        <f t="shared" si="181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0"/>
        <v>05,26</v>
      </c>
      <c r="L6169" s="678" t="s">
        <v>28</v>
      </c>
      <c r="M6169" s="678">
        <v>5625.9</v>
      </c>
      <c r="N6169" s="678" t="s">
        <v>1239</v>
      </c>
    </row>
    <row r="6170" spans="1:14" hidden="1" x14ac:dyDescent="0.25">
      <c r="A6170" s="676">
        <f t="shared" si="181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0"/>
        <v>05,26</v>
      </c>
      <c r="L6170" s="676" t="s">
        <v>28</v>
      </c>
      <c r="M6170" s="676">
        <v>10852.670000000002</v>
      </c>
      <c r="N6170" s="676" t="s">
        <v>1240</v>
      </c>
    </row>
    <row r="6171" spans="1:14" hidden="1" x14ac:dyDescent="0.25">
      <c r="A6171" s="676">
        <f t="shared" si="181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0"/>
        <v>05,26</v>
      </c>
      <c r="L6171" s="676" t="s">
        <v>28</v>
      </c>
      <c r="M6171" s="676">
        <v>2154.6</v>
      </c>
      <c r="N6171" s="676" t="s">
        <v>1240</v>
      </c>
    </row>
    <row r="6172" spans="1:14" hidden="1" x14ac:dyDescent="0.25">
      <c r="A6172" s="676">
        <f t="shared" si="181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0"/>
        <v>05,26</v>
      </c>
      <c r="L6172" s="676" t="s">
        <v>28</v>
      </c>
      <c r="M6172" s="676">
        <v>4533</v>
      </c>
      <c r="N6172" s="676" t="s">
        <v>1240</v>
      </c>
    </row>
    <row r="6173" spans="1:14" hidden="1" x14ac:dyDescent="0.25">
      <c r="A6173" s="678">
        <f t="shared" si="181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0"/>
        <v>05,26</v>
      </c>
      <c r="L6173" s="678" t="s">
        <v>28</v>
      </c>
      <c r="M6173" s="678">
        <v>17238.190000000002</v>
      </c>
      <c r="N6173" s="678" t="s">
        <v>1241</v>
      </c>
    </row>
    <row r="6174" spans="1:14" hidden="1" x14ac:dyDescent="0.25">
      <c r="A6174" s="676">
        <f t="shared" si="181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0"/>
        <v>05,26</v>
      </c>
      <c r="L6174" s="676" t="s">
        <v>28</v>
      </c>
      <c r="M6174" s="676">
        <v>7639.76</v>
      </c>
      <c r="N6174" s="676" t="s">
        <v>1237</v>
      </c>
    </row>
    <row r="6175" spans="1:14" hidden="1" x14ac:dyDescent="0.25">
      <c r="A6175" s="676">
        <f t="shared" si="181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0"/>
        <v>05,26</v>
      </c>
      <c r="L6175" s="676" t="s">
        <v>28</v>
      </c>
      <c r="M6175" s="676">
        <v>2939.52</v>
      </c>
      <c r="N6175" s="676" t="s">
        <v>1237</v>
      </c>
    </row>
    <row r="6176" spans="1:14" hidden="1" x14ac:dyDescent="0.25">
      <c r="A6176" s="678">
        <f t="shared" si="181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0"/>
        <v>05,26</v>
      </c>
      <c r="L6176" s="678" t="s">
        <v>28</v>
      </c>
      <c r="M6176" s="678">
        <v>10834.52</v>
      </c>
      <c r="N6176" s="678" t="s">
        <v>1239</v>
      </c>
    </row>
    <row r="6177" spans="1:14" hidden="1" x14ac:dyDescent="0.25">
      <c r="A6177" s="676">
        <f t="shared" si="181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0"/>
        <v>05,26</v>
      </c>
      <c r="L6177" s="676" t="s">
        <v>28</v>
      </c>
      <c r="M6177" s="676">
        <v>8286.7999999999993</v>
      </c>
      <c r="N6177" s="676" t="s">
        <v>1240</v>
      </c>
    </row>
    <row r="6178" spans="1:14" hidden="1" x14ac:dyDescent="0.25">
      <c r="A6178" s="676">
        <f t="shared" si="181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0"/>
        <v>05,26</v>
      </c>
      <c r="L6178" s="676" t="s">
        <v>28</v>
      </c>
      <c r="M6178" s="676">
        <v>2984.6400000000003</v>
      </c>
      <c r="N6178" s="676" t="s">
        <v>1240</v>
      </c>
    </row>
    <row r="6179" spans="1:14" hidden="1" x14ac:dyDescent="0.25">
      <c r="A6179" s="678">
        <f t="shared" si="181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0"/>
        <v>05,26</v>
      </c>
      <c r="L6179" s="678" t="s">
        <v>28</v>
      </c>
      <c r="M6179" s="678">
        <v>3554.2799999999993</v>
      </c>
      <c r="N6179" s="678" t="s">
        <v>1241</v>
      </c>
    </row>
    <row r="6180" spans="1:14" hidden="1" x14ac:dyDescent="0.25">
      <c r="A6180" s="678">
        <f t="shared" si="181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0"/>
        <v>05,26</v>
      </c>
      <c r="L6180" s="678" t="s">
        <v>28</v>
      </c>
      <c r="M6180" s="678">
        <v>9655.4800000000014</v>
      </c>
      <c r="N6180" s="678" t="s">
        <v>1241</v>
      </c>
    </row>
    <row r="6181" spans="1:14" hidden="1" x14ac:dyDescent="0.25">
      <c r="A6181" s="676">
        <f t="shared" si="181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0"/>
        <v>05,26</v>
      </c>
      <c r="L6181" s="676" t="s">
        <v>265</v>
      </c>
      <c r="M6181" s="676">
        <v>17699.100000000002</v>
      </c>
      <c r="N6181" s="676" t="s">
        <v>1236</v>
      </c>
    </row>
    <row r="6182" spans="1:14" hidden="1" x14ac:dyDescent="0.25">
      <c r="A6182" s="678">
        <f t="shared" si="181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0"/>
        <v>05,26</v>
      </c>
      <c r="L6182" s="678" t="s">
        <v>266</v>
      </c>
      <c r="M6182" s="678">
        <v>18164.36</v>
      </c>
      <c r="N6182" s="678" t="s">
        <v>1237</v>
      </c>
    </row>
    <row r="6183" spans="1:14" hidden="1" x14ac:dyDescent="0.25">
      <c r="A6183" s="676">
        <f t="shared" si="181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0"/>
        <v>05,26</v>
      </c>
      <c r="L6183" s="676" t="s">
        <v>266</v>
      </c>
      <c r="M6183" s="676">
        <v>18172.060000000001</v>
      </c>
      <c r="N6183" s="676" t="s">
        <v>1239</v>
      </c>
    </row>
    <row r="6184" spans="1:14" hidden="1" x14ac:dyDescent="0.25">
      <c r="A6184" s="678">
        <f t="shared" si="181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0"/>
        <v>05,26</v>
      </c>
      <c r="L6184" s="678" t="s">
        <v>266</v>
      </c>
      <c r="M6184" s="678">
        <v>18015</v>
      </c>
      <c r="N6184" s="678" t="s">
        <v>1240</v>
      </c>
    </row>
    <row r="6185" spans="1:14" hidden="1" x14ac:dyDescent="0.25">
      <c r="A6185" s="676">
        <f t="shared" si="181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0"/>
        <v>05,26</v>
      </c>
      <c r="L6185" s="676" t="s">
        <v>266</v>
      </c>
      <c r="M6185" s="676">
        <v>18072.099999999999</v>
      </c>
      <c r="N6185" s="676" t="s">
        <v>1241</v>
      </c>
    </row>
    <row r="6186" spans="1:14" hidden="1" x14ac:dyDescent="0.25">
      <c r="A6186" s="678">
        <f t="shared" si="181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0"/>
        <v>05,26</v>
      </c>
      <c r="L6186" s="678" t="s">
        <v>265</v>
      </c>
      <c r="M6186" s="678">
        <v>2873.4</v>
      </c>
      <c r="N6186" s="678" t="s">
        <v>1236</v>
      </c>
    </row>
    <row r="6187" spans="1:14" hidden="1" x14ac:dyDescent="0.25">
      <c r="A6187" s="678">
        <f t="shared" si="181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0"/>
        <v>05,26</v>
      </c>
      <c r="L6187" s="678" t="s">
        <v>265</v>
      </c>
      <c r="M6187" s="678">
        <v>14633.300000000001</v>
      </c>
      <c r="N6187" s="678" t="s">
        <v>1236</v>
      </c>
    </row>
    <row r="6188" spans="1:14" hidden="1" x14ac:dyDescent="0.25">
      <c r="A6188" s="676">
        <f t="shared" si="181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0"/>
        <v>05,26</v>
      </c>
      <c r="L6188" s="676" t="s">
        <v>265</v>
      </c>
      <c r="M6188" s="676">
        <v>11912.8</v>
      </c>
      <c r="N6188" s="676" t="s">
        <v>1236</v>
      </c>
    </row>
    <row r="6189" spans="1:14" hidden="1" x14ac:dyDescent="0.25">
      <c r="A6189" s="678">
        <f t="shared" si="181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0"/>
        <v>05,26</v>
      </c>
      <c r="L6189" s="678" t="s">
        <v>265</v>
      </c>
      <c r="M6189" s="678">
        <v>17711.170000000002</v>
      </c>
      <c r="N6189" s="678" t="s">
        <v>1236</v>
      </c>
    </row>
    <row r="6190" spans="1:14" hidden="1" x14ac:dyDescent="0.25">
      <c r="A6190" s="676">
        <f t="shared" si="181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0"/>
        <v>05,26</v>
      </c>
      <c r="L6190" s="676" t="s">
        <v>28</v>
      </c>
      <c r="M6190" s="676">
        <v>11967.33</v>
      </c>
      <c r="N6190" s="676" t="s">
        <v>1237</v>
      </c>
    </row>
    <row r="6191" spans="1:14" hidden="1" x14ac:dyDescent="0.25">
      <c r="A6191" s="676">
        <f t="shared" si="181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0"/>
        <v>05,26</v>
      </c>
      <c r="L6191" s="676" t="s">
        <v>28</v>
      </c>
      <c r="M6191" s="676">
        <v>5578.29</v>
      </c>
      <c r="N6191" s="676" t="s">
        <v>1237</v>
      </c>
    </row>
    <row r="6192" spans="1:14" hidden="1" x14ac:dyDescent="0.25">
      <c r="A6192" s="678">
        <f t="shared" si="181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0"/>
        <v>05,26</v>
      </c>
      <c r="L6192" s="678" t="s">
        <v>28</v>
      </c>
      <c r="M6192" s="678">
        <v>9866.6400000000012</v>
      </c>
      <c r="N6192" s="678" t="s">
        <v>1239</v>
      </c>
    </row>
    <row r="6193" spans="1:14" ht="56.25" hidden="1" x14ac:dyDescent="0.25">
      <c r="A6193" s="678">
        <f t="shared" si="181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0"/>
        <v>05,26</v>
      </c>
      <c r="L6193" s="678" t="s">
        <v>28</v>
      </c>
      <c r="M6193" s="678">
        <v>822.72</v>
      </c>
      <c r="N6193" s="678" t="s">
        <v>1239</v>
      </c>
    </row>
    <row r="6194" spans="1:14" hidden="1" x14ac:dyDescent="0.25">
      <c r="A6194" s="678">
        <f t="shared" si="181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0"/>
        <v>05,26</v>
      </c>
      <c r="L6194" s="678" t="s">
        <v>28</v>
      </c>
      <c r="M6194" s="678">
        <v>6602.6</v>
      </c>
      <c r="N6194" s="678" t="s">
        <v>1239</v>
      </c>
    </row>
    <row r="6195" spans="1:14" hidden="1" x14ac:dyDescent="0.25">
      <c r="A6195" s="676">
        <f t="shared" si="181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0"/>
        <v>05,26</v>
      </c>
      <c r="L6195" s="676" t="s">
        <v>28</v>
      </c>
      <c r="M6195" s="676">
        <v>15707.64</v>
      </c>
      <c r="N6195" s="676" t="s">
        <v>1240</v>
      </c>
    </row>
    <row r="6196" spans="1:14" hidden="1" x14ac:dyDescent="0.25">
      <c r="A6196" s="676">
        <f t="shared" si="181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0"/>
        <v>05,26</v>
      </c>
      <c r="L6196" s="676" t="s">
        <v>28</v>
      </c>
      <c r="M6196" s="676">
        <v>1552.4399999999998</v>
      </c>
      <c r="N6196" s="676" t="s">
        <v>1240</v>
      </c>
    </row>
    <row r="6197" spans="1:14" hidden="1" x14ac:dyDescent="0.25">
      <c r="A6197" s="678">
        <f t="shared" si="181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0"/>
        <v>05,26</v>
      </c>
      <c r="L6197" s="678" t="s">
        <v>28</v>
      </c>
      <c r="M6197" s="678">
        <v>17383.989999999998</v>
      </c>
      <c r="N6197" s="678" t="s">
        <v>1241</v>
      </c>
    </row>
    <row r="6198" spans="1:14" hidden="1" x14ac:dyDescent="0.25">
      <c r="A6198" s="676">
        <f t="shared" si="181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0"/>
        <v>05,26</v>
      </c>
      <c r="L6198" s="676" t="s">
        <v>265</v>
      </c>
      <c r="M6198" s="676">
        <v>16184.779999999999</v>
      </c>
      <c r="N6198" s="676" t="s">
        <v>1236</v>
      </c>
    </row>
    <row r="6199" spans="1:14" hidden="1" x14ac:dyDescent="0.25">
      <c r="A6199" s="676">
        <f t="shared" si="181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2">RIGHT(I6199,5)</f>
        <v>05,26</v>
      </c>
      <c r="L6199" s="676" t="s">
        <v>265</v>
      </c>
      <c r="M6199" s="676">
        <v>1508.3999999999999</v>
      </c>
      <c r="N6199" s="676" t="s">
        <v>1236</v>
      </c>
    </row>
    <row r="6200" spans="1:14" hidden="1" x14ac:dyDescent="0.25">
      <c r="A6200" s="678">
        <f t="shared" si="181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2"/>
        <v>05,26</v>
      </c>
      <c r="L6200" s="678" t="s">
        <v>266</v>
      </c>
      <c r="M6200" s="678">
        <v>14340.169999999998</v>
      </c>
      <c r="N6200" s="678" t="s">
        <v>1237</v>
      </c>
    </row>
    <row r="6201" spans="1:14" hidden="1" x14ac:dyDescent="0.25">
      <c r="A6201" s="678">
        <f t="shared" si="181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2"/>
        <v>05,26</v>
      </c>
      <c r="L6201" s="678" t="s">
        <v>266</v>
      </c>
      <c r="M6201" s="678">
        <v>3370.7200000000003</v>
      </c>
      <c r="N6201" s="678" t="s">
        <v>1237</v>
      </c>
    </row>
    <row r="6202" spans="1:14" ht="75" hidden="1" x14ac:dyDescent="0.25">
      <c r="A6202" s="676">
        <f t="shared" si="181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2"/>
        <v>05,26</v>
      </c>
      <c r="L6202" s="676" t="s">
        <v>28</v>
      </c>
      <c r="M6202" s="676">
        <v>13079.58</v>
      </c>
      <c r="N6202" s="676" t="s">
        <v>1240</v>
      </c>
    </row>
    <row r="6203" spans="1:14" hidden="1" x14ac:dyDescent="0.25">
      <c r="A6203" s="678">
        <f t="shared" si="181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2"/>
        <v>05,26</v>
      </c>
      <c r="L6203" s="678" t="s">
        <v>265</v>
      </c>
      <c r="M6203" s="678">
        <v>11508.680000000002</v>
      </c>
      <c r="N6203" s="678" t="s">
        <v>1236</v>
      </c>
    </row>
    <row r="6204" spans="1:14" hidden="1" x14ac:dyDescent="0.25">
      <c r="A6204" s="676">
        <f t="shared" si="181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2"/>
        <v>05,26</v>
      </c>
      <c r="L6204" s="676" t="s">
        <v>265</v>
      </c>
      <c r="M6204" s="676">
        <v>17713.740000000002</v>
      </c>
      <c r="N6204" s="676" t="s">
        <v>1236</v>
      </c>
    </row>
    <row r="6205" spans="1:14" hidden="1" x14ac:dyDescent="0.25">
      <c r="A6205" s="678">
        <f t="shared" si="181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2"/>
        <v>05,26</v>
      </c>
      <c r="L6205" s="678" t="s">
        <v>28</v>
      </c>
      <c r="M6205" s="678">
        <v>8635.23</v>
      </c>
      <c r="N6205" s="678" t="s">
        <v>1237</v>
      </c>
    </row>
    <row r="6206" spans="1:14" hidden="1" x14ac:dyDescent="0.25">
      <c r="A6206" s="678">
        <f t="shared" si="181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2"/>
        <v>05,26</v>
      </c>
      <c r="L6206" s="678" t="s">
        <v>28</v>
      </c>
      <c r="M6206" s="678">
        <v>9166.2000000000007</v>
      </c>
      <c r="N6206" s="678" t="s">
        <v>1237</v>
      </c>
    </row>
    <row r="6207" spans="1:14" hidden="1" x14ac:dyDescent="0.25">
      <c r="A6207" s="676">
        <f t="shared" si="181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2"/>
        <v>05,26</v>
      </c>
      <c r="L6207" s="676" t="s">
        <v>28</v>
      </c>
      <c r="M6207" s="676">
        <v>5814.03</v>
      </c>
      <c r="N6207" s="676" t="s">
        <v>1239</v>
      </c>
    </row>
    <row r="6208" spans="1:14" hidden="1" x14ac:dyDescent="0.25">
      <c r="A6208" s="676">
        <f t="shared" si="181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2"/>
        <v>05,26</v>
      </c>
      <c r="L6208" s="676" t="s">
        <v>28</v>
      </c>
      <c r="M6208" s="676">
        <v>11964.720000000001</v>
      </c>
      <c r="N6208" s="676" t="s">
        <v>1239</v>
      </c>
    </row>
    <row r="6209" spans="1:14" hidden="1" x14ac:dyDescent="0.25">
      <c r="A6209" s="678">
        <f t="shared" si="181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2"/>
        <v>05,26</v>
      </c>
      <c r="L6209" s="678" t="s">
        <v>28</v>
      </c>
      <c r="M6209" s="678">
        <v>3351.72</v>
      </c>
      <c r="N6209" s="678" t="s">
        <v>1237</v>
      </c>
    </row>
    <row r="6210" spans="1:14" hidden="1" x14ac:dyDescent="0.25">
      <c r="A6210" s="678">
        <f t="shared" si="181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2"/>
        <v>05,26</v>
      </c>
      <c r="L6210" s="678" t="s">
        <v>28</v>
      </c>
      <c r="M6210" s="678">
        <v>6946.7999999999993</v>
      </c>
      <c r="N6210" s="678" t="s">
        <v>1237</v>
      </c>
    </row>
    <row r="6211" spans="1:14" hidden="1" x14ac:dyDescent="0.25">
      <c r="A6211" s="676">
        <f t="shared" si="181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2"/>
        <v>05,26</v>
      </c>
      <c r="L6211" s="676" t="s">
        <v>28</v>
      </c>
      <c r="M6211" s="676">
        <v>9760.7999999999993</v>
      </c>
      <c r="N6211" s="676" t="s">
        <v>1239</v>
      </c>
    </row>
    <row r="6212" spans="1:14" hidden="1" x14ac:dyDescent="0.25">
      <c r="A6212" s="678">
        <f t="shared" si="181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2"/>
        <v>05,26</v>
      </c>
      <c r="L6212" s="678" t="s">
        <v>28</v>
      </c>
      <c r="M6212" s="678">
        <v>9268.9599999999991</v>
      </c>
      <c r="N6212" s="678" t="s">
        <v>1240</v>
      </c>
    </row>
    <row r="6213" spans="1:14" hidden="1" x14ac:dyDescent="0.25">
      <c r="A6213" s="676">
        <f t="shared" si="181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2"/>
        <v>05,26</v>
      </c>
      <c r="L6213" s="676" t="s">
        <v>28</v>
      </c>
      <c r="M6213" s="676">
        <v>2504.4</v>
      </c>
      <c r="N6213" s="676" t="s">
        <v>1241</v>
      </c>
    </row>
    <row r="6214" spans="1:14" hidden="1" x14ac:dyDescent="0.25">
      <c r="A6214" s="676">
        <f t="shared" si="181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2"/>
        <v>05,26</v>
      </c>
      <c r="L6214" s="676" t="s">
        <v>28</v>
      </c>
      <c r="M6214" s="676">
        <v>8306.48</v>
      </c>
      <c r="N6214" s="676" t="s">
        <v>1241</v>
      </c>
    </row>
    <row r="6215" spans="1:14" hidden="1" x14ac:dyDescent="0.25">
      <c r="A6215" s="678">
        <f t="shared" si="181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2"/>
        <v>05,26</v>
      </c>
      <c r="L6215" s="678" t="s">
        <v>28</v>
      </c>
      <c r="M6215" s="678">
        <v>2672.24</v>
      </c>
      <c r="N6215" s="678" t="s">
        <v>1242</v>
      </c>
    </row>
    <row r="6216" spans="1:14" hidden="1" x14ac:dyDescent="0.25">
      <c r="A6216" s="678">
        <f t="shared" si="181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2"/>
        <v>05,26</v>
      </c>
      <c r="L6216" s="678" t="s">
        <v>28</v>
      </c>
      <c r="M6216" s="678">
        <v>9376.08</v>
      </c>
      <c r="N6216" s="678" t="s">
        <v>1242</v>
      </c>
    </row>
    <row r="6217" spans="1:14" hidden="1" x14ac:dyDescent="0.25">
      <c r="A6217" s="676">
        <f t="shared" si="181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2"/>
        <v>05,26</v>
      </c>
      <c r="L6217" s="676" t="s">
        <v>265</v>
      </c>
      <c r="M6217" s="676">
        <v>17748.979999999996</v>
      </c>
      <c r="N6217" s="676" t="s">
        <v>1236</v>
      </c>
    </row>
    <row r="6218" spans="1:14" hidden="1" x14ac:dyDescent="0.25">
      <c r="A6218" s="678">
        <f t="shared" si="181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2"/>
        <v>05,26</v>
      </c>
      <c r="L6218" s="678" t="s">
        <v>266</v>
      </c>
      <c r="M6218" s="678">
        <v>18125.579999999998</v>
      </c>
      <c r="N6218" s="678" t="s">
        <v>1237</v>
      </c>
    </row>
    <row r="6219" spans="1:14" hidden="1" x14ac:dyDescent="0.25">
      <c r="A6219" s="676">
        <f t="shared" si="181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2"/>
        <v>05,26</v>
      </c>
      <c r="L6219" s="676" t="s">
        <v>266</v>
      </c>
      <c r="M6219" s="676">
        <v>18085.300000000003</v>
      </c>
      <c r="N6219" s="676" t="s">
        <v>1239</v>
      </c>
    </row>
    <row r="6220" spans="1:14" hidden="1" x14ac:dyDescent="0.25">
      <c r="A6220" s="678">
        <f t="shared" si="181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2"/>
        <v>05,26</v>
      </c>
      <c r="L6220" s="678" t="s">
        <v>266</v>
      </c>
      <c r="M6220" s="678">
        <v>18011.400000000001</v>
      </c>
      <c r="N6220" s="678" t="s">
        <v>1240</v>
      </c>
    </row>
    <row r="6221" spans="1:14" hidden="1" x14ac:dyDescent="0.25">
      <c r="A6221" s="676">
        <f t="shared" si="181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2"/>
        <v>05,26</v>
      </c>
      <c r="L6221" s="676" t="s">
        <v>266</v>
      </c>
      <c r="M6221" s="676">
        <v>18251.479999999996</v>
      </c>
      <c r="N6221" s="676" t="s">
        <v>1241</v>
      </c>
    </row>
    <row r="6222" spans="1:14" hidden="1" x14ac:dyDescent="0.25">
      <c r="A6222" s="678">
        <f t="shared" si="181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2"/>
        <v>05,26</v>
      </c>
      <c r="L6222" s="678" t="s">
        <v>265</v>
      </c>
      <c r="M6222" s="678">
        <v>2158</v>
      </c>
      <c r="N6222" s="678" t="s">
        <v>1236</v>
      </c>
    </row>
    <row r="6223" spans="1:14" hidden="1" x14ac:dyDescent="0.25">
      <c r="A6223" s="678">
        <f t="shared" si="181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2"/>
        <v>05,26</v>
      </c>
      <c r="L6223" s="678" t="s">
        <v>265</v>
      </c>
      <c r="M6223" s="678">
        <v>15415.999999999996</v>
      </c>
      <c r="N6223" s="678" t="s">
        <v>1236</v>
      </c>
    </row>
    <row r="6224" spans="1:14" hidden="1" x14ac:dyDescent="0.25">
      <c r="A6224" s="676">
        <f t="shared" si="181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2"/>
        <v>05,26</v>
      </c>
      <c r="L6224" s="676" t="s">
        <v>265</v>
      </c>
      <c r="M6224" s="676">
        <v>11385.8</v>
      </c>
      <c r="N6224" s="676" t="s">
        <v>1236</v>
      </c>
    </row>
    <row r="6225" spans="1:14" hidden="1" x14ac:dyDescent="0.25">
      <c r="A6225" s="678">
        <f t="shared" si="181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2"/>
        <v>05,26</v>
      </c>
      <c r="L6225" s="678" t="s">
        <v>265</v>
      </c>
      <c r="M6225" s="678">
        <v>17687.079999999998</v>
      </c>
      <c r="N6225" s="678" t="s">
        <v>1236</v>
      </c>
    </row>
    <row r="6226" spans="1:14" hidden="1" x14ac:dyDescent="0.25">
      <c r="A6226" s="676">
        <f t="shared" si="181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2"/>
        <v>05,26</v>
      </c>
      <c r="L6226" s="676" t="s">
        <v>28</v>
      </c>
      <c r="M6226" s="676">
        <v>7442.1600000000008</v>
      </c>
      <c r="N6226" s="676" t="s">
        <v>1237</v>
      </c>
    </row>
    <row r="6227" spans="1:14" hidden="1" x14ac:dyDescent="0.25">
      <c r="A6227" s="676">
        <f t="shared" si="181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2"/>
        <v>05,26</v>
      </c>
      <c r="L6227" s="676" t="s">
        <v>266</v>
      </c>
      <c r="M6227" s="676">
        <v>3501.2100000000005</v>
      </c>
      <c r="N6227" s="676" t="s">
        <v>1237</v>
      </c>
    </row>
    <row r="6228" spans="1:14" hidden="1" x14ac:dyDescent="0.25">
      <c r="A6228" s="676">
        <f t="shared" si="181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2"/>
        <v>05,26</v>
      </c>
      <c r="L6228" s="676" t="s">
        <v>266</v>
      </c>
      <c r="M6228" s="676">
        <v>6293.8200000000006</v>
      </c>
      <c r="N6228" s="676" t="s">
        <v>1237</v>
      </c>
    </row>
    <row r="6229" spans="1:14" hidden="1" x14ac:dyDescent="0.25">
      <c r="A6229" s="678">
        <f t="shared" ref="A6229:A6292" si="18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2"/>
        <v>05,26</v>
      </c>
      <c r="L6229" s="678" t="s">
        <v>28</v>
      </c>
      <c r="M6229" s="678">
        <v>9163.76</v>
      </c>
      <c r="N6229" s="678" t="s">
        <v>1239</v>
      </c>
    </row>
    <row r="6230" spans="1:14" hidden="1" x14ac:dyDescent="0.25">
      <c r="A6230" s="678">
        <f t="shared" si="18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2"/>
        <v>05,26</v>
      </c>
      <c r="L6230" s="678" t="s">
        <v>28</v>
      </c>
      <c r="M6230" s="678">
        <v>8288.2200000000012</v>
      </c>
      <c r="N6230" s="678" t="s">
        <v>1239</v>
      </c>
    </row>
    <row r="6231" spans="1:14" hidden="1" x14ac:dyDescent="0.25">
      <c r="A6231" s="676">
        <f t="shared" si="18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2"/>
        <v>05,26</v>
      </c>
      <c r="L6231" s="676" t="s">
        <v>28</v>
      </c>
      <c r="M6231" s="676">
        <v>2208.2399999999998</v>
      </c>
      <c r="N6231" s="676" t="s">
        <v>1240</v>
      </c>
    </row>
    <row r="6232" spans="1:14" hidden="1" x14ac:dyDescent="0.25">
      <c r="A6232" s="676">
        <f t="shared" si="18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2"/>
        <v>05,26</v>
      </c>
      <c r="L6232" s="676" t="s">
        <v>266</v>
      </c>
      <c r="M6232" s="676">
        <v>15026.82</v>
      </c>
      <c r="N6232" s="676" t="s">
        <v>1240</v>
      </c>
    </row>
    <row r="6233" spans="1:14" hidden="1" x14ac:dyDescent="0.25">
      <c r="A6233" s="676">
        <f t="shared" si="18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2"/>
        <v>05,26</v>
      </c>
      <c r="L6233" s="678" t="s">
        <v>28</v>
      </c>
      <c r="M6233" s="678">
        <v>15071.340000000004</v>
      </c>
      <c r="N6233" s="678" t="s">
        <v>1241</v>
      </c>
    </row>
    <row r="6234" spans="1:14" hidden="1" x14ac:dyDescent="0.25">
      <c r="A6234" s="676">
        <f t="shared" si="18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2"/>
        <v>05,26</v>
      </c>
      <c r="L6234" s="678" t="s">
        <v>28</v>
      </c>
      <c r="M6234" s="678">
        <v>2310</v>
      </c>
      <c r="N6234" s="678" t="s">
        <v>1241</v>
      </c>
    </row>
    <row r="6235" spans="1:14" hidden="1" x14ac:dyDescent="0.25">
      <c r="A6235" s="676">
        <f t="shared" si="18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2"/>
        <v>05,26</v>
      </c>
      <c r="L6235" s="676" t="s">
        <v>28</v>
      </c>
      <c r="M6235" s="676">
        <v>10361.91</v>
      </c>
      <c r="N6235" s="676" t="s">
        <v>1242</v>
      </c>
    </row>
    <row r="6236" spans="1:14" hidden="1" x14ac:dyDescent="0.25">
      <c r="A6236" s="676">
        <f t="shared" si="18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2"/>
        <v>05,26</v>
      </c>
      <c r="L6236" s="676" t="s">
        <v>28</v>
      </c>
      <c r="M6236" s="676">
        <v>7018.08</v>
      </c>
      <c r="N6236" s="676" t="s">
        <v>1242</v>
      </c>
    </row>
    <row r="6237" spans="1:14" hidden="1" x14ac:dyDescent="0.25">
      <c r="A6237" s="676">
        <f t="shared" si="18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2"/>
        <v>05,26</v>
      </c>
      <c r="L6237" s="678" t="s">
        <v>28</v>
      </c>
      <c r="M6237" s="678">
        <v>16023.330000000004</v>
      </c>
      <c r="N6237" s="678" t="s">
        <v>1306</v>
      </c>
    </row>
    <row r="6238" spans="1:14" hidden="1" x14ac:dyDescent="0.25">
      <c r="A6238" s="676">
        <f t="shared" si="18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2"/>
        <v>05,26</v>
      </c>
      <c r="L6238" s="678" t="s">
        <v>28</v>
      </c>
      <c r="M6238" s="678">
        <v>1247.76</v>
      </c>
      <c r="N6238" s="678" t="s">
        <v>1306</v>
      </c>
    </row>
    <row r="6239" spans="1:14" hidden="1" x14ac:dyDescent="0.25">
      <c r="A6239" s="676">
        <f t="shared" si="18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2"/>
        <v>05,26</v>
      </c>
      <c r="L6239" s="676" t="s">
        <v>265</v>
      </c>
      <c r="M6239" s="676">
        <v>16405.22</v>
      </c>
      <c r="N6239" s="676" t="s">
        <v>1236</v>
      </c>
    </row>
    <row r="6240" spans="1:14" hidden="1" x14ac:dyDescent="0.25">
      <c r="A6240" s="676">
        <f t="shared" si="18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2"/>
        <v>05,26</v>
      </c>
      <c r="L6240" s="676" t="s">
        <v>265</v>
      </c>
      <c r="M6240" s="676">
        <v>1210</v>
      </c>
      <c r="N6240" s="676" t="s">
        <v>1236</v>
      </c>
    </row>
    <row r="6241" spans="1:14" hidden="1" x14ac:dyDescent="0.25">
      <c r="A6241" s="678">
        <f t="shared" si="18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2"/>
        <v>05,26</v>
      </c>
      <c r="L6241" s="678" t="s">
        <v>265</v>
      </c>
      <c r="M6241" s="678">
        <v>12367.84</v>
      </c>
      <c r="N6241" s="678" t="s">
        <v>1236</v>
      </c>
    </row>
    <row r="6242" spans="1:14" ht="75" hidden="1" x14ac:dyDescent="0.25">
      <c r="A6242" s="676">
        <f t="shared" si="18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2"/>
        <v>05,26</v>
      </c>
      <c r="L6242" s="676" t="s">
        <v>28</v>
      </c>
      <c r="M6242" s="676">
        <v>8017.38</v>
      </c>
      <c r="N6242" s="676" t="s">
        <v>1375</v>
      </c>
    </row>
    <row r="6243" spans="1:14" hidden="1" x14ac:dyDescent="0.25">
      <c r="A6243" s="678">
        <f t="shared" si="18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2"/>
        <v>05,26</v>
      </c>
      <c r="L6243" s="678" t="s">
        <v>265</v>
      </c>
      <c r="M6243" s="678">
        <v>13850.819999999998</v>
      </c>
      <c r="N6243" s="678" t="s">
        <v>1236</v>
      </c>
    </row>
    <row r="6244" spans="1:14" hidden="1" x14ac:dyDescent="0.25">
      <c r="A6244" s="678">
        <f t="shared" si="18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2"/>
        <v>05,26</v>
      </c>
      <c r="L6244" s="678" t="s">
        <v>265</v>
      </c>
      <c r="M6244" s="678">
        <v>3807.5599999999995</v>
      </c>
      <c r="N6244" s="678" t="s">
        <v>1236</v>
      </c>
    </row>
    <row r="6245" spans="1:14" hidden="1" x14ac:dyDescent="0.25">
      <c r="A6245" s="676">
        <f t="shared" si="18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2"/>
        <v>05,26</v>
      </c>
      <c r="L6245" s="676" t="s">
        <v>28</v>
      </c>
      <c r="M6245" s="676">
        <v>6277.7999999999993</v>
      </c>
      <c r="N6245" s="676" t="s">
        <v>1237</v>
      </c>
    </row>
    <row r="6246" spans="1:14" hidden="1" x14ac:dyDescent="0.25">
      <c r="A6246" s="676">
        <f t="shared" si="18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2"/>
        <v>05,26</v>
      </c>
      <c r="L6246" s="676" t="s">
        <v>28</v>
      </c>
      <c r="M6246" s="676">
        <v>8321.8100000000013</v>
      </c>
      <c r="N6246" s="676" t="s">
        <v>1237</v>
      </c>
    </row>
    <row r="6247" spans="1:14" hidden="1" x14ac:dyDescent="0.25">
      <c r="A6247" s="676">
        <f t="shared" si="18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2"/>
        <v>05,26</v>
      </c>
      <c r="L6247" s="676" t="s">
        <v>28</v>
      </c>
      <c r="M6247" s="676">
        <v>3028.4399999999996</v>
      </c>
      <c r="N6247" s="676" t="s">
        <v>1237</v>
      </c>
    </row>
    <row r="6248" spans="1:14" hidden="1" x14ac:dyDescent="0.25">
      <c r="A6248" s="678">
        <f t="shared" si="18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2"/>
        <v>05,26</v>
      </c>
      <c r="L6248" s="678" t="s">
        <v>28</v>
      </c>
      <c r="M6248" s="678">
        <v>6734.22</v>
      </c>
      <c r="N6248" s="678" t="s">
        <v>1239</v>
      </c>
    </row>
    <row r="6249" spans="1:14" hidden="1" x14ac:dyDescent="0.25">
      <c r="A6249" s="678">
        <f t="shared" si="18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2"/>
        <v>05,26</v>
      </c>
      <c r="L6249" s="678" t="s">
        <v>28</v>
      </c>
      <c r="M6249" s="678">
        <v>10737.6</v>
      </c>
      <c r="N6249" s="678" t="s">
        <v>1239</v>
      </c>
    </row>
    <row r="6250" spans="1:14" hidden="1" x14ac:dyDescent="0.25">
      <c r="A6250" s="676">
        <f t="shared" si="18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2"/>
        <v>05,26</v>
      </c>
      <c r="L6250" s="676" t="s">
        <v>28</v>
      </c>
      <c r="M6250" s="676">
        <v>14625.500000000004</v>
      </c>
      <c r="N6250" s="676" t="s">
        <v>1240</v>
      </c>
    </row>
    <row r="6251" spans="1:14" hidden="1" x14ac:dyDescent="0.25">
      <c r="A6251" s="676">
        <f t="shared" si="18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2"/>
        <v>05,26</v>
      </c>
      <c r="L6251" s="676" t="s">
        <v>266</v>
      </c>
      <c r="M6251" s="676">
        <v>2781.7200000000003</v>
      </c>
      <c r="N6251" s="676" t="s">
        <v>1240</v>
      </c>
    </row>
    <row r="6252" spans="1:14" hidden="1" x14ac:dyDescent="0.25">
      <c r="A6252" s="678">
        <f t="shared" si="18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2"/>
        <v>05,26</v>
      </c>
      <c r="L6252" s="678" t="s">
        <v>28</v>
      </c>
      <c r="M6252" s="678">
        <v>3163.08</v>
      </c>
      <c r="N6252" s="678" t="s">
        <v>1237</v>
      </c>
    </row>
    <row r="6253" spans="1:14" hidden="1" x14ac:dyDescent="0.25">
      <c r="A6253" s="678">
        <f t="shared" si="18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2"/>
        <v>05,26</v>
      </c>
      <c r="L6253" s="678" t="s">
        <v>28</v>
      </c>
      <c r="M6253" s="678">
        <v>3984.12</v>
      </c>
      <c r="N6253" s="678" t="s">
        <v>1237</v>
      </c>
    </row>
    <row r="6254" spans="1:14" hidden="1" x14ac:dyDescent="0.25">
      <c r="A6254" s="678">
        <f t="shared" si="18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2"/>
        <v>05,26</v>
      </c>
      <c r="L6254" s="678" t="s">
        <v>28</v>
      </c>
      <c r="M6254" s="678">
        <v>5705.76</v>
      </c>
      <c r="N6254" s="678" t="s">
        <v>1237</v>
      </c>
    </row>
    <row r="6255" spans="1:14" hidden="1" x14ac:dyDescent="0.25">
      <c r="A6255" s="676">
        <f t="shared" si="18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2"/>
        <v>05,26</v>
      </c>
      <c r="L6255" s="676" t="s">
        <v>28</v>
      </c>
      <c r="M6255" s="676">
        <v>1029.96</v>
      </c>
      <c r="N6255" s="676" t="s">
        <v>1239</v>
      </c>
    </row>
    <row r="6256" spans="1:14" hidden="1" x14ac:dyDescent="0.25">
      <c r="A6256" s="676">
        <f t="shared" si="18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2"/>
        <v>05,26</v>
      </c>
      <c r="L6256" s="676" t="s">
        <v>28</v>
      </c>
      <c r="M6256" s="676">
        <v>10269</v>
      </c>
      <c r="N6256" s="676" t="s">
        <v>1239</v>
      </c>
    </row>
    <row r="6257" spans="1:14" hidden="1" x14ac:dyDescent="0.25">
      <c r="A6257" s="678">
        <f t="shared" si="18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2"/>
        <v>05,26</v>
      </c>
      <c r="L6257" s="678" t="s">
        <v>28</v>
      </c>
      <c r="M6257" s="678">
        <v>12094.96</v>
      </c>
      <c r="N6257" s="678" t="s">
        <v>1240</v>
      </c>
    </row>
    <row r="6258" spans="1:14" hidden="1" x14ac:dyDescent="0.25">
      <c r="A6258" s="676">
        <f t="shared" si="18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2"/>
        <v>05,26</v>
      </c>
      <c r="L6258" s="676" t="s">
        <v>265</v>
      </c>
      <c r="M6258" s="676">
        <v>17717.36</v>
      </c>
      <c r="N6258" s="676" t="s">
        <v>1236</v>
      </c>
    </row>
    <row r="6259" spans="1:14" hidden="1" x14ac:dyDescent="0.25">
      <c r="A6259" s="678">
        <f t="shared" si="18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2"/>
        <v>05,26</v>
      </c>
      <c r="L6259" s="678" t="s">
        <v>266</v>
      </c>
      <c r="M6259" s="678">
        <v>2227.4300000000007</v>
      </c>
      <c r="N6259" s="678" t="s">
        <v>1240</v>
      </c>
    </row>
    <row r="6260" spans="1:14" hidden="1" x14ac:dyDescent="0.25">
      <c r="A6260" s="678">
        <f t="shared" si="18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2"/>
        <v>05,26</v>
      </c>
      <c r="L6260" s="678" t="s">
        <v>266</v>
      </c>
      <c r="M6260" s="678">
        <v>14649.460000000001</v>
      </c>
      <c r="N6260" s="678" t="s">
        <v>1240</v>
      </c>
    </row>
    <row r="6261" spans="1:14" hidden="1" x14ac:dyDescent="0.25">
      <c r="A6261" s="676">
        <f t="shared" si="18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2"/>
        <v>05,26</v>
      </c>
      <c r="L6261" s="676" t="s">
        <v>266</v>
      </c>
      <c r="M6261" s="676">
        <v>18098.38</v>
      </c>
      <c r="N6261" s="676" t="s">
        <v>1237</v>
      </c>
    </row>
    <row r="6262" spans="1:14" hidden="1" x14ac:dyDescent="0.25">
      <c r="A6262" s="678">
        <f t="shared" si="18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2"/>
        <v>05,26</v>
      </c>
      <c r="L6262" s="678" t="s">
        <v>266</v>
      </c>
      <c r="M6262" s="678">
        <v>17972.72</v>
      </c>
      <c r="N6262" s="678" t="s">
        <v>1239</v>
      </c>
    </row>
    <row r="6263" spans="1:14" hidden="1" x14ac:dyDescent="0.25">
      <c r="A6263" s="676">
        <f t="shared" si="18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4">RIGHT(I6263,5)</f>
        <v>05,26</v>
      </c>
      <c r="L6263" s="676" t="s">
        <v>266</v>
      </c>
      <c r="M6263" s="676">
        <v>18031.2</v>
      </c>
      <c r="N6263" s="676" t="s">
        <v>1240</v>
      </c>
    </row>
    <row r="6264" spans="1:14" hidden="1" x14ac:dyDescent="0.25">
      <c r="A6264" s="678">
        <f t="shared" si="18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4"/>
        <v>05,26</v>
      </c>
      <c r="L6264" s="678" t="s">
        <v>266</v>
      </c>
      <c r="M6264" s="678">
        <v>18025.080000000002</v>
      </c>
      <c r="N6264" s="678" t="s">
        <v>1241</v>
      </c>
    </row>
    <row r="6265" spans="1:14" hidden="1" x14ac:dyDescent="0.25">
      <c r="A6265" s="676">
        <f t="shared" si="18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4"/>
        <v>05,26</v>
      </c>
      <c r="L6265" s="676" t="s">
        <v>265</v>
      </c>
      <c r="M6265" s="676">
        <v>5698.7999999999993</v>
      </c>
      <c r="N6265" s="676" t="s">
        <v>1236</v>
      </c>
    </row>
    <row r="6266" spans="1:14" hidden="1" x14ac:dyDescent="0.25">
      <c r="A6266" s="676">
        <f t="shared" si="18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4"/>
        <v>05,26</v>
      </c>
      <c r="L6266" s="676" t="s">
        <v>265</v>
      </c>
      <c r="M6266" s="676">
        <v>11675.16</v>
      </c>
      <c r="N6266" s="676" t="s">
        <v>1236</v>
      </c>
    </row>
    <row r="6267" spans="1:14" hidden="1" x14ac:dyDescent="0.25">
      <c r="A6267" s="678">
        <f t="shared" si="18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4"/>
        <v>05,26</v>
      </c>
      <c r="L6267" s="678" t="s">
        <v>265</v>
      </c>
      <c r="M6267" s="678">
        <v>17610.73</v>
      </c>
      <c r="N6267" s="678" t="s">
        <v>1237</v>
      </c>
    </row>
    <row r="6268" spans="1:14" hidden="1" x14ac:dyDescent="0.25">
      <c r="A6268" s="676">
        <f t="shared" si="18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4"/>
        <v>05,26</v>
      </c>
      <c r="L6268" s="676" t="s">
        <v>265</v>
      </c>
      <c r="M6268" s="676">
        <v>12646.68</v>
      </c>
      <c r="N6268" s="676" t="s">
        <v>1236</v>
      </c>
    </row>
    <row r="6269" spans="1:14" hidden="1" x14ac:dyDescent="0.25">
      <c r="A6269" s="678">
        <f t="shared" si="18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4"/>
        <v>05,26</v>
      </c>
      <c r="L6269" s="678" t="s">
        <v>266</v>
      </c>
      <c r="M6269" s="678">
        <v>18091.86</v>
      </c>
      <c r="N6269" s="678" t="s">
        <v>1239</v>
      </c>
    </row>
    <row r="6270" spans="1:14" hidden="1" x14ac:dyDescent="0.25">
      <c r="A6270" s="676">
        <f t="shared" si="18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4"/>
        <v>05,26</v>
      </c>
      <c r="L6270" s="676" t="s">
        <v>265</v>
      </c>
      <c r="M6270" s="676">
        <v>17591.82</v>
      </c>
      <c r="N6270" s="676" t="s">
        <v>1236</v>
      </c>
    </row>
    <row r="6271" spans="1:14" hidden="1" x14ac:dyDescent="0.25">
      <c r="A6271" s="678">
        <f t="shared" ref="A6271:A6284" si="185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4"/>
        <v>05,26</v>
      </c>
      <c r="L6271" s="678" t="s">
        <v>28</v>
      </c>
      <c r="M6271" s="678">
        <v>10941.960000000001</v>
      </c>
      <c r="N6271" s="678" t="s">
        <v>1237</v>
      </c>
    </row>
    <row r="6272" spans="1:14" hidden="1" x14ac:dyDescent="0.25">
      <c r="A6272" s="678">
        <f t="shared" si="185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4"/>
        <v>05,26</v>
      </c>
      <c r="L6272" s="678" t="s">
        <v>28</v>
      </c>
      <c r="M6272" s="678">
        <v>6508.92</v>
      </c>
      <c r="N6272" s="678" t="s">
        <v>1237</v>
      </c>
    </row>
    <row r="6273" spans="1:14" hidden="1" x14ac:dyDescent="0.25">
      <c r="A6273" s="676">
        <f t="shared" si="185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4"/>
        <v>05,26</v>
      </c>
      <c r="L6273" s="676" t="s">
        <v>266</v>
      </c>
      <c r="M6273" s="676">
        <v>7530.7999999999993</v>
      </c>
      <c r="N6273" s="676" t="s">
        <v>1239</v>
      </c>
    </row>
    <row r="6274" spans="1:14" hidden="1" x14ac:dyDescent="0.25">
      <c r="A6274" s="676">
        <f t="shared" si="185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4"/>
        <v>05,26</v>
      </c>
      <c r="L6274" s="676" t="s">
        <v>266</v>
      </c>
      <c r="M6274" s="676">
        <v>4395.1400000000003</v>
      </c>
      <c r="N6274" s="676" t="s">
        <v>1239</v>
      </c>
    </row>
    <row r="6275" spans="1:14" hidden="1" x14ac:dyDescent="0.25">
      <c r="A6275" s="676">
        <f t="shared" si="185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4"/>
        <v>05,26</v>
      </c>
      <c r="L6275" s="676" t="s">
        <v>28</v>
      </c>
      <c r="M6275" s="676">
        <v>5318.1600000000008</v>
      </c>
      <c r="N6275" s="676" t="s">
        <v>1239</v>
      </c>
    </row>
    <row r="6276" spans="1:14" hidden="1" x14ac:dyDescent="0.25">
      <c r="A6276" s="678">
        <f t="shared" si="185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4"/>
        <v>05,26</v>
      </c>
      <c r="L6276" s="678" t="s">
        <v>28</v>
      </c>
      <c r="M6276" s="678">
        <v>7850.4000000000005</v>
      </c>
      <c r="N6276" s="678" t="s">
        <v>1240</v>
      </c>
    </row>
    <row r="6277" spans="1:14" ht="56.25" hidden="1" x14ac:dyDescent="0.25">
      <c r="A6277" s="678">
        <f t="shared" si="185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4"/>
        <v>05,26</v>
      </c>
      <c r="L6277" s="678" t="s">
        <v>28</v>
      </c>
      <c r="M6277" s="678">
        <v>1713.1200000000001</v>
      </c>
      <c r="N6277" s="678" t="s">
        <v>1240</v>
      </c>
    </row>
    <row r="6278" spans="1:14" hidden="1" x14ac:dyDescent="0.25">
      <c r="A6278" s="678">
        <f t="shared" si="185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4"/>
        <v>05,26</v>
      </c>
      <c r="L6278" s="678" t="s">
        <v>28</v>
      </c>
      <c r="M6278" s="678">
        <v>7800.4</v>
      </c>
      <c r="N6278" s="678" t="s">
        <v>1240</v>
      </c>
    </row>
    <row r="6279" spans="1:14" hidden="1" x14ac:dyDescent="0.25">
      <c r="A6279" s="676">
        <f t="shared" si="185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4"/>
        <v>05,26</v>
      </c>
      <c r="L6279" s="676" t="s">
        <v>28</v>
      </c>
      <c r="M6279" s="676">
        <v>14346.66</v>
      </c>
      <c r="N6279" s="676" t="s">
        <v>1241</v>
      </c>
    </row>
    <row r="6280" spans="1:14" hidden="1" x14ac:dyDescent="0.25">
      <c r="A6280" s="676">
        <f t="shared" si="185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4"/>
        <v>05,26</v>
      </c>
      <c r="L6280" s="676" t="s">
        <v>28</v>
      </c>
      <c r="M6280" s="676">
        <v>1499.4</v>
      </c>
      <c r="N6280" s="676" t="s">
        <v>1241</v>
      </c>
    </row>
    <row r="6281" spans="1:14" hidden="1" x14ac:dyDescent="0.25">
      <c r="A6281" s="676">
        <f t="shared" si="185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4"/>
        <v>05,26</v>
      </c>
      <c r="L6281" s="676" t="s">
        <v>28</v>
      </c>
      <c r="M6281" s="676">
        <v>1518.06</v>
      </c>
      <c r="N6281" s="676" t="s">
        <v>1241</v>
      </c>
    </row>
    <row r="6282" spans="1:14" hidden="1" x14ac:dyDescent="0.25">
      <c r="A6282" s="678">
        <f t="shared" si="185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4"/>
        <v>05,26</v>
      </c>
      <c r="L6282" s="678" t="s">
        <v>28</v>
      </c>
      <c r="M6282" s="678">
        <v>17681.190000000002</v>
      </c>
      <c r="N6282" s="678" t="s">
        <v>1242</v>
      </c>
    </row>
    <row r="6283" spans="1:14" hidden="1" x14ac:dyDescent="0.25">
      <c r="A6283" s="676">
        <f t="shared" si="185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4"/>
        <v>05,26</v>
      </c>
      <c r="L6283" s="676" t="s">
        <v>28</v>
      </c>
      <c r="M6283" s="676">
        <v>17406.400000000001</v>
      </c>
      <c r="N6283" s="676" t="s">
        <v>1306</v>
      </c>
    </row>
    <row r="6284" spans="1:14" hidden="1" x14ac:dyDescent="0.25">
      <c r="A6284" s="678">
        <f t="shared" si="185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4"/>
        <v>05,26</v>
      </c>
      <c r="L6284" s="678" t="s">
        <v>265</v>
      </c>
      <c r="M6284" s="678">
        <v>16395.400000000001</v>
      </c>
      <c r="N6284" s="678" t="s">
        <v>1236</v>
      </c>
    </row>
    <row r="6285" spans="1:14" hidden="1" x14ac:dyDescent="0.25">
      <c r="A6285" s="678">
        <f t="shared" si="18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4"/>
        <v>05,26</v>
      </c>
      <c r="L6285" s="678" t="s">
        <v>265</v>
      </c>
      <c r="M6285" s="678">
        <v>1270.92</v>
      </c>
      <c r="N6285" s="678" t="s">
        <v>1236</v>
      </c>
    </row>
    <row r="6286" spans="1:14" hidden="1" x14ac:dyDescent="0.25">
      <c r="A6286" s="676">
        <f t="shared" si="18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4"/>
        <v>05,26</v>
      </c>
      <c r="L6286" s="676" t="s">
        <v>28</v>
      </c>
      <c r="M6286" s="676">
        <v>17417.699999999997</v>
      </c>
      <c r="N6286" s="676" t="s">
        <v>1237</v>
      </c>
    </row>
    <row r="6287" spans="1:14" ht="37.5" hidden="1" x14ac:dyDescent="0.25">
      <c r="A6287" s="678">
        <f t="shared" si="18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4"/>
        <v>05,26</v>
      </c>
      <c r="L6287" s="678" t="s">
        <v>28</v>
      </c>
      <c r="M6287" s="678">
        <v>11544.9</v>
      </c>
      <c r="N6287" s="678" t="s">
        <v>1239</v>
      </c>
    </row>
    <row r="6288" spans="1:14" hidden="1" x14ac:dyDescent="0.25">
      <c r="A6288" s="676">
        <f t="shared" si="18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4"/>
        <v>05,26</v>
      </c>
      <c r="L6288" s="676" t="s">
        <v>265</v>
      </c>
      <c r="M6288" s="676">
        <v>12756.52</v>
      </c>
      <c r="N6288" s="676" t="s">
        <v>1236</v>
      </c>
    </row>
    <row r="6289" spans="1:14" hidden="1" x14ac:dyDescent="0.25">
      <c r="A6289" s="678">
        <f t="shared" si="18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4"/>
        <v>05,26</v>
      </c>
      <c r="L6289" s="678" t="s">
        <v>266</v>
      </c>
      <c r="M6289" s="678">
        <v>11739.36</v>
      </c>
      <c r="N6289" s="678" t="s">
        <v>1237</v>
      </c>
    </row>
    <row r="6290" spans="1:14" hidden="1" x14ac:dyDescent="0.25">
      <c r="A6290" s="676">
        <f t="shared" si="18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4"/>
        <v>05,26</v>
      </c>
      <c r="L6290" s="676" t="s">
        <v>265</v>
      </c>
      <c r="M6290" s="676">
        <v>17863.64</v>
      </c>
      <c r="N6290" s="676" t="s">
        <v>1236</v>
      </c>
    </row>
    <row r="6291" spans="1:14" hidden="1" x14ac:dyDescent="0.25">
      <c r="A6291" s="678">
        <f t="shared" si="18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4"/>
        <v>05,26</v>
      </c>
      <c r="L6291" s="678" t="s">
        <v>28</v>
      </c>
      <c r="M6291" s="678">
        <v>10362.259999999998</v>
      </c>
      <c r="N6291" s="678" t="s">
        <v>1237</v>
      </c>
    </row>
    <row r="6292" spans="1:14" hidden="1" x14ac:dyDescent="0.25">
      <c r="A6292" s="678">
        <f t="shared" si="18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4"/>
        <v>05,26</v>
      </c>
      <c r="L6292" s="678" t="s">
        <v>28</v>
      </c>
      <c r="M6292" s="678">
        <v>7169.9199999999992</v>
      </c>
      <c r="N6292" s="678" t="s">
        <v>1237</v>
      </c>
    </row>
    <row r="6293" spans="1:14" hidden="1" x14ac:dyDescent="0.25">
      <c r="A6293" s="676">
        <f t="shared" ref="A6293:A6356" si="186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4"/>
        <v>05,26</v>
      </c>
      <c r="L6293" s="676" t="s">
        <v>28</v>
      </c>
      <c r="M6293" s="676">
        <v>8520.130000000001</v>
      </c>
      <c r="N6293" s="676" t="s">
        <v>1239</v>
      </c>
    </row>
    <row r="6294" spans="1:14" hidden="1" x14ac:dyDescent="0.25">
      <c r="A6294" s="676">
        <f t="shared" si="186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4"/>
        <v>05,26</v>
      </c>
      <c r="L6294" s="676" t="s">
        <v>28</v>
      </c>
      <c r="M6294" s="676">
        <v>8963.17</v>
      </c>
      <c r="N6294" s="676" t="s">
        <v>1239</v>
      </c>
    </row>
    <row r="6295" spans="1:14" hidden="1" x14ac:dyDescent="0.25">
      <c r="A6295" s="678">
        <f t="shared" si="186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4"/>
        <v>05,26</v>
      </c>
      <c r="L6295" s="678" t="s">
        <v>28</v>
      </c>
      <c r="M6295" s="678">
        <v>6040.2</v>
      </c>
      <c r="N6295" s="678" t="s">
        <v>1237</v>
      </c>
    </row>
    <row r="6296" spans="1:14" hidden="1" x14ac:dyDescent="0.25">
      <c r="A6296" s="678">
        <f t="shared" si="186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4"/>
        <v>05,26</v>
      </c>
      <c r="L6296" s="678" t="s">
        <v>28</v>
      </c>
      <c r="M6296" s="678">
        <v>7282.7999999999993</v>
      </c>
      <c r="N6296" s="678" t="s">
        <v>1237</v>
      </c>
    </row>
    <row r="6297" spans="1:14" hidden="1" x14ac:dyDescent="0.25">
      <c r="A6297" s="676">
        <f t="shared" si="186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4"/>
        <v>05,26</v>
      </c>
      <c r="L6297" s="676" t="s">
        <v>28</v>
      </c>
      <c r="M6297" s="676">
        <v>4090.8</v>
      </c>
      <c r="N6297" s="676" t="s">
        <v>1239</v>
      </c>
    </row>
    <row r="6298" spans="1:14" hidden="1" x14ac:dyDescent="0.25">
      <c r="A6298" s="676">
        <f t="shared" si="186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4"/>
        <v>05,26</v>
      </c>
      <c r="L6298" s="676" t="s">
        <v>28</v>
      </c>
      <c r="M6298" s="676">
        <v>6275.04</v>
      </c>
      <c r="N6298" s="676" t="s">
        <v>1239</v>
      </c>
    </row>
    <row r="6299" spans="1:14" hidden="1" x14ac:dyDescent="0.25">
      <c r="A6299" s="678">
        <f t="shared" si="186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4"/>
        <v>05,26</v>
      </c>
      <c r="L6299" s="678" t="s">
        <v>28</v>
      </c>
      <c r="M6299" s="678">
        <v>5696.64</v>
      </c>
      <c r="N6299" s="678" t="s">
        <v>1240</v>
      </c>
    </row>
    <row r="6300" spans="1:14" hidden="1" x14ac:dyDescent="0.25">
      <c r="A6300" s="678">
        <f t="shared" si="186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4"/>
        <v>05,26</v>
      </c>
      <c r="L6300" s="678" t="s">
        <v>28</v>
      </c>
      <c r="M6300" s="678">
        <v>4517.76</v>
      </c>
      <c r="N6300" s="678" t="s">
        <v>1240</v>
      </c>
    </row>
    <row r="6301" spans="1:14" hidden="1" x14ac:dyDescent="0.25">
      <c r="A6301" s="676">
        <f t="shared" si="186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4"/>
        <v>05,26</v>
      </c>
      <c r="L6301" s="676" t="s">
        <v>266</v>
      </c>
      <c r="M6301" s="676">
        <v>13993.560000000001</v>
      </c>
      <c r="N6301" s="676" t="s">
        <v>1237</v>
      </c>
    </row>
    <row r="6302" spans="1:14" hidden="1" x14ac:dyDescent="0.25">
      <c r="A6302" s="678">
        <f t="shared" si="186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4"/>
        <v>05,26</v>
      </c>
      <c r="L6302" s="678" t="s">
        <v>266</v>
      </c>
      <c r="M6302" s="678">
        <v>18056.580000000005</v>
      </c>
      <c r="N6302" s="678" t="s">
        <v>1237</v>
      </c>
    </row>
    <row r="6303" spans="1:14" hidden="1" x14ac:dyDescent="0.25">
      <c r="A6303" s="676">
        <f t="shared" si="186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4"/>
        <v>05,26</v>
      </c>
      <c r="L6303" s="676" t="s">
        <v>266</v>
      </c>
      <c r="M6303" s="676">
        <v>18074.2</v>
      </c>
      <c r="N6303" s="676" t="s">
        <v>1239</v>
      </c>
    </row>
    <row r="6304" spans="1:14" hidden="1" x14ac:dyDescent="0.25">
      <c r="A6304" s="678">
        <f t="shared" si="186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4"/>
        <v>05,26</v>
      </c>
      <c r="L6304" s="678" t="s">
        <v>266</v>
      </c>
      <c r="M6304" s="678">
        <v>9902.2000000000007</v>
      </c>
      <c r="N6304" s="678" t="s">
        <v>1240</v>
      </c>
    </row>
    <row r="6305" spans="1:14" hidden="1" x14ac:dyDescent="0.25">
      <c r="A6305" s="676">
        <f t="shared" si="186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4"/>
        <v>05,26</v>
      </c>
      <c r="L6305" s="676" t="s">
        <v>265</v>
      </c>
      <c r="M6305" s="676">
        <v>2562.3000000000002</v>
      </c>
      <c r="N6305" s="676" t="s">
        <v>1236</v>
      </c>
    </row>
    <row r="6306" spans="1:14" hidden="1" x14ac:dyDescent="0.25">
      <c r="A6306" s="676">
        <f t="shared" si="186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4"/>
        <v>05,26</v>
      </c>
      <c r="L6306" s="676" t="s">
        <v>265</v>
      </c>
      <c r="M6306" s="676">
        <v>14462.24</v>
      </c>
      <c r="N6306" s="676" t="s">
        <v>1236</v>
      </c>
    </row>
    <row r="6307" spans="1:14" hidden="1" x14ac:dyDescent="0.25">
      <c r="A6307" s="678">
        <f t="shared" si="186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4"/>
        <v>05,26</v>
      </c>
      <c r="L6307" s="678" t="s">
        <v>265</v>
      </c>
      <c r="M6307" s="678">
        <v>17685.739999999998</v>
      </c>
      <c r="N6307" s="678" t="s">
        <v>1237</v>
      </c>
    </row>
    <row r="6308" spans="1:14" hidden="1" x14ac:dyDescent="0.25">
      <c r="A6308" s="676">
        <f t="shared" si="186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4"/>
        <v>05,26</v>
      </c>
      <c r="L6308" s="676" t="s">
        <v>266</v>
      </c>
      <c r="M6308" s="676">
        <v>17885.72</v>
      </c>
      <c r="N6308" s="676" t="s">
        <v>1239</v>
      </c>
    </row>
    <row r="6309" spans="1:14" hidden="1" x14ac:dyDescent="0.25">
      <c r="A6309" s="678">
        <f t="shared" si="186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4"/>
        <v>05,26</v>
      </c>
      <c r="L6309" s="678" t="s">
        <v>266</v>
      </c>
      <c r="M6309" s="678">
        <v>17338.519999999997</v>
      </c>
      <c r="N6309" s="678" t="s">
        <v>1240</v>
      </c>
    </row>
    <row r="6310" spans="1:14" hidden="1" x14ac:dyDescent="0.25">
      <c r="A6310" s="676">
        <f t="shared" si="186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4"/>
        <v>05,26</v>
      </c>
      <c r="L6310" s="676" t="s">
        <v>265</v>
      </c>
      <c r="M6310" s="676">
        <v>12762.44</v>
      </c>
      <c r="N6310" s="676" t="s">
        <v>1236</v>
      </c>
    </row>
    <row r="6311" spans="1:14" hidden="1" x14ac:dyDescent="0.25">
      <c r="A6311" s="678">
        <f t="shared" si="186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4"/>
        <v>05,26</v>
      </c>
      <c r="L6311" s="678" t="s">
        <v>265</v>
      </c>
      <c r="M6311" s="678">
        <v>17733.82</v>
      </c>
      <c r="N6311" s="678" t="s">
        <v>1236</v>
      </c>
    </row>
    <row r="6312" spans="1:14" hidden="1" x14ac:dyDescent="0.25">
      <c r="A6312" s="676">
        <f t="shared" si="186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4"/>
        <v>05,26</v>
      </c>
      <c r="L6312" s="676" t="s">
        <v>28</v>
      </c>
      <c r="M6312" s="676">
        <v>2416.3200000000002</v>
      </c>
      <c r="N6312" s="676" t="s">
        <v>1237</v>
      </c>
    </row>
    <row r="6313" spans="1:14" hidden="1" x14ac:dyDescent="0.25">
      <c r="A6313" s="676">
        <f t="shared" si="186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4"/>
        <v>05,26</v>
      </c>
      <c r="L6313" s="676" t="s">
        <v>28</v>
      </c>
      <c r="M6313" s="676">
        <v>9460.41</v>
      </c>
      <c r="N6313" s="676" t="s">
        <v>1237</v>
      </c>
    </row>
    <row r="6314" spans="1:14" hidden="1" x14ac:dyDescent="0.25">
      <c r="A6314" s="676">
        <f t="shared" si="186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4"/>
        <v>05,26</v>
      </c>
      <c r="L6314" s="676" t="s">
        <v>28</v>
      </c>
      <c r="M6314" s="676">
        <v>5615.52</v>
      </c>
      <c r="N6314" s="676" t="s">
        <v>1237</v>
      </c>
    </row>
    <row r="6315" spans="1:14" hidden="1" x14ac:dyDescent="0.25">
      <c r="A6315" s="678">
        <f t="shared" si="186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4"/>
        <v>05,26</v>
      </c>
      <c r="L6315" s="678" t="s">
        <v>266</v>
      </c>
      <c r="M6315" s="678">
        <v>7725.5</v>
      </c>
      <c r="N6315" s="678" t="s">
        <v>1239</v>
      </c>
    </row>
    <row r="6316" spans="1:14" hidden="1" x14ac:dyDescent="0.25">
      <c r="A6316" s="678">
        <f t="shared" si="186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4"/>
        <v>05,26</v>
      </c>
      <c r="L6316" s="678" t="s">
        <v>28</v>
      </c>
      <c r="M6316" s="678">
        <v>9731.0700000000015</v>
      </c>
      <c r="N6316" s="678" t="s">
        <v>1239</v>
      </c>
    </row>
    <row r="6317" spans="1:14" hidden="1" x14ac:dyDescent="0.25">
      <c r="A6317" s="676">
        <f t="shared" si="186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4"/>
        <v>05,26</v>
      </c>
      <c r="L6317" s="676" t="s">
        <v>28</v>
      </c>
      <c r="M6317" s="676">
        <v>4412.04</v>
      </c>
      <c r="N6317" s="676" t="s">
        <v>1240</v>
      </c>
    </row>
    <row r="6318" spans="1:14" hidden="1" x14ac:dyDescent="0.25">
      <c r="A6318" s="676">
        <f t="shared" si="186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4"/>
        <v>05,26</v>
      </c>
      <c r="L6318" s="676" t="s">
        <v>28</v>
      </c>
      <c r="M6318" s="676">
        <v>1748.88</v>
      </c>
      <c r="N6318" s="676" t="s">
        <v>1240</v>
      </c>
    </row>
    <row r="6319" spans="1:14" hidden="1" x14ac:dyDescent="0.25">
      <c r="A6319" s="676">
        <f t="shared" si="186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4"/>
        <v>05,26</v>
      </c>
      <c r="L6319" s="676" t="s">
        <v>28</v>
      </c>
      <c r="M6319" s="676">
        <v>1787.0400000000002</v>
      </c>
      <c r="N6319" s="676" t="s">
        <v>1240</v>
      </c>
    </row>
    <row r="6320" spans="1:14" hidden="1" x14ac:dyDescent="0.25">
      <c r="A6320" s="676">
        <f t="shared" si="186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4"/>
        <v>05,26</v>
      </c>
      <c r="L6320" s="676" t="s">
        <v>266</v>
      </c>
      <c r="M6320" s="676">
        <v>9085.6600000000017</v>
      </c>
      <c r="N6320" s="676" t="s">
        <v>1240</v>
      </c>
    </row>
    <row r="6321" spans="1:14" hidden="1" x14ac:dyDescent="0.25">
      <c r="A6321" s="678">
        <f t="shared" si="186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4"/>
        <v>05,26</v>
      </c>
      <c r="L6321" s="678" t="s">
        <v>28</v>
      </c>
      <c r="M6321" s="678">
        <v>8732.94</v>
      </c>
      <c r="N6321" s="678" t="s">
        <v>1241</v>
      </c>
    </row>
    <row r="6322" spans="1:14" ht="56.25" hidden="1" x14ac:dyDescent="0.25">
      <c r="A6322" s="678">
        <f t="shared" si="186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4"/>
        <v>05,26</v>
      </c>
      <c r="L6322" s="678" t="s">
        <v>28</v>
      </c>
      <c r="M6322" s="678">
        <v>1103.04</v>
      </c>
      <c r="N6322" s="678" t="s">
        <v>1241</v>
      </c>
    </row>
    <row r="6323" spans="1:14" hidden="1" x14ac:dyDescent="0.25">
      <c r="A6323" s="678">
        <f t="shared" si="186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4"/>
        <v>05,26</v>
      </c>
      <c r="L6323" s="678" t="s">
        <v>28</v>
      </c>
      <c r="M6323" s="678">
        <v>7235.56</v>
      </c>
      <c r="N6323" s="678" t="s">
        <v>1241</v>
      </c>
    </row>
    <row r="6324" spans="1:14" hidden="1" x14ac:dyDescent="0.25">
      <c r="A6324" s="676">
        <f t="shared" si="186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4"/>
        <v>05,26</v>
      </c>
      <c r="L6324" s="676" t="s">
        <v>28</v>
      </c>
      <c r="M6324" s="676">
        <v>9630.5400000000009</v>
      </c>
      <c r="N6324" s="676" t="s">
        <v>1242</v>
      </c>
    </row>
    <row r="6325" spans="1:14" hidden="1" x14ac:dyDescent="0.25">
      <c r="A6325" s="676">
        <f t="shared" si="186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4"/>
        <v>05,26</v>
      </c>
      <c r="L6325" s="676" t="s">
        <v>28</v>
      </c>
      <c r="M6325" s="676">
        <v>7549.62</v>
      </c>
      <c r="N6325" s="676" t="s">
        <v>1242</v>
      </c>
    </row>
    <row r="6326" spans="1:14" hidden="1" x14ac:dyDescent="0.25">
      <c r="A6326" s="678">
        <f t="shared" si="186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4"/>
        <v>05,26</v>
      </c>
      <c r="L6326" s="678" t="s">
        <v>28</v>
      </c>
      <c r="M6326" s="678">
        <v>17221.57</v>
      </c>
      <c r="N6326" s="678" t="s">
        <v>1306</v>
      </c>
    </row>
    <row r="6327" spans="1:14" hidden="1" x14ac:dyDescent="0.25">
      <c r="A6327" s="676">
        <f t="shared" si="186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7">RIGHT(I6327,5)</f>
        <v>06,26</v>
      </c>
      <c r="L6327" s="676" t="s">
        <v>265</v>
      </c>
      <c r="M6327" s="676">
        <v>16486.599999999999</v>
      </c>
      <c r="N6327" s="676" t="s">
        <v>1236</v>
      </c>
    </row>
    <row r="6328" spans="1:14" hidden="1" x14ac:dyDescent="0.25">
      <c r="A6328" s="676">
        <f t="shared" si="186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7"/>
        <v>06,26</v>
      </c>
      <c r="L6328" s="676" t="s">
        <v>265</v>
      </c>
      <c r="M6328" s="676">
        <v>1075.2199999999998</v>
      </c>
      <c r="N6328" s="676" t="s">
        <v>1236</v>
      </c>
    </row>
    <row r="6329" spans="1:14" hidden="1" x14ac:dyDescent="0.25">
      <c r="A6329" s="678">
        <f t="shared" si="186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7"/>
        <v>05,26</v>
      </c>
      <c r="L6329" s="678" t="s">
        <v>265</v>
      </c>
      <c r="M6329" s="678">
        <v>7025.64</v>
      </c>
      <c r="N6329" s="678" t="s">
        <v>1237</v>
      </c>
    </row>
    <row r="6330" spans="1:14" hidden="1" x14ac:dyDescent="0.25">
      <c r="A6330" s="676">
        <f t="shared" si="186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7"/>
        <v>05,26</v>
      </c>
      <c r="L6330" s="676" t="s">
        <v>265</v>
      </c>
      <c r="M6330" s="676">
        <v>7774.7999999999993</v>
      </c>
      <c r="N6330" s="676" t="s">
        <v>1393</v>
      </c>
    </row>
    <row r="6331" spans="1:14" hidden="1" x14ac:dyDescent="0.25">
      <c r="A6331" s="678">
        <f t="shared" si="186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7"/>
        <v>06,26</v>
      </c>
      <c r="L6331" s="678" t="s">
        <v>266</v>
      </c>
      <c r="M6331" s="678">
        <v>18032.580000000002</v>
      </c>
      <c r="N6331" s="678" t="s">
        <v>1239</v>
      </c>
    </row>
    <row r="6332" spans="1:14" hidden="1" x14ac:dyDescent="0.25">
      <c r="A6332" s="676">
        <f t="shared" si="186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7"/>
        <v>06,26</v>
      </c>
      <c r="L6332" s="676" t="s">
        <v>266</v>
      </c>
      <c r="M6332" s="676">
        <v>17705.400000000001</v>
      </c>
      <c r="N6332" s="676" t="s">
        <v>1240</v>
      </c>
    </row>
    <row r="6333" spans="1:14" ht="37.5" hidden="1" x14ac:dyDescent="0.25">
      <c r="A6333" s="678">
        <f t="shared" si="186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7"/>
        <v>05,26</v>
      </c>
      <c r="L6333" s="678" t="s">
        <v>28</v>
      </c>
      <c r="M6333" s="678">
        <v>12553.800000000001</v>
      </c>
      <c r="N6333" s="678" t="s">
        <v>1241</v>
      </c>
    </row>
    <row r="6334" spans="1:14" hidden="1" x14ac:dyDescent="0.25">
      <c r="A6334" s="676">
        <f t="shared" si="186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7"/>
        <v>06,26</v>
      </c>
      <c r="L6334" s="676" t="s">
        <v>265</v>
      </c>
      <c r="M6334" s="676">
        <v>12575.220000000001</v>
      </c>
      <c r="N6334" s="676" t="s">
        <v>1236</v>
      </c>
    </row>
    <row r="6335" spans="1:14" hidden="1" x14ac:dyDescent="0.25">
      <c r="A6335" s="676">
        <f t="shared" si="186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7"/>
        <v>06,26</v>
      </c>
      <c r="L6335" s="676" t="s">
        <v>265</v>
      </c>
      <c r="M6335" s="676">
        <v>5067.2</v>
      </c>
      <c r="N6335" s="676" t="s">
        <v>1236</v>
      </c>
    </row>
    <row r="6336" spans="1:14" hidden="1" x14ac:dyDescent="0.25">
      <c r="A6336" s="678">
        <f t="shared" si="186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7"/>
        <v>06,26</v>
      </c>
      <c r="L6336" s="678" t="s">
        <v>28</v>
      </c>
      <c r="M6336" s="678">
        <v>12395.619999999999</v>
      </c>
      <c r="N6336" s="678" t="s">
        <v>1237</v>
      </c>
    </row>
    <row r="6337" spans="1:14" hidden="1" x14ac:dyDescent="0.25">
      <c r="A6337" s="678">
        <f t="shared" si="186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7"/>
        <v>06,26</v>
      </c>
      <c r="L6337" s="678" t="s">
        <v>28</v>
      </c>
      <c r="M6337" s="678">
        <v>5117.5199999999995</v>
      </c>
      <c r="N6337" s="678" t="s">
        <v>1237</v>
      </c>
    </row>
    <row r="6338" spans="1:14" hidden="1" x14ac:dyDescent="0.25">
      <c r="A6338" s="676">
        <f t="shared" si="186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7"/>
        <v>06,26</v>
      </c>
      <c r="L6338" s="676" t="s">
        <v>28</v>
      </c>
      <c r="M6338" s="676">
        <v>14210.769999999999</v>
      </c>
      <c r="N6338" s="676" t="s">
        <v>1239</v>
      </c>
    </row>
    <row r="6339" spans="1:14" hidden="1" x14ac:dyDescent="0.25">
      <c r="A6339" s="676">
        <f t="shared" si="186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7"/>
        <v>06,26</v>
      </c>
      <c r="L6339" s="676" t="s">
        <v>266</v>
      </c>
      <c r="M6339" s="676">
        <v>3058.9200000000005</v>
      </c>
      <c r="N6339" s="676" t="s">
        <v>1239</v>
      </c>
    </row>
    <row r="6340" spans="1:14" hidden="1" x14ac:dyDescent="0.25">
      <c r="A6340" s="678">
        <f t="shared" si="186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7"/>
        <v>06,26</v>
      </c>
      <c r="L6340" s="678" t="s">
        <v>28</v>
      </c>
      <c r="M6340" s="678">
        <v>17321.580000000002</v>
      </c>
      <c r="N6340" s="678" t="s">
        <v>1240</v>
      </c>
    </row>
    <row r="6341" spans="1:14" hidden="1" x14ac:dyDescent="0.25">
      <c r="A6341" s="676">
        <f t="shared" si="186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7"/>
        <v>06,26</v>
      </c>
      <c r="L6341" s="676" t="s">
        <v>28</v>
      </c>
      <c r="M6341" s="676">
        <v>3278.3999999999996</v>
      </c>
      <c r="N6341" s="676" t="s">
        <v>1237</v>
      </c>
    </row>
    <row r="6342" spans="1:14" hidden="1" x14ac:dyDescent="0.25">
      <c r="A6342" s="676">
        <f t="shared" si="186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7"/>
        <v>06,26</v>
      </c>
      <c r="L6342" s="676" t="s">
        <v>28</v>
      </c>
      <c r="M6342" s="676">
        <v>5792.76</v>
      </c>
      <c r="N6342" s="676" t="s">
        <v>1237</v>
      </c>
    </row>
    <row r="6343" spans="1:14" hidden="1" x14ac:dyDescent="0.25">
      <c r="A6343" s="676">
        <f t="shared" si="186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7"/>
        <v>06,26</v>
      </c>
      <c r="L6343" s="676" t="s">
        <v>28</v>
      </c>
      <c r="M6343" s="676">
        <v>3328.32</v>
      </c>
      <c r="N6343" s="676" t="s">
        <v>1237</v>
      </c>
    </row>
    <row r="6344" spans="1:14" hidden="1" x14ac:dyDescent="0.25">
      <c r="A6344" s="678">
        <f t="shared" si="186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7"/>
        <v>06,26</v>
      </c>
      <c r="L6344" s="678" t="s">
        <v>28</v>
      </c>
      <c r="M6344" s="678">
        <v>7870.6399999999994</v>
      </c>
      <c r="N6344" s="678" t="s">
        <v>1239</v>
      </c>
    </row>
    <row r="6345" spans="1:14" hidden="1" x14ac:dyDescent="0.25">
      <c r="A6345" s="678">
        <f t="shared" si="186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7"/>
        <v>06,26</v>
      </c>
      <c r="L6345" s="678" t="s">
        <v>28</v>
      </c>
      <c r="M6345" s="678">
        <v>3336.4799999999996</v>
      </c>
      <c r="N6345" s="678" t="s">
        <v>1239</v>
      </c>
    </row>
    <row r="6346" spans="1:14" hidden="1" x14ac:dyDescent="0.25">
      <c r="A6346" s="676">
        <f t="shared" si="186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7"/>
        <v>06,26</v>
      </c>
      <c r="L6346" s="676" t="s">
        <v>28</v>
      </c>
      <c r="M6346" s="676">
        <v>3690.36</v>
      </c>
      <c r="N6346" s="676" t="s">
        <v>1240</v>
      </c>
    </row>
    <row r="6347" spans="1:14" hidden="1" x14ac:dyDescent="0.25">
      <c r="A6347" s="676">
        <f t="shared" si="186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7"/>
        <v>06,26</v>
      </c>
      <c r="L6347" s="676" t="s">
        <v>28</v>
      </c>
      <c r="M6347" s="676">
        <v>7709.96</v>
      </c>
      <c r="N6347" s="676" t="s">
        <v>1240</v>
      </c>
    </row>
    <row r="6348" spans="1:14" hidden="1" x14ac:dyDescent="0.25">
      <c r="A6348" s="678">
        <f t="shared" si="186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7"/>
        <v>06,26</v>
      </c>
      <c r="L6348" s="678" t="s">
        <v>265</v>
      </c>
      <c r="M6348" s="678">
        <v>6380.2000000000007</v>
      </c>
      <c r="N6348" s="678" t="s">
        <v>1393</v>
      </c>
    </row>
    <row r="6349" spans="1:14" hidden="1" x14ac:dyDescent="0.25">
      <c r="A6349" s="678">
        <f t="shared" si="186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7"/>
        <v>06,26</v>
      </c>
      <c r="L6349" s="678" t="s">
        <v>265</v>
      </c>
      <c r="M6349" s="678">
        <v>7434.64</v>
      </c>
      <c r="N6349" s="678" t="s">
        <v>1237</v>
      </c>
    </row>
    <row r="6350" spans="1:14" hidden="1" x14ac:dyDescent="0.25">
      <c r="A6350" s="676">
        <f t="shared" si="186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7"/>
        <v>06,26</v>
      </c>
      <c r="L6350" s="676" t="s">
        <v>266</v>
      </c>
      <c r="M6350" s="676">
        <v>2510.6000000000004</v>
      </c>
      <c r="N6350" s="676" t="s">
        <v>1240</v>
      </c>
    </row>
    <row r="6351" spans="1:14" hidden="1" x14ac:dyDescent="0.25">
      <c r="A6351" s="676">
        <f t="shared" si="186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7"/>
        <v>06,26</v>
      </c>
      <c r="L6351" s="676" t="s">
        <v>266</v>
      </c>
      <c r="M6351" s="676">
        <v>13835.94</v>
      </c>
      <c r="N6351" s="676" t="s">
        <v>1240</v>
      </c>
    </row>
    <row r="6352" spans="1:14" hidden="1" x14ac:dyDescent="0.25">
      <c r="A6352" s="678">
        <f t="shared" si="186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7"/>
        <v>06,26</v>
      </c>
      <c r="L6352" s="678" t="s">
        <v>266</v>
      </c>
      <c r="M6352" s="678">
        <v>18168.140000000007</v>
      </c>
      <c r="N6352" s="678" t="s">
        <v>1237</v>
      </c>
    </row>
    <row r="6353" spans="1:14" hidden="1" x14ac:dyDescent="0.25">
      <c r="A6353" s="676">
        <f t="shared" si="186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7"/>
        <v>06,26</v>
      </c>
      <c r="L6353" s="676" t="s">
        <v>266</v>
      </c>
      <c r="M6353" s="676">
        <v>18064.3</v>
      </c>
      <c r="N6353" s="676" t="s">
        <v>1239</v>
      </c>
    </row>
    <row r="6354" spans="1:14" hidden="1" x14ac:dyDescent="0.25">
      <c r="A6354" s="678">
        <f t="shared" si="186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7"/>
        <v>06,26</v>
      </c>
      <c r="L6354" s="678" t="s">
        <v>266</v>
      </c>
      <c r="M6354" s="678">
        <v>18025.2</v>
      </c>
      <c r="N6354" s="678" t="s">
        <v>1240</v>
      </c>
    </row>
    <row r="6355" spans="1:14" hidden="1" x14ac:dyDescent="0.25">
      <c r="A6355" s="676">
        <f t="shared" si="186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7"/>
        <v>06,26</v>
      </c>
      <c r="L6355" s="676" t="s">
        <v>266</v>
      </c>
      <c r="M6355" s="676">
        <v>17596</v>
      </c>
      <c r="N6355" s="676" t="s">
        <v>1241</v>
      </c>
    </row>
    <row r="6356" spans="1:14" hidden="1" x14ac:dyDescent="0.25">
      <c r="A6356" s="678">
        <f t="shared" si="186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7"/>
        <v>06,26</v>
      </c>
      <c r="L6356" s="678" t="s">
        <v>266</v>
      </c>
      <c r="M6356" s="678">
        <v>18029.8</v>
      </c>
      <c r="N6356" s="678" t="s">
        <v>1242</v>
      </c>
    </row>
    <row r="6357" spans="1:14" hidden="1" x14ac:dyDescent="0.25">
      <c r="A6357" s="676">
        <f t="shared" ref="A6357:A6415" si="188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7"/>
        <v>06,26</v>
      </c>
      <c r="L6357" s="676" t="s">
        <v>265</v>
      </c>
      <c r="M6357" s="676">
        <v>3410.4</v>
      </c>
      <c r="N6357" s="676" t="s">
        <v>1236</v>
      </c>
    </row>
    <row r="6358" spans="1:14" hidden="1" x14ac:dyDescent="0.25">
      <c r="A6358" s="676">
        <f t="shared" si="188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7"/>
        <v>06,26</v>
      </c>
      <c r="L6358" s="676" t="s">
        <v>265</v>
      </c>
      <c r="M6358" s="676">
        <v>14337.48</v>
      </c>
      <c r="N6358" s="676" t="s">
        <v>1236</v>
      </c>
    </row>
    <row r="6359" spans="1:14" hidden="1" x14ac:dyDescent="0.25">
      <c r="A6359" s="678">
        <f t="shared" si="188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7"/>
        <v>06,26</v>
      </c>
      <c r="L6359" s="678" t="s">
        <v>265</v>
      </c>
      <c r="M6359" s="678">
        <v>17674.800000000003</v>
      </c>
      <c r="N6359" s="678" t="s">
        <v>1237</v>
      </c>
    </row>
    <row r="6360" spans="1:14" hidden="1" x14ac:dyDescent="0.25">
      <c r="A6360" s="676">
        <f t="shared" si="188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7"/>
        <v>06,26</v>
      </c>
      <c r="L6360" s="676" t="s">
        <v>266</v>
      </c>
      <c r="M6360" s="676">
        <v>12678.2</v>
      </c>
      <c r="N6360" s="676" t="s">
        <v>1239</v>
      </c>
    </row>
    <row r="6361" spans="1:14" hidden="1" x14ac:dyDescent="0.25">
      <c r="A6361" s="676">
        <f t="shared" si="188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7"/>
        <v>06,26</v>
      </c>
      <c r="L6361" s="676" t="s">
        <v>266</v>
      </c>
      <c r="M6361" s="676">
        <v>5515.3899999999994</v>
      </c>
      <c r="N6361" s="676" t="s">
        <v>1239</v>
      </c>
    </row>
    <row r="6362" spans="1:14" hidden="1" x14ac:dyDescent="0.25">
      <c r="A6362" s="678">
        <f t="shared" si="188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7"/>
        <v>06,26</v>
      </c>
      <c r="L6362" s="678" t="s">
        <v>265</v>
      </c>
      <c r="M6362" s="678">
        <v>12851.480000000001</v>
      </c>
      <c r="N6362" s="678" t="s">
        <v>1236</v>
      </c>
    </row>
    <row r="6363" spans="1:14" hidden="1" x14ac:dyDescent="0.25">
      <c r="A6363" s="676">
        <f t="shared" si="188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7"/>
        <v>06,26</v>
      </c>
      <c r="L6363" s="676" t="s">
        <v>265</v>
      </c>
      <c r="M6363" s="676">
        <v>17677</v>
      </c>
      <c r="N6363" s="676" t="s">
        <v>1236</v>
      </c>
    </row>
    <row r="6364" spans="1:14" hidden="1" x14ac:dyDescent="0.25">
      <c r="A6364" s="678">
        <f t="shared" si="188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7"/>
        <v>06,26</v>
      </c>
      <c r="L6364" s="678" t="s">
        <v>28</v>
      </c>
      <c r="M6364" s="678">
        <v>8549.4</v>
      </c>
      <c r="N6364" s="678" t="s">
        <v>1237</v>
      </c>
    </row>
    <row r="6365" spans="1:14" ht="56.25" hidden="1" x14ac:dyDescent="0.25">
      <c r="A6365" s="678">
        <f t="shared" si="188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7"/>
        <v>06,26</v>
      </c>
      <c r="L6365" s="678" t="s">
        <v>28</v>
      </c>
      <c r="M6365" s="678">
        <v>1021.44</v>
      </c>
      <c r="N6365" s="678" t="s">
        <v>1237</v>
      </c>
    </row>
    <row r="6366" spans="1:14" hidden="1" x14ac:dyDescent="0.25">
      <c r="A6366" s="678">
        <f t="shared" si="188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7"/>
        <v>06,26</v>
      </c>
      <c r="L6366" s="678" t="s">
        <v>28</v>
      </c>
      <c r="M6366" s="678">
        <v>7700.08</v>
      </c>
      <c r="N6366" s="678" t="s">
        <v>1237</v>
      </c>
    </row>
    <row r="6367" spans="1:14" hidden="1" x14ac:dyDescent="0.25">
      <c r="A6367" s="676">
        <f t="shared" si="188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7"/>
        <v>06,26</v>
      </c>
      <c r="L6367" s="676" t="s">
        <v>28</v>
      </c>
      <c r="M6367" s="676">
        <v>15626.220000000003</v>
      </c>
      <c r="N6367" s="676" t="s">
        <v>1239</v>
      </c>
    </row>
    <row r="6368" spans="1:14" hidden="1" x14ac:dyDescent="0.25">
      <c r="A6368" s="676">
        <f t="shared" si="188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7"/>
        <v>06,26</v>
      </c>
      <c r="L6368" s="676" t="s">
        <v>28</v>
      </c>
      <c r="M6368" s="676">
        <v>1625.82</v>
      </c>
      <c r="N6368" s="676" t="s">
        <v>1239</v>
      </c>
    </row>
    <row r="6369" spans="1:14" hidden="1" x14ac:dyDescent="0.25">
      <c r="A6369" s="678">
        <f t="shared" si="188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7"/>
        <v>06,26</v>
      </c>
      <c r="L6369" s="678" t="s">
        <v>28</v>
      </c>
      <c r="M6369" s="678">
        <v>14073.56</v>
      </c>
      <c r="N6369" s="678" t="s">
        <v>1240</v>
      </c>
    </row>
    <row r="6370" spans="1:14" hidden="1" x14ac:dyDescent="0.25">
      <c r="A6370" s="678">
        <f t="shared" si="188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7"/>
        <v>06,26</v>
      </c>
      <c r="L6370" s="678" t="s">
        <v>28</v>
      </c>
      <c r="M6370" s="678">
        <v>3315</v>
      </c>
      <c r="N6370" s="678" t="s">
        <v>1240</v>
      </c>
    </row>
    <row r="6371" spans="1:14" hidden="1" x14ac:dyDescent="0.25">
      <c r="A6371" s="676">
        <f t="shared" si="188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7"/>
        <v>06,26</v>
      </c>
      <c r="L6371" s="676" t="s">
        <v>28</v>
      </c>
      <c r="M6371" s="676">
        <v>7391.7199999999993</v>
      </c>
      <c r="N6371" s="676" t="s">
        <v>1241</v>
      </c>
    </row>
    <row r="6372" spans="1:14" hidden="1" x14ac:dyDescent="0.25">
      <c r="A6372" s="676">
        <f t="shared" si="188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7"/>
        <v>06,26</v>
      </c>
      <c r="L6372" s="676" t="s">
        <v>28</v>
      </c>
      <c r="M6372" s="676">
        <v>10007.4</v>
      </c>
      <c r="N6372" s="676" t="s">
        <v>1241</v>
      </c>
    </row>
    <row r="6373" spans="1:14" hidden="1" x14ac:dyDescent="0.25">
      <c r="A6373" s="678">
        <f t="shared" si="188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7"/>
        <v>06,26</v>
      </c>
      <c r="L6373" s="678" t="s">
        <v>28</v>
      </c>
      <c r="M6373" s="678">
        <v>16018.64</v>
      </c>
      <c r="N6373" s="678" t="s">
        <v>1242</v>
      </c>
    </row>
    <row r="6374" spans="1:14" hidden="1" x14ac:dyDescent="0.25">
      <c r="A6374" s="678">
        <f t="shared" si="188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7"/>
        <v>06,26</v>
      </c>
      <c r="L6374" s="678" t="s">
        <v>28</v>
      </c>
      <c r="M6374" s="678">
        <v>1415.4</v>
      </c>
      <c r="N6374" s="678" t="s">
        <v>1242</v>
      </c>
    </row>
    <row r="6375" spans="1:14" hidden="1" x14ac:dyDescent="0.25">
      <c r="A6375" s="676">
        <f t="shared" si="188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7"/>
        <v>06,26</v>
      </c>
      <c r="L6375" s="676" t="s">
        <v>28</v>
      </c>
      <c r="M6375" s="676">
        <v>17445.329999999998</v>
      </c>
      <c r="N6375" s="676" t="s">
        <v>1306</v>
      </c>
    </row>
    <row r="6376" spans="1:14" hidden="1" x14ac:dyDescent="0.25">
      <c r="A6376" s="678">
        <f t="shared" si="188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7"/>
        <v>06,26</v>
      </c>
      <c r="L6376" s="678" t="s">
        <v>265</v>
      </c>
      <c r="M6376" s="678">
        <v>16201.259999999998</v>
      </c>
      <c r="N6376" s="678" t="s">
        <v>1236</v>
      </c>
    </row>
    <row r="6377" spans="1:14" hidden="1" x14ac:dyDescent="0.25">
      <c r="A6377" s="678">
        <f t="shared" si="188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7"/>
        <v>06,26</v>
      </c>
      <c r="L6377" s="678" t="s">
        <v>265</v>
      </c>
      <c r="M6377" s="678">
        <v>1371.36</v>
      </c>
      <c r="N6377" s="678" t="s">
        <v>1236</v>
      </c>
    </row>
    <row r="6378" spans="1:14" ht="37.5" hidden="1" x14ac:dyDescent="0.25">
      <c r="A6378" s="676">
        <f t="shared" si="188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7"/>
        <v>06,26</v>
      </c>
      <c r="L6378" s="676" t="s">
        <v>265</v>
      </c>
      <c r="M6378" s="676">
        <v>6336</v>
      </c>
      <c r="N6378" s="676" t="s">
        <v>1237</v>
      </c>
    </row>
    <row r="6379" spans="1:14" ht="37.5" hidden="1" x14ac:dyDescent="0.25">
      <c r="A6379" s="678">
        <f t="shared" si="188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7"/>
        <v>06,26</v>
      </c>
      <c r="L6379" s="678" t="s">
        <v>265</v>
      </c>
      <c r="M6379" s="678">
        <v>8569.84</v>
      </c>
      <c r="N6379" s="678" t="s">
        <v>1393</v>
      </c>
    </row>
    <row r="6380" spans="1:14" ht="56.25" hidden="1" x14ac:dyDescent="0.25">
      <c r="A6380" s="676">
        <f t="shared" si="188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7"/>
        <v>06,26</v>
      </c>
      <c r="L6380" s="676" t="s">
        <v>28</v>
      </c>
      <c r="M6380" s="676">
        <v>9029.52</v>
      </c>
      <c r="N6380" s="676" t="s">
        <v>1403</v>
      </c>
    </row>
    <row r="6381" spans="1:14" hidden="1" x14ac:dyDescent="0.25">
      <c r="A6381" s="678">
        <f t="shared" si="188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7"/>
        <v>06,26</v>
      </c>
      <c r="L6381" s="678" t="s">
        <v>265</v>
      </c>
      <c r="M6381" s="678">
        <v>15870.54</v>
      </c>
      <c r="N6381" s="678" t="s">
        <v>1236</v>
      </c>
    </row>
    <row r="6382" spans="1:14" hidden="1" x14ac:dyDescent="0.25">
      <c r="A6382" s="678">
        <f t="shared" si="188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7"/>
        <v>06,26</v>
      </c>
      <c r="L6382" s="678" t="s">
        <v>265</v>
      </c>
      <c r="M6382" s="678">
        <v>1870.7</v>
      </c>
      <c r="N6382" s="678" t="s">
        <v>1236</v>
      </c>
    </row>
    <row r="6383" spans="1:14" hidden="1" x14ac:dyDescent="0.25">
      <c r="A6383" s="676">
        <f t="shared" si="188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7"/>
        <v>06,26</v>
      </c>
      <c r="L6383" s="676" t="s">
        <v>265</v>
      </c>
      <c r="M6383" s="676">
        <v>17778.09</v>
      </c>
      <c r="N6383" s="676" t="s">
        <v>1237</v>
      </c>
    </row>
    <row r="6384" spans="1:14" hidden="1" x14ac:dyDescent="0.25">
      <c r="A6384" s="678">
        <f t="shared" si="188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7"/>
        <v>06,26</v>
      </c>
      <c r="L6384" s="678" t="s">
        <v>266</v>
      </c>
      <c r="M6384" s="678">
        <v>4672.1499999999996</v>
      </c>
      <c r="N6384" s="678" t="s">
        <v>1393</v>
      </c>
    </row>
    <row r="6385" spans="1:14" hidden="1" x14ac:dyDescent="0.25">
      <c r="A6385" s="678">
        <f t="shared" si="188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7"/>
        <v>06,26</v>
      </c>
      <c r="L6385" s="678" t="s">
        <v>266</v>
      </c>
      <c r="M6385" s="678">
        <v>4082.6000000000004</v>
      </c>
      <c r="N6385" s="678" t="s">
        <v>1393</v>
      </c>
    </row>
    <row r="6386" spans="1:14" hidden="1" x14ac:dyDescent="0.25">
      <c r="A6386" s="678">
        <f t="shared" si="188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7"/>
        <v>06,26</v>
      </c>
      <c r="L6386" s="678" t="s">
        <v>266</v>
      </c>
      <c r="M6386" s="678">
        <v>6357</v>
      </c>
      <c r="N6386" s="678" t="s">
        <v>1393</v>
      </c>
    </row>
    <row r="6387" spans="1:14" hidden="1" x14ac:dyDescent="0.25">
      <c r="A6387" s="676">
        <f t="shared" si="188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7"/>
        <v>06,26</v>
      </c>
      <c r="L6387" s="676" t="s">
        <v>28</v>
      </c>
      <c r="M6387" s="676">
        <v>2922.4799999999996</v>
      </c>
      <c r="N6387" s="676" t="s">
        <v>1239</v>
      </c>
    </row>
    <row r="6388" spans="1:14" hidden="1" x14ac:dyDescent="0.25">
      <c r="A6388" s="676">
        <f t="shared" si="188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7"/>
        <v>06,26</v>
      </c>
      <c r="L6388" s="676" t="s">
        <v>266</v>
      </c>
      <c r="M6388" s="676">
        <v>14401.6</v>
      </c>
      <c r="N6388" s="676" t="s">
        <v>1239</v>
      </c>
    </row>
    <row r="6389" spans="1:14" hidden="1" x14ac:dyDescent="0.25">
      <c r="A6389" s="678">
        <f t="shared" si="188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7"/>
        <v>06,26</v>
      </c>
      <c r="L6389" s="678" t="s">
        <v>28</v>
      </c>
      <c r="M6389" s="678">
        <v>7119.44</v>
      </c>
      <c r="N6389" s="678" t="s">
        <v>1240</v>
      </c>
    </row>
    <row r="6390" spans="1:14" hidden="1" x14ac:dyDescent="0.25">
      <c r="A6390" s="678">
        <f t="shared" si="188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7"/>
        <v>06,26</v>
      </c>
      <c r="L6390" s="678" t="s">
        <v>28</v>
      </c>
      <c r="M6390" s="678">
        <v>7751.69</v>
      </c>
      <c r="N6390" s="678" t="s">
        <v>1240</v>
      </c>
    </row>
    <row r="6391" spans="1:14" hidden="1" x14ac:dyDescent="0.25">
      <c r="A6391" s="678">
        <f t="shared" si="188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89">RIGHT(I6391,5)</f>
        <v>06,26</v>
      </c>
      <c r="L6391" s="678" t="s">
        <v>28</v>
      </c>
      <c r="M6391" s="678">
        <v>2703.36</v>
      </c>
      <c r="N6391" s="678" t="s">
        <v>1240</v>
      </c>
    </row>
    <row r="6392" spans="1:14" hidden="1" x14ac:dyDescent="0.25">
      <c r="A6392" s="676">
        <f t="shared" si="188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89"/>
        <v>06,26</v>
      </c>
      <c r="L6392" s="676" t="s">
        <v>28</v>
      </c>
      <c r="M6392" s="676">
        <v>9795.119999999999</v>
      </c>
      <c r="N6392" s="676" t="s">
        <v>1241</v>
      </c>
    </row>
    <row r="6393" spans="1:14" hidden="1" x14ac:dyDescent="0.25">
      <c r="A6393" s="676">
        <f t="shared" si="188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89"/>
        <v>06,26</v>
      </c>
      <c r="L6393" s="676" t="s">
        <v>28</v>
      </c>
      <c r="M6393" s="676">
        <v>7669.9800000000005</v>
      </c>
      <c r="N6393" s="676" t="s">
        <v>1241</v>
      </c>
    </row>
    <row r="6394" spans="1:14" hidden="1" x14ac:dyDescent="0.25">
      <c r="A6394" s="678">
        <f t="shared" si="188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89"/>
        <v>06,26</v>
      </c>
      <c r="L6394" s="678" t="s">
        <v>265</v>
      </c>
      <c r="M6394" s="678">
        <v>12033</v>
      </c>
      <c r="N6394" s="678" t="s">
        <v>1236</v>
      </c>
    </row>
    <row r="6395" spans="1:14" hidden="1" x14ac:dyDescent="0.25">
      <c r="A6395" s="676">
        <f t="shared" si="188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89"/>
        <v>06,26</v>
      </c>
      <c r="L6395" s="676" t="s">
        <v>28</v>
      </c>
      <c r="M6395" s="676">
        <v>6828.92</v>
      </c>
      <c r="N6395" s="676" t="s">
        <v>1237</v>
      </c>
    </row>
    <row r="6396" spans="1:14" hidden="1" x14ac:dyDescent="0.25">
      <c r="A6396" s="676">
        <f t="shared" si="188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89"/>
        <v>06,26</v>
      </c>
      <c r="L6396" s="676" t="s">
        <v>28</v>
      </c>
      <c r="M6396" s="676">
        <v>6927.6</v>
      </c>
      <c r="N6396" s="676" t="s">
        <v>1237</v>
      </c>
    </row>
    <row r="6397" spans="1:14" hidden="1" x14ac:dyDescent="0.25">
      <c r="A6397" s="678">
        <f t="shared" si="188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89"/>
        <v>06,26</v>
      </c>
      <c r="L6397" s="678" t="s">
        <v>28</v>
      </c>
      <c r="M6397" s="678">
        <v>881.4</v>
      </c>
      <c r="N6397" s="678" t="s">
        <v>1239</v>
      </c>
    </row>
    <row r="6398" spans="1:14" hidden="1" x14ac:dyDescent="0.25">
      <c r="A6398" s="678">
        <f t="shared" si="188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89"/>
        <v>06,26</v>
      </c>
      <c r="L6398" s="678" t="s">
        <v>28</v>
      </c>
      <c r="M6398" s="678">
        <v>9771.119999999999</v>
      </c>
      <c r="N6398" s="678" t="s">
        <v>1239</v>
      </c>
    </row>
    <row r="6399" spans="1:14" hidden="1" x14ac:dyDescent="0.25">
      <c r="A6399" s="676">
        <f t="shared" si="188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89"/>
        <v>06,26</v>
      </c>
      <c r="L6399" s="676" t="s">
        <v>28</v>
      </c>
      <c r="M6399" s="676">
        <v>9821.7199999999993</v>
      </c>
      <c r="N6399" s="676" t="s">
        <v>1240</v>
      </c>
    </row>
    <row r="6400" spans="1:14" hidden="1" x14ac:dyDescent="0.25">
      <c r="A6400" s="678">
        <f t="shared" si="188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89"/>
        <v>06,26</v>
      </c>
      <c r="L6400" s="678" t="s">
        <v>28</v>
      </c>
      <c r="M6400" s="678">
        <v>4313.28</v>
      </c>
      <c r="N6400" s="678" t="s">
        <v>1241</v>
      </c>
    </row>
    <row r="6401" spans="1:14" hidden="1" x14ac:dyDescent="0.25">
      <c r="A6401" s="678">
        <f t="shared" si="188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89"/>
        <v>06,26</v>
      </c>
      <c r="L6401" s="678" t="s">
        <v>28</v>
      </c>
      <c r="M6401" s="678">
        <v>6904.7999999999993</v>
      </c>
      <c r="N6401" s="678" t="s">
        <v>1241</v>
      </c>
    </row>
    <row r="6402" spans="1:14" hidden="1" x14ac:dyDescent="0.25">
      <c r="A6402" s="676">
        <f t="shared" si="188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89"/>
        <v>06,26</v>
      </c>
      <c r="L6402" s="676" t="s">
        <v>265</v>
      </c>
      <c r="M6402" s="676">
        <v>17657.22</v>
      </c>
      <c r="N6402" s="676" t="s">
        <v>1236</v>
      </c>
    </row>
    <row r="6403" spans="1:14" ht="37.5" hidden="1" x14ac:dyDescent="0.25">
      <c r="A6403" s="678">
        <f t="shared" si="188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89"/>
        <v>06,26</v>
      </c>
      <c r="L6403" s="678" t="s">
        <v>265</v>
      </c>
      <c r="M6403" s="678">
        <v>3237</v>
      </c>
      <c r="N6403" s="678" t="s">
        <v>1237</v>
      </c>
    </row>
    <row r="6404" spans="1:14" ht="37.5" hidden="1" x14ac:dyDescent="0.25">
      <c r="A6404" s="678">
        <f t="shared" si="188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89"/>
        <v>06,26</v>
      </c>
      <c r="L6404" s="678" t="s">
        <v>265</v>
      </c>
      <c r="M6404" s="678">
        <v>10087.720000000001</v>
      </c>
      <c r="N6404" s="678" t="s">
        <v>1393</v>
      </c>
    </row>
    <row r="6405" spans="1:14" hidden="1" x14ac:dyDescent="0.25">
      <c r="A6405" s="676">
        <f t="shared" si="188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89"/>
        <v>06,26</v>
      </c>
      <c r="L6405" s="676" t="s">
        <v>266</v>
      </c>
      <c r="M6405" s="676">
        <v>15450.300000000003</v>
      </c>
      <c r="N6405" s="676" t="s">
        <v>1242</v>
      </c>
    </row>
    <row r="6406" spans="1:14" hidden="1" x14ac:dyDescent="0.25">
      <c r="A6406" s="678">
        <f t="shared" si="188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89"/>
        <v>06,26</v>
      </c>
      <c r="L6406" s="678" t="s">
        <v>266</v>
      </c>
      <c r="M6406" s="678">
        <v>18224.86</v>
      </c>
      <c r="N6406" s="678" t="s">
        <v>1237</v>
      </c>
    </row>
    <row r="6407" spans="1:14" hidden="1" x14ac:dyDescent="0.25">
      <c r="A6407" s="676">
        <f t="shared" si="188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89"/>
        <v>06,26</v>
      </c>
      <c r="L6407" s="676" t="s">
        <v>266</v>
      </c>
      <c r="M6407" s="676">
        <v>18120.96</v>
      </c>
      <c r="N6407" s="676" t="s">
        <v>1239</v>
      </c>
    </row>
    <row r="6408" spans="1:14" hidden="1" x14ac:dyDescent="0.25">
      <c r="A6408" s="678">
        <f t="shared" si="188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89"/>
        <v>06,26</v>
      </c>
      <c r="L6408" s="678" t="s">
        <v>266</v>
      </c>
      <c r="M6408" s="678">
        <v>18003</v>
      </c>
      <c r="N6408" s="678" t="s">
        <v>1240</v>
      </c>
    </row>
    <row r="6409" spans="1:14" hidden="1" x14ac:dyDescent="0.25">
      <c r="A6409" s="676">
        <f t="shared" si="188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89"/>
        <v>06,26</v>
      </c>
      <c r="L6409" s="676" t="s">
        <v>266</v>
      </c>
      <c r="M6409" s="676">
        <v>17424.239999999998</v>
      </c>
      <c r="N6409" s="676" t="s">
        <v>1241</v>
      </c>
    </row>
    <row r="6410" spans="1:14" hidden="1" x14ac:dyDescent="0.25">
      <c r="A6410" s="678">
        <f t="shared" si="188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89"/>
        <v>06,26</v>
      </c>
      <c r="L6410" s="678" t="s">
        <v>266</v>
      </c>
      <c r="M6410" s="678">
        <v>10292.960000000003</v>
      </c>
      <c r="N6410" s="678" t="s">
        <v>1242</v>
      </c>
    </row>
    <row r="6411" spans="1:14" hidden="1" x14ac:dyDescent="0.25">
      <c r="A6411" s="678">
        <f t="shared" si="188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89"/>
        <v>06,26</v>
      </c>
      <c r="L6411" s="678" t="s">
        <v>266</v>
      </c>
      <c r="M6411" s="678">
        <v>7671.0400000000018</v>
      </c>
      <c r="N6411" s="678" t="s">
        <v>1242</v>
      </c>
    </row>
    <row r="6412" spans="1:14" hidden="1" x14ac:dyDescent="0.25">
      <c r="A6412" s="676">
        <f t="shared" si="188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89"/>
        <v>06,26</v>
      </c>
      <c r="L6412" s="676" t="s">
        <v>265</v>
      </c>
      <c r="M6412" s="676">
        <v>3047.8</v>
      </c>
      <c r="N6412" s="676" t="s">
        <v>1236</v>
      </c>
    </row>
    <row r="6413" spans="1:14" hidden="1" x14ac:dyDescent="0.25">
      <c r="A6413" s="676">
        <f t="shared" si="188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89"/>
        <v>06,26</v>
      </c>
      <c r="L6413" s="676" t="s">
        <v>265</v>
      </c>
      <c r="M6413" s="676">
        <v>14538.96</v>
      </c>
      <c r="N6413" s="676" t="s">
        <v>1236</v>
      </c>
    </row>
    <row r="6414" spans="1:14" hidden="1" x14ac:dyDescent="0.25">
      <c r="A6414" s="678">
        <f t="shared" si="188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89"/>
        <v>06,26</v>
      </c>
      <c r="L6414" s="678" t="s">
        <v>265</v>
      </c>
      <c r="M6414" s="678">
        <v>17630.3</v>
      </c>
      <c r="N6414" s="678" t="s">
        <v>1237</v>
      </c>
    </row>
    <row r="6415" spans="1:14" hidden="1" x14ac:dyDescent="0.25">
      <c r="A6415" s="676">
        <f t="shared" si="188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89"/>
        <v>06,26</v>
      </c>
      <c r="L6415" s="676" t="s">
        <v>265</v>
      </c>
      <c r="M6415" s="676">
        <v>17630.3</v>
      </c>
      <c r="N6415" s="676" t="s">
        <v>1239</v>
      </c>
    </row>
    <row r="6416" spans="1:14" hidden="1" x14ac:dyDescent="0.25">
      <c r="A6416" s="678">
        <f t="shared" ref="A6416:A6429" si="190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89"/>
        <v>06,26</v>
      </c>
      <c r="L6416" s="678" t="s">
        <v>265</v>
      </c>
      <c r="M6416" s="678">
        <v>9565.92</v>
      </c>
      <c r="N6416" s="678" t="s">
        <v>1236</v>
      </c>
    </row>
    <row r="6417" spans="1:14" hidden="1" x14ac:dyDescent="0.25">
      <c r="A6417" s="676">
        <f t="shared" si="190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89"/>
        <v>06,26</v>
      </c>
      <c r="L6417" s="676" t="s">
        <v>265</v>
      </c>
      <c r="M6417" s="676">
        <v>9565.92</v>
      </c>
      <c r="N6417" s="676" t="s">
        <v>1237</v>
      </c>
    </row>
    <row r="6418" spans="1:14" hidden="1" x14ac:dyDescent="0.25">
      <c r="A6418" s="678">
        <f t="shared" si="190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89"/>
        <v>06,26</v>
      </c>
      <c r="L6418" s="678" t="s">
        <v>265</v>
      </c>
      <c r="M6418" s="678">
        <v>13688.039999999999</v>
      </c>
      <c r="N6418" s="678" t="s">
        <v>1239</v>
      </c>
    </row>
    <row r="6419" spans="1:14" hidden="1" x14ac:dyDescent="0.25">
      <c r="A6419" s="676">
        <f t="shared" si="190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89"/>
        <v>06,26</v>
      </c>
      <c r="L6419" s="676" t="s">
        <v>28</v>
      </c>
      <c r="M6419" s="676">
        <v>9261</v>
      </c>
      <c r="N6419" s="676" t="s">
        <v>1240</v>
      </c>
    </row>
    <row r="6420" spans="1:14" hidden="1" x14ac:dyDescent="0.25">
      <c r="A6420" s="678">
        <f t="shared" si="190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89"/>
        <v>06,26</v>
      </c>
      <c r="L6420" s="678" t="s">
        <v>266</v>
      </c>
      <c r="M6420" s="678">
        <v>18088.640000000003</v>
      </c>
      <c r="N6420" s="678" t="s">
        <v>1240</v>
      </c>
    </row>
    <row r="6421" spans="1:14" hidden="1" x14ac:dyDescent="0.25">
      <c r="A6421" s="676">
        <f t="shared" si="190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89"/>
        <v>06,26</v>
      </c>
      <c r="L6421" s="676" t="s">
        <v>265</v>
      </c>
      <c r="M6421" s="676">
        <v>17746.230000000003</v>
      </c>
      <c r="N6421" s="676" t="s">
        <v>1236</v>
      </c>
    </row>
    <row r="6422" spans="1:14" hidden="1" x14ac:dyDescent="0.25">
      <c r="A6422" s="678">
        <f t="shared" si="190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89"/>
        <v>06,26</v>
      </c>
      <c r="L6422" s="678" t="s">
        <v>265</v>
      </c>
      <c r="M6422" s="678">
        <v>17746.230000000003</v>
      </c>
      <c r="N6422" s="678" t="s">
        <v>1237</v>
      </c>
    </row>
    <row r="6423" spans="1:14" hidden="1" x14ac:dyDescent="0.25">
      <c r="A6423" s="676">
        <f t="shared" si="190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89"/>
        <v>06,26</v>
      </c>
      <c r="L6423" s="676" t="s">
        <v>28</v>
      </c>
      <c r="M6423" s="676">
        <v>8527.14</v>
      </c>
      <c r="N6423" s="676" t="s">
        <v>1239</v>
      </c>
    </row>
    <row r="6424" spans="1:14" hidden="1" x14ac:dyDescent="0.25">
      <c r="A6424" s="676">
        <f t="shared" si="190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89"/>
        <v>06,26</v>
      </c>
      <c r="L6424" s="676" t="s">
        <v>28</v>
      </c>
      <c r="M6424" s="676">
        <v>1495.14</v>
      </c>
      <c r="N6424" s="676" t="s">
        <v>1239</v>
      </c>
    </row>
    <row r="6425" spans="1:14" hidden="1" x14ac:dyDescent="0.25">
      <c r="A6425" s="676">
        <f t="shared" si="190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89"/>
        <v>06,26</v>
      </c>
      <c r="L6425" s="676" t="s">
        <v>28</v>
      </c>
      <c r="M6425" s="676">
        <v>7454.92</v>
      </c>
      <c r="N6425" s="676" t="s">
        <v>1239</v>
      </c>
    </row>
    <row r="6426" spans="1:14" hidden="1" x14ac:dyDescent="0.25">
      <c r="A6426" s="678">
        <f t="shared" si="190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89"/>
        <v>06,26</v>
      </c>
      <c r="L6426" s="678" t="s">
        <v>28</v>
      </c>
      <c r="M6426" s="678">
        <v>7974.44</v>
      </c>
      <c r="N6426" s="678" t="s">
        <v>1240</v>
      </c>
    </row>
    <row r="6427" spans="1:14" ht="56.25" hidden="1" x14ac:dyDescent="0.25">
      <c r="A6427" s="678">
        <f t="shared" si="190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89"/>
        <v>06,26</v>
      </c>
      <c r="L6427" s="678" t="s">
        <v>28</v>
      </c>
      <c r="M6427" s="678">
        <v>674.88</v>
      </c>
      <c r="N6427" s="678" t="s">
        <v>1240</v>
      </c>
    </row>
    <row r="6428" spans="1:14" hidden="1" x14ac:dyDescent="0.25">
      <c r="A6428" s="678">
        <f t="shared" si="190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89"/>
        <v>06,26</v>
      </c>
      <c r="L6428" s="678" t="s">
        <v>28</v>
      </c>
      <c r="M6428" s="678">
        <v>8775.36</v>
      </c>
      <c r="N6428" s="678" t="s">
        <v>1240</v>
      </c>
    </row>
    <row r="6429" spans="1:14" hidden="1" x14ac:dyDescent="0.25">
      <c r="A6429" s="676">
        <f t="shared" si="190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89"/>
        <v>06,26</v>
      </c>
      <c r="L6429" s="676" t="s">
        <v>28</v>
      </c>
      <c r="M6429" s="676">
        <v>11751.34</v>
      </c>
      <c r="N6429" s="676" t="s">
        <v>1241</v>
      </c>
    </row>
    <row r="6430" spans="1:14" hidden="1" x14ac:dyDescent="0.25">
      <c r="A6430" s="676">
        <f t="shared" ref="A6430:A6493" si="191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89"/>
        <v>06,26</v>
      </c>
      <c r="L6430" s="676" t="s">
        <v>28</v>
      </c>
      <c r="M6430" s="676">
        <v>5724.78</v>
      </c>
      <c r="N6430" s="676" t="s">
        <v>1241</v>
      </c>
    </row>
    <row r="6431" spans="1:14" hidden="1" x14ac:dyDescent="0.25">
      <c r="A6431" s="678">
        <f t="shared" si="191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89"/>
        <v>06,26</v>
      </c>
      <c r="L6431" s="678" t="s">
        <v>28</v>
      </c>
      <c r="M6431" s="678">
        <v>9213.27</v>
      </c>
      <c r="N6431" s="678" t="s">
        <v>1242</v>
      </c>
    </row>
    <row r="6432" spans="1:14" hidden="1" x14ac:dyDescent="0.25">
      <c r="A6432" s="678">
        <f t="shared" si="191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89"/>
        <v>06,26</v>
      </c>
      <c r="L6432" s="678" t="s">
        <v>28</v>
      </c>
      <c r="M6432" s="678">
        <v>2964.36</v>
      </c>
      <c r="N6432" s="678" t="s">
        <v>1242</v>
      </c>
    </row>
    <row r="6433" spans="1:14" hidden="1" x14ac:dyDescent="0.25">
      <c r="A6433" s="678">
        <f t="shared" si="191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89"/>
        <v>06,26</v>
      </c>
      <c r="L6433" s="678" t="s">
        <v>28</v>
      </c>
      <c r="M6433" s="678">
        <v>5244.6399999999994</v>
      </c>
      <c r="N6433" s="678" t="s">
        <v>1242</v>
      </c>
    </row>
    <row r="6434" spans="1:14" hidden="1" x14ac:dyDescent="0.25">
      <c r="A6434" s="676">
        <f t="shared" si="191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89"/>
        <v>06,26</v>
      </c>
      <c r="L6434" s="676" t="s">
        <v>266</v>
      </c>
      <c r="M6434" s="676">
        <v>7492.35</v>
      </c>
      <c r="N6434" s="676" t="s">
        <v>1306</v>
      </c>
    </row>
    <row r="6435" spans="1:14" ht="37.5" hidden="1" x14ac:dyDescent="0.25">
      <c r="A6435" s="678">
        <f t="shared" si="191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89"/>
        <v>06,26</v>
      </c>
      <c r="L6435" s="678" t="s">
        <v>28</v>
      </c>
      <c r="M6435" s="678">
        <v>9855.3200000000015</v>
      </c>
      <c r="N6435" s="695" t="s">
        <v>1419</v>
      </c>
    </row>
    <row r="6436" spans="1:14" hidden="1" x14ac:dyDescent="0.25">
      <c r="A6436" s="676">
        <f t="shared" si="191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89"/>
        <v>06,26</v>
      </c>
      <c r="L6436" s="676" t="s">
        <v>266</v>
      </c>
      <c r="M6436" s="676">
        <v>10327.919999999998</v>
      </c>
      <c r="N6436" s="676" t="s">
        <v>1306</v>
      </c>
    </row>
    <row r="6437" spans="1:14" hidden="1" x14ac:dyDescent="0.25">
      <c r="A6437" s="678">
        <f t="shared" si="191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89"/>
        <v>06,26</v>
      </c>
      <c r="L6437" s="678" t="s">
        <v>266</v>
      </c>
      <c r="M6437" s="678">
        <v>17914.8</v>
      </c>
      <c r="N6437" s="678" t="s">
        <v>1418</v>
      </c>
    </row>
    <row r="6438" spans="1:14" hidden="1" x14ac:dyDescent="0.25">
      <c r="A6438" s="676">
        <f t="shared" si="191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89"/>
        <v>06,26</v>
      </c>
      <c r="L6438" s="676" t="s">
        <v>28</v>
      </c>
      <c r="M6438" s="676">
        <v>2220</v>
      </c>
      <c r="N6438" s="676" t="s">
        <v>1419</v>
      </c>
    </row>
    <row r="6439" spans="1:14" hidden="1" x14ac:dyDescent="0.25">
      <c r="A6439" s="676">
        <f t="shared" si="191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89"/>
        <v>06,26</v>
      </c>
      <c r="L6439" s="676" t="s">
        <v>28</v>
      </c>
      <c r="M6439" s="676">
        <v>691.26</v>
      </c>
      <c r="N6439" s="676" t="s">
        <v>1419</v>
      </c>
    </row>
    <row r="6440" spans="1:14" hidden="1" x14ac:dyDescent="0.25">
      <c r="A6440" s="676">
        <f t="shared" si="191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89"/>
        <v>06,26</v>
      </c>
      <c r="L6440" s="676" t="s">
        <v>266</v>
      </c>
      <c r="M6440" s="676">
        <v>2610</v>
      </c>
      <c r="N6440" s="676" t="s">
        <v>1419</v>
      </c>
    </row>
    <row r="6441" spans="1:14" ht="37.5" hidden="1" x14ac:dyDescent="0.25">
      <c r="A6441" s="678">
        <f t="shared" si="191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89"/>
        <v>06,26</v>
      </c>
      <c r="L6441" s="678" t="s">
        <v>265</v>
      </c>
      <c r="M6441" s="678">
        <v>8022</v>
      </c>
      <c r="N6441" s="678" t="s">
        <v>1237</v>
      </c>
    </row>
    <row r="6442" spans="1:14" hidden="1" x14ac:dyDescent="0.25">
      <c r="A6442" s="676">
        <f t="shared" si="191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89"/>
        <v>06,26</v>
      </c>
      <c r="L6442" s="676" t="s">
        <v>265</v>
      </c>
      <c r="M6442" s="676">
        <v>16581.060000000001</v>
      </c>
      <c r="N6442" s="676" t="s">
        <v>1236</v>
      </c>
    </row>
    <row r="6443" spans="1:14" hidden="1" x14ac:dyDescent="0.25">
      <c r="A6443" s="676">
        <f t="shared" si="191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89"/>
        <v>06,26</v>
      </c>
      <c r="L6443" s="676" t="s">
        <v>265</v>
      </c>
      <c r="M6443" s="676">
        <v>1054.4399999999998</v>
      </c>
      <c r="N6443" s="676" t="s">
        <v>1236</v>
      </c>
    </row>
    <row r="6444" spans="1:14" hidden="1" x14ac:dyDescent="0.25">
      <c r="A6444" s="678">
        <f t="shared" si="191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89"/>
        <v>06,26</v>
      </c>
      <c r="L6444" s="678" t="s">
        <v>265</v>
      </c>
      <c r="M6444" s="678">
        <v>6978.2000000000007</v>
      </c>
      <c r="N6444" s="678" t="s">
        <v>1393</v>
      </c>
    </row>
    <row r="6445" spans="1:14" ht="37.5" hidden="1" x14ac:dyDescent="0.25">
      <c r="A6445" s="676">
        <f t="shared" si="191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89"/>
        <v>06,26</v>
      </c>
      <c r="L6445" s="676" t="s">
        <v>28</v>
      </c>
      <c r="M6445" s="676">
        <v>11055.56</v>
      </c>
      <c r="N6445" s="676" t="s">
        <v>1418</v>
      </c>
    </row>
    <row r="6446" spans="1:14" hidden="1" x14ac:dyDescent="0.25">
      <c r="A6446" s="678">
        <f t="shared" si="191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89"/>
        <v>06,26</v>
      </c>
      <c r="L6446" s="678" t="s">
        <v>265</v>
      </c>
      <c r="M6446" s="678">
        <v>12645.66</v>
      </c>
      <c r="N6446" s="678" t="s">
        <v>1236</v>
      </c>
    </row>
    <row r="6447" spans="1:14" hidden="1" x14ac:dyDescent="0.25">
      <c r="A6447" s="678">
        <f t="shared" si="191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89"/>
        <v>06,26</v>
      </c>
      <c r="L6447" s="678" t="s">
        <v>265</v>
      </c>
      <c r="M6447" s="678">
        <v>2344.8199999999997</v>
      </c>
      <c r="N6447" s="678" t="s">
        <v>1236</v>
      </c>
    </row>
    <row r="6448" spans="1:14" hidden="1" x14ac:dyDescent="0.25">
      <c r="A6448" s="678">
        <f t="shared" si="191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89"/>
        <v>06,26</v>
      </c>
      <c r="L6448" s="678" t="s">
        <v>265</v>
      </c>
      <c r="M6448" s="678">
        <v>2771</v>
      </c>
      <c r="N6448" s="678" t="s">
        <v>1236</v>
      </c>
    </row>
    <row r="6449" spans="1:14" hidden="1" x14ac:dyDescent="0.25">
      <c r="A6449" s="676">
        <f t="shared" si="191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89"/>
        <v>06,26</v>
      </c>
      <c r="L6449" s="676" t="s">
        <v>28</v>
      </c>
      <c r="M6449" s="676">
        <v>2420.5200000000004</v>
      </c>
      <c r="N6449" s="676" t="s">
        <v>1237</v>
      </c>
    </row>
    <row r="6450" spans="1:14" hidden="1" x14ac:dyDescent="0.25">
      <c r="A6450" s="676">
        <f t="shared" si="191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89"/>
        <v>06,26</v>
      </c>
      <c r="L6450" s="676" t="s">
        <v>266</v>
      </c>
      <c r="M6450" s="676">
        <v>14763.749999999998</v>
      </c>
      <c r="N6450" s="676" t="s">
        <v>1237</v>
      </c>
    </row>
    <row r="6451" spans="1:14" hidden="1" x14ac:dyDescent="0.25">
      <c r="A6451" s="678">
        <f t="shared" si="191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89"/>
        <v>06,26</v>
      </c>
      <c r="L6451" s="678" t="s">
        <v>28</v>
      </c>
      <c r="M6451" s="678">
        <v>4472.3</v>
      </c>
      <c r="N6451" s="678" t="s">
        <v>1239</v>
      </c>
    </row>
    <row r="6452" spans="1:14" hidden="1" x14ac:dyDescent="0.25">
      <c r="A6452" s="678">
        <f t="shared" si="191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89"/>
        <v>06,26</v>
      </c>
      <c r="L6452" s="678" t="s">
        <v>28</v>
      </c>
      <c r="M6452" s="678">
        <v>8015.3199999999988</v>
      </c>
      <c r="N6452" s="678" t="s">
        <v>1239</v>
      </c>
    </row>
    <row r="6453" spans="1:14" hidden="1" x14ac:dyDescent="0.25">
      <c r="A6453" s="678">
        <f t="shared" si="191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89"/>
        <v>06,26</v>
      </c>
      <c r="L6453" s="678" t="s">
        <v>28</v>
      </c>
      <c r="M6453" s="678">
        <v>4930.68</v>
      </c>
      <c r="N6453" s="678" t="s">
        <v>1239</v>
      </c>
    </row>
    <row r="6454" spans="1:14" hidden="1" x14ac:dyDescent="0.25">
      <c r="A6454" s="676">
        <f t="shared" si="191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89"/>
        <v>06,26</v>
      </c>
      <c r="L6454" s="676" t="s">
        <v>28</v>
      </c>
      <c r="M6454" s="676">
        <v>6987.8600000000006</v>
      </c>
      <c r="N6454" s="676" t="s">
        <v>1240</v>
      </c>
    </row>
    <row r="6455" spans="1:14" hidden="1" x14ac:dyDescent="0.25">
      <c r="A6455" s="676">
        <f t="shared" si="191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16" si="192">RIGHT(I6455,5)</f>
        <v>06,26</v>
      </c>
      <c r="L6455" s="676" t="s">
        <v>28</v>
      </c>
      <c r="M6455" s="676">
        <v>10495.949999999999</v>
      </c>
      <c r="N6455" s="676" t="s">
        <v>1240</v>
      </c>
    </row>
    <row r="6456" spans="1:14" hidden="1" x14ac:dyDescent="0.25">
      <c r="A6456" s="678">
        <f t="shared" si="191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2"/>
        <v>26,26</v>
      </c>
      <c r="L6456" s="678" t="s">
        <v>28</v>
      </c>
      <c r="M6456" s="678">
        <v>7098.92</v>
      </c>
      <c r="N6456" s="678" t="s">
        <v>1237</v>
      </c>
    </row>
    <row r="6457" spans="1:14" hidden="1" x14ac:dyDescent="0.25">
      <c r="A6457" s="678">
        <f t="shared" si="191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2"/>
        <v>06,26</v>
      </c>
      <c r="L6457" s="678" t="s">
        <v>28</v>
      </c>
      <c r="M6457" s="678">
        <v>1624.9199999999998</v>
      </c>
      <c r="N6457" s="678" t="s">
        <v>1237</v>
      </c>
    </row>
    <row r="6458" spans="1:14" hidden="1" x14ac:dyDescent="0.25">
      <c r="A6458" s="678">
        <f t="shared" si="191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2"/>
        <v>06,26</v>
      </c>
      <c r="L6458" s="678" t="s">
        <v>28</v>
      </c>
      <c r="M6458" s="678">
        <v>4362.880000000001</v>
      </c>
      <c r="N6458" s="678" t="s">
        <v>1237</v>
      </c>
    </row>
    <row r="6459" spans="1:14" hidden="1" x14ac:dyDescent="0.25">
      <c r="A6459" s="676">
        <f t="shared" si="191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2"/>
        <v>06,26</v>
      </c>
      <c r="L6459" s="676" t="s">
        <v>28</v>
      </c>
      <c r="M6459" s="676">
        <v>11943.839999999998</v>
      </c>
      <c r="N6459" s="676" t="s">
        <v>1239</v>
      </c>
    </row>
    <row r="6460" spans="1:14" hidden="1" x14ac:dyDescent="0.25">
      <c r="A6460" s="678">
        <f t="shared" si="191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2"/>
        <v>06,26</v>
      </c>
      <c r="L6460" s="678" t="s">
        <v>28</v>
      </c>
      <c r="M6460" s="678">
        <v>2494.3199999999997</v>
      </c>
      <c r="N6460" s="678" t="s">
        <v>1240</v>
      </c>
    </row>
    <row r="6461" spans="1:14" hidden="1" x14ac:dyDescent="0.25">
      <c r="A6461" s="678">
        <f t="shared" si="191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2"/>
        <v>06,26</v>
      </c>
      <c r="L6461" s="678" t="s">
        <v>28</v>
      </c>
      <c r="M6461" s="678">
        <v>9989.4</v>
      </c>
      <c r="N6461" s="678" t="s">
        <v>1240</v>
      </c>
    </row>
    <row r="6462" spans="1:14" hidden="1" x14ac:dyDescent="0.25">
      <c r="A6462" s="676">
        <f t="shared" si="191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2"/>
        <v>06,26</v>
      </c>
      <c r="L6462" s="676" t="s">
        <v>265</v>
      </c>
      <c r="M6462" s="676">
        <v>7592.9599999999991</v>
      </c>
      <c r="N6462" s="676" t="s">
        <v>1393</v>
      </c>
    </row>
    <row r="6463" spans="1:14" hidden="1" x14ac:dyDescent="0.25">
      <c r="A6463" s="676">
        <f t="shared" si="191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2"/>
        <v>06,26</v>
      </c>
      <c r="L6463" s="676" t="s">
        <v>265</v>
      </c>
      <c r="M6463" s="676">
        <v>4690.7999999999993</v>
      </c>
      <c r="N6463" s="676" t="s">
        <v>1393</v>
      </c>
    </row>
    <row r="6464" spans="1:14" ht="37.5" hidden="1" x14ac:dyDescent="0.25">
      <c r="A6464" s="697">
        <f t="shared" si="191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2"/>
        <v>6,26</v>
      </c>
      <c r="L6464" s="697" t="s">
        <v>265</v>
      </c>
      <c r="M6464" s="697">
        <v>5754.18</v>
      </c>
      <c r="N6464" s="696" t="s">
        <v>1237</v>
      </c>
    </row>
    <row r="6465" spans="1:14" hidden="1" x14ac:dyDescent="0.25">
      <c r="A6465" s="678">
        <f t="shared" si="191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2"/>
        <v>06,26</v>
      </c>
      <c r="L6465" s="678" t="s">
        <v>266</v>
      </c>
      <c r="M6465" s="678">
        <v>2189.7099999999996</v>
      </c>
      <c r="N6465" s="678" t="s">
        <v>1240</v>
      </c>
    </row>
    <row r="6466" spans="1:14" hidden="1" x14ac:dyDescent="0.25">
      <c r="A6466" s="678">
        <f t="shared" si="191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2"/>
        <v>06,26</v>
      </c>
      <c r="L6466" s="678" t="s">
        <v>266</v>
      </c>
      <c r="M6466" s="678">
        <v>13886.820000000002</v>
      </c>
      <c r="N6466" s="678" t="s">
        <v>1240</v>
      </c>
    </row>
    <row r="6467" spans="1:14" hidden="1" x14ac:dyDescent="0.25">
      <c r="A6467" s="676">
        <f t="shared" si="191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2"/>
        <v>06,26</v>
      </c>
      <c r="L6467" s="676" t="s">
        <v>266</v>
      </c>
      <c r="M6467" s="676">
        <v>18157.52</v>
      </c>
      <c r="N6467" s="676" t="s">
        <v>1237</v>
      </c>
    </row>
    <row r="6468" spans="1:14" hidden="1" x14ac:dyDescent="0.25">
      <c r="A6468" s="678">
        <f t="shared" si="191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2"/>
        <v>06,26</v>
      </c>
      <c r="L6468" s="678" t="s">
        <v>266</v>
      </c>
      <c r="M6468" s="678">
        <v>18051.14</v>
      </c>
      <c r="N6468" s="678" t="s">
        <v>1239</v>
      </c>
    </row>
    <row r="6469" spans="1:14" hidden="1" x14ac:dyDescent="0.25">
      <c r="A6469" s="676">
        <f t="shared" si="191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2"/>
        <v>06,26</v>
      </c>
      <c r="L6469" s="676" t="s">
        <v>266</v>
      </c>
      <c r="M6469" s="676">
        <v>18016.199999999997</v>
      </c>
      <c r="N6469" s="676" t="s">
        <v>1240</v>
      </c>
    </row>
    <row r="6470" spans="1:14" hidden="1" x14ac:dyDescent="0.25">
      <c r="A6470" s="678">
        <f t="shared" si="191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2"/>
        <v>06,26</v>
      </c>
      <c r="L6470" s="678" t="s">
        <v>266</v>
      </c>
      <c r="M6470" s="678">
        <v>18015</v>
      </c>
      <c r="N6470" s="678" t="s">
        <v>1241</v>
      </c>
    </row>
    <row r="6471" spans="1:14" hidden="1" x14ac:dyDescent="0.25">
      <c r="A6471" s="676">
        <f t="shared" si="191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2"/>
        <v>06,26</v>
      </c>
      <c r="L6471" s="676" t="s">
        <v>266</v>
      </c>
      <c r="M6471" s="676">
        <v>17991.2</v>
      </c>
      <c r="N6471" s="676" t="s">
        <v>1242</v>
      </c>
    </row>
    <row r="6472" spans="1:14" hidden="1" x14ac:dyDescent="0.25">
      <c r="A6472" s="678">
        <f t="shared" si="191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2"/>
        <v>06,26</v>
      </c>
      <c r="L6472" s="678" t="s">
        <v>265</v>
      </c>
      <c r="M6472" s="678">
        <v>12075.740000000002</v>
      </c>
      <c r="N6472" s="678" t="s">
        <v>1236</v>
      </c>
    </row>
    <row r="6473" spans="1:14" hidden="1" x14ac:dyDescent="0.25">
      <c r="A6473" s="678">
        <f t="shared" si="191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2"/>
        <v>06,26</v>
      </c>
      <c r="L6473" s="678" t="s">
        <v>265</v>
      </c>
      <c r="M6473" s="678">
        <v>5562.5999999999995</v>
      </c>
      <c r="N6473" s="678" t="s">
        <v>1236</v>
      </c>
    </row>
    <row r="6474" spans="1:14" hidden="1" x14ac:dyDescent="0.25">
      <c r="A6474" s="676">
        <f t="shared" si="191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2"/>
        <v>06,26</v>
      </c>
      <c r="L6474" s="676" t="s">
        <v>265</v>
      </c>
      <c r="M6474" s="676">
        <v>17606.879999999997</v>
      </c>
      <c r="N6474" s="676" t="s">
        <v>1237</v>
      </c>
    </row>
    <row r="6475" spans="1:14" hidden="1" x14ac:dyDescent="0.25">
      <c r="A6475" s="678">
        <f t="shared" si="191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2"/>
        <v>06,26</v>
      </c>
      <c r="L6475" s="678" t="s">
        <v>266</v>
      </c>
      <c r="M6475" s="678">
        <v>15296.279999999999</v>
      </c>
      <c r="N6475" s="678" t="s">
        <v>1239</v>
      </c>
    </row>
    <row r="6476" spans="1:14" hidden="1" x14ac:dyDescent="0.25">
      <c r="A6476" s="676">
        <f t="shared" si="191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2"/>
        <v>06,26</v>
      </c>
      <c r="L6476" s="676" t="s">
        <v>266</v>
      </c>
      <c r="M6476" s="676">
        <v>7556.4999999999991</v>
      </c>
      <c r="N6476" s="676" t="s">
        <v>1240</v>
      </c>
    </row>
    <row r="6477" spans="1:14" hidden="1" x14ac:dyDescent="0.25">
      <c r="A6477" s="676">
        <f t="shared" si="191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2"/>
        <v>06,26</v>
      </c>
      <c r="L6477" s="676" t="s">
        <v>266</v>
      </c>
      <c r="M6477" s="676">
        <v>6070.5</v>
      </c>
      <c r="N6477" s="676" t="s">
        <v>1240</v>
      </c>
    </row>
    <row r="6478" spans="1:14" hidden="1" x14ac:dyDescent="0.25">
      <c r="A6478" s="704">
        <f t="shared" si="191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2"/>
        <v>6,26</v>
      </c>
      <c r="L6478" s="704" t="s">
        <v>266</v>
      </c>
      <c r="M6478" s="704">
        <v>4446.4800000000005</v>
      </c>
      <c r="N6478" s="704" t="s">
        <v>1240</v>
      </c>
    </row>
    <row r="6479" spans="1:14" hidden="1" x14ac:dyDescent="0.25">
      <c r="A6479" s="678">
        <f t="shared" si="191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2"/>
        <v>06,26</v>
      </c>
      <c r="L6479" s="678" t="s">
        <v>265</v>
      </c>
      <c r="M6479" s="678">
        <v>11750.999999999998</v>
      </c>
      <c r="N6479" s="678" t="s">
        <v>1236</v>
      </c>
    </row>
    <row r="6480" spans="1:14" hidden="1" x14ac:dyDescent="0.25">
      <c r="A6480" s="676">
        <f t="shared" si="191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2"/>
        <v>06,26</v>
      </c>
      <c r="L6480" s="676" t="s">
        <v>265</v>
      </c>
      <c r="M6480" s="676">
        <v>17644.04</v>
      </c>
      <c r="N6480" s="676" t="s">
        <v>1236</v>
      </c>
    </row>
    <row r="6481" spans="1:14" hidden="1" x14ac:dyDescent="0.25">
      <c r="A6481" s="678">
        <f t="shared" si="191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2"/>
        <v>06,26</v>
      </c>
      <c r="L6481" s="678" t="s">
        <v>28</v>
      </c>
      <c r="M6481" s="678">
        <v>9476.1600000000017</v>
      </c>
      <c r="N6481" s="678" t="s">
        <v>1237</v>
      </c>
    </row>
    <row r="6482" spans="1:14" ht="56.25" hidden="1" x14ac:dyDescent="0.25">
      <c r="A6482" s="678">
        <f t="shared" si="191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2"/>
        <v>06,26</v>
      </c>
      <c r="L6482" s="678" t="s">
        <v>28</v>
      </c>
      <c r="M6482" s="678">
        <v>1176.96</v>
      </c>
      <c r="N6482" s="678" t="s">
        <v>1237</v>
      </c>
    </row>
    <row r="6483" spans="1:14" hidden="1" x14ac:dyDescent="0.25">
      <c r="A6483" s="678">
        <f t="shared" si="191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2"/>
        <v>06,26</v>
      </c>
      <c r="L6483" s="678" t="s">
        <v>28</v>
      </c>
      <c r="M6483" s="678">
        <v>6693.28</v>
      </c>
      <c r="N6483" s="678" t="s">
        <v>1237</v>
      </c>
    </row>
    <row r="6484" spans="1:14" hidden="1" x14ac:dyDescent="0.25">
      <c r="A6484" s="676">
        <f t="shared" si="191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2"/>
        <v>06,26</v>
      </c>
      <c r="L6484" s="676" t="s">
        <v>28</v>
      </c>
      <c r="M6484" s="676">
        <v>13050.96</v>
      </c>
      <c r="N6484" s="676" t="s">
        <v>1239</v>
      </c>
    </row>
    <row r="6485" spans="1:14" hidden="1" x14ac:dyDescent="0.25">
      <c r="A6485" s="676">
        <f t="shared" si="191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2"/>
        <v>06,26</v>
      </c>
      <c r="L6485" s="676" t="s">
        <v>28</v>
      </c>
      <c r="M6485" s="676">
        <v>1701.8999999999999</v>
      </c>
      <c r="N6485" s="676" t="s">
        <v>1239</v>
      </c>
    </row>
    <row r="6486" spans="1:14" hidden="1" x14ac:dyDescent="0.25">
      <c r="A6486" s="676">
        <f t="shared" si="191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2"/>
        <v>06,26</v>
      </c>
      <c r="L6486" s="676" t="s">
        <v>266</v>
      </c>
      <c r="M6486" s="676">
        <v>2606.4500000000003</v>
      </c>
      <c r="N6486" s="676" t="s">
        <v>1239</v>
      </c>
    </row>
    <row r="6487" spans="1:14" hidden="1" x14ac:dyDescent="0.25">
      <c r="A6487" s="678">
        <f t="shared" si="191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2"/>
        <v>06,26</v>
      </c>
      <c r="L6487" s="678" t="s">
        <v>28</v>
      </c>
      <c r="M6487" s="678">
        <v>4048.2</v>
      </c>
      <c r="N6487" s="678" t="s">
        <v>1240</v>
      </c>
    </row>
    <row r="6488" spans="1:14" hidden="1" x14ac:dyDescent="0.25">
      <c r="A6488" s="678">
        <f t="shared" si="191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2"/>
        <v>06,26</v>
      </c>
      <c r="L6488" s="678" t="s">
        <v>28</v>
      </c>
      <c r="M6488" s="678">
        <v>1830</v>
      </c>
      <c r="N6488" s="678" t="s">
        <v>1240</v>
      </c>
    </row>
    <row r="6489" spans="1:14" hidden="1" x14ac:dyDescent="0.25">
      <c r="A6489" s="678">
        <f t="shared" si="191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2"/>
        <v>06,26</v>
      </c>
      <c r="L6489" s="678" t="s">
        <v>28</v>
      </c>
      <c r="M6489" s="678">
        <v>11576.160000000002</v>
      </c>
      <c r="N6489" s="678" t="s">
        <v>1240</v>
      </c>
    </row>
    <row r="6490" spans="1:14" hidden="1" x14ac:dyDescent="0.25">
      <c r="A6490" s="676">
        <f t="shared" si="191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2"/>
        <v>06,26</v>
      </c>
      <c r="L6490" s="676" t="s">
        <v>28</v>
      </c>
      <c r="M6490" s="676">
        <v>7139.28</v>
      </c>
      <c r="N6490" s="676" t="s">
        <v>1241</v>
      </c>
    </row>
    <row r="6491" spans="1:14" hidden="1" x14ac:dyDescent="0.25">
      <c r="A6491" s="676">
        <f t="shared" si="191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2"/>
        <v>06,26</v>
      </c>
      <c r="L6491" s="676" t="s">
        <v>28</v>
      </c>
      <c r="M6491" s="676">
        <v>10293.359999999999</v>
      </c>
      <c r="N6491" s="676" t="s">
        <v>1241</v>
      </c>
    </row>
    <row r="6492" spans="1:14" hidden="1" x14ac:dyDescent="0.25">
      <c r="A6492" s="678">
        <f t="shared" si="191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2"/>
        <v>06,26</v>
      </c>
      <c r="L6492" s="678" t="s">
        <v>28</v>
      </c>
      <c r="M6492" s="678">
        <v>17471.18</v>
      </c>
      <c r="N6492" s="678" t="s">
        <v>1242</v>
      </c>
    </row>
    <row r="6493" spans="1:14" hidden="1" x14ac:dyDescent="0.25">
      <c r="A6493" s="676">
        <f t="shared" si="191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2"/>
        <v>06,26</v>
      </c>
      <c r="L6493" s="676" t="s">
        <v>28</v>
      </c>
      <c r="M6493" s="676">
        <v>17472.780000000002</v>
      </c>
      <c r="N6493" s="676" t="s">
        <v>1306</v>
      </c>
    </row>
    <row r="6494" spans="1:14" hidden="1" x14ac:dyDescent="0.25">
      <c r="A6494" s="678">
        <f t="shared" ref="A6494:A6557" si="193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2"/>
        <v>06,26</v>
      </c>
      <c r="L6494" s="678" t="s">
        <v>28</v>
      </c>
      <c r="M6494" s="678">
        <v>17526.03</v>
      </c>
      <c r="N6494" s="678" t="s">
        <v>1418</v>
      </c>
    </row>
    <row r="6495" spans="1:14" hidden="1" x14ac:dyDescent="0.25">
      <c r="A6495" s="676">
        <f t="shared" si="193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2"/>
        <v>06,26</v>
      </c>
      <c r="L6495" s="676" t="s">
        <v>28</v>
      </c>
      <c r="M6495" s="676">
        <v>17339.88</v>
      </c>
      <c r="N6495" s="676" t="s">
        <v>1419</v>
      </c>
    </row>
    <row r="6496" spans="1:14" hidden="1" x14ac:dyDescent="0.25">
      <c r="A6496" s="678">
        <f t="shared" si="193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2"/>
        <v>06,26</v>
      </c>
      <c r="L6496" s="678" t="s">
        <v>28</v>
      </c>
      <c r="M6496" s="678">
        <v>17421.75</v>
      </c>
      <c r="N6496" s="678" t="s">
        <v>1434</v>
      </c>
    </row>
    <row r="6497" spans="1:14" hidden="1" x14ac:dyDescent="0.25">
      <c r="A6497" s="676">
        <f t="shared" si="193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2"/>
        <v>06,26</v>
      </c>
      <c r="L6497" s="676" t="s">
        <v>265</v>
      </c>
      <c r="M6497" s="676">
        <v>16269.360000000002</v>
      </c>
      <c r="N6497" s="676" t="s">
        <v>1236</v>
      </c>
    </row>
    <row r="6498" spans="1:14" hidden="1" x14ac:dyDescent="0.25">
      <c r="A6498" s="676">
        <f t="shared" si="193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2"/>
        <v>06,26</v>
      </c>
      <c r="L6498" s="676" t="s">
        <v>265</v>
      </c>
      <c r="M6498" s="676">
        <v>1290.9000000000001</v>
      </c>
      <c r="N6498" s="676" t="s">
        <v>1236</v>
      </c>
    </row>
    <row r="6499" spans="1:14" hidden="1" x14ac:dyDescent="0.25">
      <c r="A6499" s="678">
        <f t="shared" si="193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2"/>
        <v>06,26</v>
      </c>
      <c r="L6499" s="678" t="s">
        <v>265</v>
      </c>
      <c r="M6499" s="678">
        <v>12532.08</v>
      </c>
      <c r="N6499" s="678" t="s">
        <v>1236</v>
      </c>
    </row>
    <row r="6500" spans="1:14" hidden="1" x14ac:dyDescent="0.25">
      <c r="A6500" s="676">
        <f t="shared" si="193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2"/>
        <v>06,26</v>
      </c>
      <c r="L6500" s="676" t="s">
        <v>265</v>
      </c>
      <c r="M6500" s="676">
        <v>15491.92</v>
      </c>
      <c r="N6500" s="676" t="s">
        <v>1236</v>
      </c>
    </row>
    <row r="6501" spans="1:14" hidden="1" x14ac:dyDescent="0.25">
      <c r="A6501" s="676">
        <f t="shared" si="193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2"/>
        <v>06,26</v>
      </c>
      <c r="L6501" s="676" t="s">
        <v>265</v>
      </c>
      <c r="M6501" s="676">
        <v>2184.54</v>
      </c>
      <c r="N6501" s="676" t="s">
        <v>1236</v>
      </c>
    </row>
    <row r="6502" spans="1:14" hidden="1" x14ac:dyDescent="0.25">
      <c r="A6502" s="678">
        <f t="shared" si="193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2"/>
        <v>06,26</v>
      </c>
      <c r="L6502" s="678" t="s">
        <v>266</v>
      </c>
      <c r="M6502" s="678">
        <v>4329.8500000000004</v>
      </c>
      <c r="N6502" s="678" t="s">
        <v>1393</v>
      </c>
    </row>
    <row r="6503" spans="1:14" hidden="1" x14ac:dyDescent="0.25">
      <c r="A6503" s="678">
        <f t="shared" si="193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2"/>
        <v>06,26</v>
      </c>
      <c r="L6503" s="678" t="s">
        <v>266</v>
      </c>
      <c r="M6503" s="678">
        <v>5460.9</v>
      </c>
      <c r="N6503" s="678" t="s">
        <v>1393</v>
      </c>
    </row>
    <row r="6504" spans="1:14" hidden="1" x14ac:dyDescent="0.25">
      <c r="A6504" s="678">
        <f t="shared" si="193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2"/>
        <v>06,26</v>
      </c>
      <c r="L6504" s="678" t="s">
        <v>266</v>
      </c>
      <c r="M6504" s="678">
        <v>5604.16</v>
      </c>
      <c r="N6504" s="678" t="s">
        <v>1393</v>
      </c>
    </row>
    <row r="6505" spans="1:14" hidden="1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2"/>
        <v>06,26</v>
      </c>
      <c r="L6505" s="678" t="s">
        <v>266</v>
      </c>
      <c r="M6505" s="678">
        <v>975</v>
      </c>
      <c r="N6505" s="678" t="s">
        <v>1418</v>
      </c>
    </row>
    <row r="6506" spans="1:14" hidden="1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2"/>
        <v>06,26</v>
      </c>
      <c r="L6506" s="678" t="s">
        <v>266</v>
      </c>
      <c r="M6506" s="678">
        <v>1500</v>
      </c>
      <c r="N6506" s="678" t="s">
        <v>1418</v>
      </c>
    </row>
    <row r="6507" spans="1:14" hidden="1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2"/>
        <v>06,26</v>
      </c>
      <c r="L6507" s="678" t="s">
        <v>266</v>
      </c>
      <c r="M6507" s="678">
        <v>1767.18</v>
      </c>
      <c r="N6507" s="678" t="s">
        <v>1418</v>
      </c>
    </row>
    <row r="6508" spans="1:14" ht="56.25" hidden="1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2"/>
        <v>06,26</v>
      </c>
      <c r="L6508" s="676" t="s">
        <v>28</v>
      </c>
      <c r="M6508" s="676">
        <v>16200.61</v>
      </c>
      <c r="N6508" s="676" t="s">
        <v>1237</v>
      </c>
    </row>
    <row r="6509" spans="1:14" ht="37.5" hidden="1" x14ac:dyDescent="0.25">
      <c r="A6509" s="678">
        <f t="shared" ref="A6509:A6521" si="194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2"/>
        <v>06,26</v>
      </c>
      <c r="L6509" s="678" t="s">
        <v>28</v>
      </c>
      <c r="M6509" s="678">
        <v>16573.740000000002</v>
      </c>
      <c r="N6509" s="678" t="s">
        <v>1239</v>
      </c>
    </row>
    <row r="6510" spans="1:14" ht="37.5" hidden="1" x14ac:dyDescent="0.25">
      <c r="A6510" s="676">
        <f t="shared" si="194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2"/>
        <v>06,26</v>
      </c>
      <c r="L6510" s="676" t="s">
        <v>28</v>
      </c>
      <c r="M6510" s="676">
        <v>16656.490000000002</v>
      </c>
      <c r="N6510" s="676" t="s">
        <v>1240</v>
      </c>
    </row>
    <row r="6511" spans="1:14" hidden="1" x14ac:dyDescent="0.25">
      <c r="A6511" s="678">
        <f t="shared" si="194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2"/>
        <v>06,26</v>
      </c>
      <c r="L6511" s="678" t="s">
        <v>28</v>
      </c>
      <c r="M6511" s="678">
        <v>17677.54</v>
      </c>
      <c r="N6511" s="678" t="s">
        <v>1241</v>
      </c>
    </row>
    <row r="6512" spans="1:14" hidden="1" x14ac:dyDescent="0.25">
      <c r="A6512" s="676">
        <f t="shared" si="194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2"/>
        <v>06,26</v>
      </c>
      <c r="L6512" s="676" t="s">
        <v>28</v>
      </c>
      <c r="M6512" s="676">
        <v>17552.560000000001</v>
      </c>
      <c r="N6512" s="676" t="s">
        <v>1242</v>
      </c>
    </row>
    <row r="6513" spans="1:14" hidden="1" x14ac:dyDescent="0.25">
      <c r="A6513" s="678">
        <f t="shared" si="194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2"/>
        <v>06,26</v>
      </c>
      <c r="L6513" s="678" t="s">
        <v>28</v>
      </c>
      <c r="M6513" s="678">
        <v>5925</v>
      </c>
      <c r="N6513" s="678" t="s">
        <v>1306</v>
      </c>
    </row>
    <row r="6514" spans="1:14" hidden="1" x14ac:dyDescent="0.25">
      <c r="A6514" s="678">
        <f t="shared" si="194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2"/>
        <v>06,26</v>
      </c>
      <c r="L6514" s="678" t="s">
        <v>266</v>
      </c>
      <c r="M6514" s="678">
        <v>10315.52</v>
      </c>
      <c r="N6514" s="678" t="s">
        <v>1306</v>
      </c>
    </row>
    <row r="6515" spans="1:14" hidden="1" x14ac:dyDescent="0.25">
      <c r="A6515" s="676">
        <f t="shared" si="194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2"/>
        <v>06,26</v>
      </c>
      <c r="L6515" s="676" t="s">
        <v>28</v>
      </c>
      <c r="M6515" s="676">
        <v>5485.32</v>
      </c>
      <c r="N6515" s="676" t="s">
        <v>1237</v>
      </c>
    </row>
    <row r="6516" spans="1:14" hidden="1" x14ac:dyDescent="0.25">
      <c r="A6516" s="676">
        <f t="shared" si="194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2"/>
        <v>06,26</v>
      </c>
      <c r="L6516" s="676" t="s">
        <v>28</v>
      </c>
      <c r="M6516" s="676">
        <v>6157.2000000000007</v>
      </c>
      <c r="N6516" s="676" t="s">
        <v>1237</v>
      </c>
    </row>
    <row r="6517" spans="1:14" x14ac:dyDescent="0.25">
      <c r="A6517" s="678">
        <f t="shared" si="194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4" x14ac:dyDescent="0.25">
      <c r="A6518" s="678">
        <f t="shared" si="194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4" x14ac:dyDescent="0.25">
      <c r="A6519" s="676">
        <f t="shared" si="194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4" x14ac:dyDescent="0.25">
      <c r="A6520" s="678">
        <f t="shared" si="194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4" x14ac:dyDescent="0.25">
      <c r="A6521" s="676">
        <f t="shared" si="194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4" x14ac:dyDescent="0.25">
      <c r="A6522" s="678">
        <f t="shared" si="193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4" x14ac:dyDescent="0.25">
      <c r="A6523" s="676">
        <f t="shared" si="193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4" x14ac:dyDescent="0.25">
      <c r="A6524" s="678">
        <f t="shared" si="193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4" x14ac:dyDescent="0.25">
      <c r="A6525" s="676">
        <f t="shared" si="193"/>
        <v>4095</v>
      </c>
      <c r="B6525" s="676" t="s">
        <v>1438</v>
      </c>
      <c r="C6525" s="473" t="s">
        <v>848</v>
      </c>
      <c r="D6525" s="474">
        <v>17.936</v>
      </c>
      <c r="E6525" s="475"/>
      <c r="F6525" s="676" t="s">
        <v>16</v>
      </c>
      <c r="G6525" s="476"/>
      <c r="H6525" s="676" t="s">
        <v>1441</v>
      </c>
      <c r="I6525" s="477"/>
      <c r="J6525" s="478"/>
      <c r="K6525" s="676"/>
      <c r="L6525" s="676" t="s">
        <v>266</v>
      </c>
      <c r="M6525" s="676">
        <v>18078.280000000002</v>
      </c>
      <c r="N6525" s="676" t="s">
        <v>1240</v>
      </c>
    </row>
    <row r="6526" spans="1:14" x14ac:dyDescent="0.25">
      <c r="A6526" s="678">
        <f t="shared" si="193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4" x14ac:dyDescent="0.25">
      <c r="A6527" s="678">
        <f t="shared" si="193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4" x14ac:dyDescent="0.25">
      <c r="A6528" s="676">
        <f t="shared" si="193"/>
        <v>4098</v>
      </c>
      <c r="B6528" s="676" t="s">
        <v>1439</v>
      </c>
      <c r="C6528" s="473" t="s">
        <v>26</v>
      </c>
      <c r="D6528" s="474">
        <v>17.718</v>
      </c>
      <c r="E6528" s="475"/>
      <c r="F6528" s="676" t="s">
        <v>16</v>
      </c>
      <c r="G6528" s="476"/>
      <c r="H6528" s="676" t="s">
        <v>1445</v>
      </c>
      <c r="I6528" s="477"/>
      <c r="J6528" s="478"/>
      <c r="K6528" s="676"/>
      <c r="L6528" s="676" t="s">
        <v>265</v>
      </c>
      <c r="M6528" s="676">
        <v>17869.560000000005</v>
      </c>
      <c r="N6528" s="676" t="s">
        <v>1237</v>
      </c>
    </row>
    <row r="6529" spans="1:14" x14ac:dyDescent="0.25">
      <c r="A6529" s="678">
        <f t="shared" si="193"/>
        <v>4099</v>
      </c>
      <c r="B6529" s="678" t="s">
        <v>1439</v>
      </c>
      <c r="C6529" s="679" t="s">
        <v>26</v>
      </c>
      <c r="D6529" s="680">
        <v>17.448</v>
      </c>
      <c r="E6529" s="681"/>
      <c r="F6529" s="678" t="s">
        <v>16</v>
      </c>
      <c r="G6529" s="682"/>
      <c r="H6529" s="678" t="s">
        <v>1445</v>
      </c>
      <c r="I6529" s="683"/>
      <c r="J6529" s="684"/>
      <c r="K6529" s="678"/>
      <c r="L6529" s="678" t="s">
        <v>265</v>
      </c>
      <c r="M6529" s="678">
        <v>17593.560000000005</v>
      </c>
      <c r="N6529" s="678" t="s">
        <v>1239</v>
      </c>
    </row>
    <row r="6530" spans="1:14" x14ac:dyDescent="0.25">
      <c r="A6530" s="676">
        <f t="shared" si="193"/>
        <v>4100</v>
      </c>
      <c r="B6530" s="676" t="s">
        <v>1439</v>
      </c>
      <c r="C6530" s="473" t="s">
        <v>41</v>
      </c>
      <c r="D6530" s="474">
        <v>10.069000000000001</v>
      </c>
      <c r="E6530" s="475"/>
      <c r="F6530" s="676" t="s">
        <v>16</v>
      </c>
      <c r="G6530" s="476"/>
      <c r="H6530" s="676" t="s">
        <v>1445</v>
      </c>
      <c r="I6530" s="477"/>
      <c r="J6530" s="478"/>
      <c r="K6530" s="676"/>
      <c r="L6530" s="676" t="s">
        <v>266</v>
      </c>
      <c r="M6530" s="676">
        <v>10146.809999999998</v>
      </c>
      <c r="N6530" s="676" t="s">
        <v>1447</v>
      </c>
    </row>
    <row r="6531" spans="1:14" x14ac:dyDescent="0.25">
      <c r="A6531" s="676">
        <f t="shared" si="193"/>
        <v>4101</v>
      </c>
      <c r="B6531" s="676" t="s">
        <v>1439</v>
      </c>
      <c r="C6531" s="473" t="s">
        <v>981</v>
      </c>
      <c r="D6531" s="474">
        <v>7.6609999999999996</v>
      </c>
      <c r="E6531" s="475"/>
      <c r="F6531" s="676" t="s">
        <v>16</v>
      </c>
      <c r="G6531" s="476"/>
      <c r="H6531" s="676" t="s">
        <v>1445</v>
      </c>
      <c r="I6531" s="477"/>
      <c r="J6531" s="478"/>
      <c r="K6531" s="676"/>
      <c r="L6531" s="676" t="s">
        <v>266</v>
      </c>
      <c r="M6531" s="676">
        <v>7666.4000000000005</v>
      </c>
      <c r="N6531" s="676" t="s">
        <v>1240</v>
      </c>
    </row>
    <row r="6532" spans="1:14" x14ac:dyDescent="0.25">
      <c r="A6532" s="678">
        <f t="shared" si="193"/>
        <v>4102</v>
      </c>
      <c r="B6532" s="678" t="s">
        <v>1439</v>
      </c>
      <c r="C6532" s="679" t="s">
        <v>26</v>
      </c>
      <c r="D6532" s="680">
        <v>13.074999999999999</v>
      </c>
      <c r="E6532" s="681"/>
      <c r="F6532" s="678" t="s">
        <v>30</v>
      </c>
      <c r="G6532" s="682"/>
      <c r="H6532" s="678" t="s">
        <v>1445</v>
      </c>
      <c r="I6532" s="683"/>
      <c r="J6532" s="684"/>
      <c r="K6532" s="678"/>
      <c r="L6532" s="678" t="s">
        <v>265</v>
      </c>
      <c r="M6532" s="678">
        <v>13075.32</v>
      </c>
      <c r="N6532" s="678" t="s">
        <v>1236</v>
      </c>
    </row>
    <row r="6533" spans="1:14" x14ac:dyDescent="0.25">
      <c r="A6533" s="676">
        <f t="shared" si="193"/>
        <v>4103</v>
      </c>
      <c r="B6533" s="676" t="s">
        <v>1439</v>
      </c>
      <c r="C6533" s="473" t="s">
        <v>26</v>
      </c>
      <c r="D6533" s="474">
        <v>17.606999999999999</v>
      </c>
      <c r="E6533" s="475"/>
      <c r="F6533" s="676" t="s">
        <v>16</v>
      </c>
      <c r="G6533" s="476"/>
      <c r="H6533" s="676" t="s">
        <v>1446</v>
      </c>
      <c r="I6533" s="477"/>
      <c r="J6533" s="478"/>
      <c r="K6533" s="676"/>
      <c r="L6533" s="676" t="s">
        <v>265</v>
      </c>
      <c r="M6533" s="676">
        <v>17790.68</v>
      </c>
      <c r="N6533" s="676" t="s">
        <v>1393</v>
      </c>
    </row>
    <row r="6534" spans="1:14" x14ac:dyDescent="0.25">
      <c r="A6534" s="678">
        <f t="shared" si="193"/>
        <v>4104</v>
      </c>
      <c r="B6534" s="678" t="s">
        <v>1439</v>
      </c>
      <c r="C6534" s="679" t="s">
        <v>26</v>
      </c>
      <c r="D6534" s="680">
        <v>17.597000000000001</v>
      </c>
      <c r="E6534" s="681"/>
      <c r="F6534" s="678" t="s">
        <v>16</v>
      </c>
      <c r="G6534" s="682"/>
      <c r="H6534" s="678" t="s">
        <v>1446</v>
      </c>
      <c r="I6534" s="683"/>
      <c r="J6534" s="684"/>
      <c r="K6534" s="678"/>
      <c r="L6534" s="678" t="s">
        <v>265</v>
      </c>
      <c r="M6534" s="678">
        <v>17780.18</v>
      </c>
      <c r="N6534" s="678" t="s">
        <v>1236</v>
      </c>
    </row>
    <row r="6535" spans="1:14" x14ac:dyDescent="0.25">
      <c r="A6535" s="676">
        <f t="shared" si="193"/>
        <v>4105</v>
      </c>
      <c r="B6535" s="676" t="s">
        <v>1439</v>
      </c>
      <c r="C6535" s="473" t="s">
        <v>24</v>
      </c>
      <c r="D6535" s="474">
        <v>10.696999999999999</v>
      </c>
      <c r="E6535" s="475"/>
      <c r="F6535" s="676" t="s">
        <v>16</v>
      </c>
      <c r="G6535" s="476"/>
      <c r="H6535" s="676" t="s">
        <v>1446</v>
      </c>
      <c r="I6535" s="477"/>
      <c r="J6535" s="478"/>
      <c r="K6535" s="676"/>
      <c r="L6535" s="676" t="s">
        <v>28</v>
      </c>
      <c r="M6535" s="676">
        <v>10847.720000000001</v>
      </c>
      <c r="N6535" s="676" t="s">
        <v>1237</v>
      </c>
    </row>
    <row r="6536" spans="1:14" x14ac:dyDescent="0.25">
      <c r="A6536" s="676">
        <f t="shared" si="193"/>
        <v>4106</v>
      </c>
      <c r="B6536" s="676" t="s">
        <v>1439</v>
      </c>
      <c r="C6536" s="473" t="s">
        <v>764</v>
      </c>
      <c r="D6536" s="474">
        <v>6.75</v>
      </c>
      <c r="E6536" s="475"/>
      <c r="F6536" s="676" t="s">
        <v>16</v>
      </c>
      <c r="G6536" s="476"/>
      <c r="H6536" s="676" t="s">
        <v>1446</v>
      </c>
      <c r="I6536" s="477"/>
      <c r="J6536" s="478"/>
      <c r="K6536" s="676"/>
      <c r="L6536" s="676" t="s">
        <v>28</v>
      </c>
      <c r="M6536" s="676">
        <v>6770.88</v>
      </c>
      <c r="N6536" s="676" t="s">
        <v>1237</v>
      </c>
    </row>
    <row r="6537" spans="1:14" x14ac:dyDescent="0.25">
      <c r="A6537" s="678">
        <f t="shared" si="193"/>
        <v>4107</v>
      </c>
      <c r="B6537" s="678" t="s">
        <v>1439</v>
      </c>
      <c r="C6537" s="679" t="s">
        <v>15</v>
      </c>
      <c r="D6537" s="680">
        <v>17.3</v>
      </c>
      <c r="E6537" s="681"/>
      <c r="F6537" s="678" t="s">
        <v>16</v>
      </c>
      <c r="G6537" s="682"/>
      <c r="H6537" s="678" t="s">
        <v>1446</v>
      </c>
      <c r="I6537" s="683"/>
      <c r="J6537" s="684"/>
      <c r="K6537" s="678"/>
      <c r="L6537" s="678" t="s">
        <v>28</v>
      </c>
      <c r="M6537" s="678">
        <v>17515.560000000001</v>
      </c>
      <c r="N6537" s="678" t="s">
        <v>1239</v>
      </c>
    </row>
    <row r="6538" spans="1:14" x14ac:dyDescent="0.25">
      <c r="A6538" s="676">
        <f t="shared" si="193"/>
        <v>4108</v>
      </c>
      <c r="B6538" s="676" t="s">
        <v>1439</v>
      </c>
      <c r="C6538" s="473" t="s">
        <v>23</v>
      </c>
      <c r="D6538" s="474">
        <v>17.135999999999999</v>
      </c>
      <c r="E6538" s="475"/>
      <c r="F6538" s="676" t="s">
        <v>16</v>
      </c>
      <c r="G6538" s="476"/>
      <c r="H6538" s="676" t="s">
        <v>1446</v>
      </c>
      <c r="I6538" s="477"/>
      <c r="J6538" s="478"/>
      <c r="K6538" s="676"/>
      <c r="L6538" s="676" t="s">
        <v>28</v>
      </c>
      <c r="M6538" s="676">
        <v>17265.100000000006</v>
      </c>
      <c r="N6538" s="676" t="s">
        <v>1240</v>
      </c>
    </row>
    <row r="6539" spans="1:14" x14ac:dyDescent="0.25">
      <c r="A6539" s="678">
        <f t="shared" si="193"/>
        <v>4109</v>
      </c>
      <c r="B6539" s="678" t="s">
        <v>1441</v>
      </c>
      <c r="C6539" s="679" t="s">
        <v>840</v>
      </c>
      <c r="D6539" s="680">
        <v>15.253</v>
      </c>
      <c r="E6539" s="681"/>
      <c r="F6539" s="678" t="s">
        <v>16</v>
      </c>
      <c r="G6539" s="682"/>
      <c r="H6539" s="678" t="s">
        <v>1446</v>
      </c>
      <c r="I6539" s="683"/>
      <c r="J6539" s="684"/>
      <c r="K6539" s="678"/>
      <c r="L6539" s="678" t="s">
        <v>266</v>
      </c>
      <c r="M6539" s="678">
        <v>15303.12</v>
      </c>
      <c r="N6539" s="678" t="s">
        <v>1241</v>
      </c>
    </row>
    <row r="6540" spans="1:14" x14ac:dyDescent="0.25">
      <c r="A6540" s="676">
        <f t="shared" si="193"/>
        <v>4110</v>
      </c>
      <c r="B6540" s="676" t="s">
        <v>1441</v>
      </c>
      <c r="C6540" s="473" t="s">
        <v>1341</v>
      </c>
      <c r="D6540" s="474">
        <v>9.8230000000000004</v>
      </c>
      <c r="E6540" s="475"/>
      <c r="F6540" s="676" t="s">
        <v>16</v>
      </c>
      <c r="G6540" s="476"/>
      <c r="H6540" s="676" t="s">
        <v>1446</v>
      </c>
      <c r="I6540" s="477"/>
      <c r="J6540" s="478"/>
      <c r="K6540" s="676"/>
      <c r="L6540" s="676" t="s">
        <v>266</v>
      </c>
      <c r="M6540" s="676">
        <v>9823.1999999999989</v>
      </c>
      <c r="N6540" s="676" t="s">
        <v>1242</v>
      </c>
    </row>
    <row r="6541" spans="1:14" x14ac:dyDescent="0.25">
      <c r="A6541" s="678">
        <f t="shared" si="193"/>
        <v>4111</v>
      </c>
      <c r="B6541" s="678" t="s">
        <v>1441</v>
      </c>
      <c r="C6541" s="679" t="s">
        <v>26</v>
      </c>
      <c r="D6541" s="680">
        <v>16.109000000000002</v>
      </c>
      <c r="E6541" s="681"/>
      <c r="F6541" s="678" t="s">
        <v>16</v>
      </c>
      <c r="G6541" s="682"/>
      <c r="H6541" s="678" t="s">
        <v>1449</v>
      </c>
      <c r="I6541" s="683"/>
      <c r="J6541" s="684"/>
      <c r="K6541" s="678"/>
      <c r="L6541" s="678" t="s">
        <v>265</v>
      </c>
      <c r="M6541" s="678">
        <v>16266.6</v>
      </c>
      <c r="N6541" s="678" t="s">
        <v>1236</v>
      </c>
    </row>
    <row r="6542" spans="1:14" x14ac:dyDescent="0.25">
      <c r="A6542" s="678">
        <f t="shared" si="193"/>
        <v>4112</v>
      </c>
      <c r="B6542" s="678" t="s">
        <v>1441</v>
      </c>
      <c r="C6542" s="679" t="s">
        <v>952</v>
      </c>
      <c r="D6542" s="680">
        <v>1.22</v>
      </c>
      <c r="E6542" s="681"/>
      <c r="F6542" s="678" t="s">
        <v>16</v>
      </c>
      <c r="G6542" s="682"/>
      <c r="H6542" s="678" t="s">
        <v>1449</v>
      </c>
      <c r="I6542" s="683"/>
      <c r="J6542" s="684"/>
      <c r="K6542" s="678"/>
      <c r="L6542" s="678" t="s">
        <v>265</v>
      </c>
      <c r="M6542" s="678">
        <v>1290.9000000000001</v>
      </c>
      <c r="N6542" s="678" t="s">
        <v>1236</v>
      </c>
    </row>
    <row r="6543" spans="1:14" x14ac:dyDescent="0.25">
      <c r="A6543" s="676">
        <f t="shared" si="193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4" ht="56.25" x14ac:dyDescent="0.25">
      <c r="A6544" s="676">
        <f t="shared" si="193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4" x14ac:dyDescent="0.25">
      <c r="A6545" s="676">
        <f t="shared" si="193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4" x14ac:dyDescent="0.25">
      <c r="A6546" s="678">
        <f t="shared" si="193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4" x14ac:dyDescent="0.25">
      <c r="A6547" s="678">
        <f t="shared" si="193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4" ht="19.5" thickBot="1" x14ac:dyDescent="0.3">
      <c r="A6548" s="767">
        <f t="shared" si="193"/>
        <v>4118</v>
      </c>
      <c r="B6548" s="767" t="s">
        <v>1441</v>
      </c>
      <c r="C6548" s="768" t="s">
        <v>913</v>
      </c>
      <c r="D6548" s="769">
        <v>2.9129999999999998</v>
      </c>
      <c r="E6548" s="770"/>
      <c r="F6548" s="767" t="s">
        <v>16</v>
      </c>
      <c r="G6548" s="771"/>
      <c r="H6548" s="767" t="s">
        <v>1449</v>
      </c>
      <c r="I6548" s="772"/>
      <c r="J6548" s="773"/>
      <c r="K6548" s="767"/>
      <c r="L6548" s="767" t="s">
        <v>266</v>
      </c>
      <c r="M6548" s="767">
        <v>2934.3600000000006</v>
      </c>
      <c r="N6548" s="767" t="s">
        <v>1239</v>
      </c>
    </row>
    <row r="6549" spans="1:14" ht="19.5" thickBot="1" x14ac:dyDescent="0.3">
      <c r="A6549" s="503">
        <f t="shared" si="193"/>
        <v>4119</v>
      </c>
      <c r="B6549" s="504" t="s">
        <v>1445</v>
      </c>
      <c r="C6549" s="505" t="s">
        <v>26</v>
      </c>
      <c r="D6549" s="506">
        <v>17.617999999999999</v>
      </c>
      <c r="E6549" s="507"/>
      <c r="F6549" s="508" t="s">
        <v>16</v>
      </c>
      <c r="G6549" s="509"/>
      <c r="H6549" s="508" t="s">
        <v>1450</v>
      </c>
      <c r="I6549" s="510"/>
      <c r="J6549" s="511"/>
      <c r="K6549" s="504"/>
      <c r="L6549" s="508" t="s">
        <v>265</v>
      </c>
      <c r="M6549" s="508">
        <v>17764.18</v>
      </c>
      <c r="N6549" s="512">
        <v>0.375</v>
      </c>
    </row>
    <row r="6550" spans="1:14" ht="19.5" thickBot="1" x14ac:dyDescent="0.3">
      <c r="A6550" s="774">
        <f t="shared" si="193"/>
        <v>4120</v>
      </c>
      <c r="B6550" s="775" t="s">
        <v>1445</v>
      </c>
      <c r="C6550" s="776" t="s">
        <v>26</v>
      </c>
      <c r="D6550" s="777">
        <v>17.524999999999999</v>
      </c>
      <c r="E6550" s="778"/>
      <c r="F6550" s="779" t="s">
        <v>16</v>
      </c>
      <c r="G6550" s="780"/>
      <c r="H6550" s="779" t="s">
        <v>1451</v>
      </c>
      <c r="I6550" s="781"/>
      <c r="J6550" s="782"/>
      <c r="K6550" s="775"/>
      <c r="L6550" s="779" t="s">
        <v>265</v>
      </c>
      <c r="M6550" s="779">
        <v>17712.7</v>
      </c>
      <c r="N6550" s="783">
        <v>0.375</v>
      </c>
    </row>
    <row r="6551" spans="1:14" ht="19.5" thickBot="1" x14ac:dyDescent="0.3">
      <c r="A6551" s="503">
        <f t="shared" si="193"/>
        <v>4121</v>
      </c>
      <c r="B6551" s="504" t="s">
        <v>1445</v>
      </c>
      <c r="C6551" s="505" t="s">
        <v>913</v>
      </c>
      <c r="D6551" s="506">
        <v>10.284000000000001</v>
      </c>
      <c r="E6551" s="507"/>
      <c r="F6551" s="508" t="s">
        <v>30</v>
      </c>
      <c r="G6551" s="509"/>
      <c r="H6551" s="508" t="s">
        <v>1449</v>
      </c>
      <c r="I6551" s="510"/>
      <c r="J6551" s="511"/>
      <c r="K6551" s="504"/>
      <c r="L6551" s="508" t="s">
        <v>266</v>
      </c>
      <c r="M6551" s="508">
        <v>10284</v>
      </c>
      <c r="N6551" s="512">
        <v>0.41666666666666669</v>
      </c>
    </row>
    <row r="6552" spans="1:14" x14ac:dyDescent="0.25">
      <c r="A6552" s="784">
        <f t="shared" si="193"/>
        <v>4122</v>
      </c>
      <c r="B6552" s="785" t="s">
        <v>1445</v>
      </c>
      <c r="C6552" s="786" t="s">
        <v>1219</v>
      </c>
      <c r="D6552" s="787">
        <v>4.5990000000000002</v>
      </c>
      <c r="E6552" s="788"/>
      <c r="F6552" s="789" t="s">
        <v>16</v>
      </c>
      <c r="G6552" s="790" t="s">
        <v>844</v>
      </c>
      <c r="H6552" s="789" t="s">
        <v>1450</v>
      </c>
      <c r="I6552" s="791"/>
      <c r="J6552" s="792"/>
      <c r="K6552" s="785"/>
      <c r="L6552" s="789" t="s">
        <v>266</v>
      </c>
      <c r="M6552" s="789">
        <v>4615.8</v>
      </c>
      <c r="N6552" s="793">
        <v>0.35416666666666669</v>
      </c>
    </row>
    <row r="6553" spans="1:14" x14ac:dyDescent="0.25">
      <c r="A6553" s="794"/>
      <c r="B6553" s="795" t="s">
        <v>1445</v>
      </c>
      <c r="C6553" s="679" t="s">
        <v>1219</v>
      </c>
      <c r="D6553" s="680">
        <v>4.3710000000000004</v>
      </c>
      <c r="E6553" s="681"/>
      <c r="F6553" s="678" t="s">
        <v>16</v>
      </c>
      <c r="G6553" s="682" t="s">
        <v>845</v>
      </c>
      <c r="H6553" s="678" t="s">
        <v>1450</v>
      </c>
      <c r="I6553" s="683"/>
      <c r="J6553" s="796"/>
      <c r="K6553" s="795"/>
      <c r="L6553" s="678" t="s">
        <v>266</v>
      </c>
      <c r="M6553" s="678">
        <v>4386.6000000000004</v>
      </c>
      <c r="N6553" s="797">
        <v>0.35416666666666669</v>
      </c>
    </row>
    <row r="6554" spans="1:14" ht="19.5" thickBot="1" x14ac:dyDescent="0.3">
      <c r="A6554" s="798"/>
      <c r="B6554" s="799" t="s">
        <v>1445</v>
      </c>
      <c r="C6554" s="800" t="s">
        <v>1219</v>
      </c>
      <c r="D6554" s="801">
        <v>3.9580000000000002</v>
      </c>
      <c r="E6554" s="802"/>
      <c r="F6554" s="803" t="s">
        <v>16</v>
      </c>
      <c r="G6554" s="804" t="s">
        <v>1452</v>
      </c>
      <c r="H6554" s="803" t="s">
        <v>1450</v>
      </c>
      <c r="I6554" s="805"/>
      <c r="J6554" s="806"/>
      <c r="K6554" s="799"/>
      <c r="L6554" s="803" t="s">
        <v>266</v>
      </c>
      <c r="M6554" s="803">
        <v>3982.5</v>
      </c>
      <c r="N6554" s="807">
        <v>0.35416666666666669</v>
      </c>
    </row>
    <row r="6555" spans="1:14" x14ac:dyDescent="0.25">
      <c r="A6555" s="720">
        <f t="shared" si="193"/>
        <v>4123</v>
      </c>
      <c r="B6555" s="531" t="s">
        <v>1445</v>
      </c>
      <c r="C6555" s="532" t="s">
        <v>47</v>
      </c>
      <c r="D6555" s="533">
        <v>10.358000000000001</v>
      </c>
      <c r="E6555" s="534"/>
      <c r="F6555" s="535" t="s">
        <v>30</v>
      </c>
      <c r="G6555" s="536"/>
      <c r="H6555" s="535" t="s">
        <v>1450</v>
      </c>
      <c r="I6555" s="537"/>
      <c r="J6555" s="538"/>
      <c r="K6555" s="531"/>
      <c r="L6555" s="535" t="s">
        <v>28</v>
      </c>
      <c r="M6555" s="535">
        <v>10358.920000000002</v>
      </c>
      <c r="N6555" s="539">
        <v>0.41666666666666669</v>
      </c>
    </row>
    <row r="6556" spans="1:14" ht="19.5" thickBot="1" x14ac:dyDescent="0.3">
      <c r="A6556" s="722"/>
      <c r="B6556" s="636" t="s">
        <v>1445</v>
      </c>
      <c r="C6556" s="637" t="s">
        <v>41</v>
      </c>
      <c r="D6556" s="638">
        <v>2.1629999999999998</v>
      </c>
      <c r="E6556" s="639"/>
      <c r="F6556" s="640" t="s">
        <v>30</v>
      </c>
      <c r="G6556" s="641"/>
      <c r="H6556" s="640" t="s">
        <v>1450</v>
      </c>
      <c r="I6556" s="642"/>
      <c r="J6556" s="643"/>
      <c r="K6556" s="636"/>
      <c r="L6556" s="640" t="s">
        <v>266</v>
      </c>
      <c r="M6556" s="640">
        <v>2163.3199999999997</v>
      </c>
      <c r="N6556" s="644">
        <v>0.41666666666666669</v>
      </c>
    </row>
    <row r="6557" spans="1:14" ht="19.5" thickBot="1" x14ac:dyDescent="0.3">
      <c r="A6557" s="774">
        <f t="shared" si="193"/>
        <v>4124</v>
      </c>
      <c r="B6557" s="775" t="s">
        <v>1445</v>
      </c>
      <c r="C6557" s="776" t="s">
        <v>15</v>
      </c>
      <c r="D6557" s="777">
        <v>11.784000000000001</v>
      </c>
      <c r="E6557" s="778"/>
      <c r="F6557" s="779" t="s">
        <v>30</v>
      </c>
      <c r="G6557" s="780"/>
      <c r="H6557" s="779" t="s">
        <v>1450</v>
      </c>
      <c r="I6557" s="781"/>
      <c r="J6557" s="782"/>
      <c r="K6557" s="775"/>
      <c r="L6557" s="779" t="s">
        <v>28</v>
      </c>
      <c r="M6557" s="779">
        <v>11784.08</v>
      </c>
      <c r="N6557" s="783">
        <v>0.45833333333333331</v>
      </c>
    </row>
    <row r="6558" spans="1:14" ht="19.5" thickBot="1" x14ac:dyDescent="0.3">
      <c r="A6558" s="503">
        <f t="shared" ref="A6558:A6575" si="195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/>
      <c r="F6558" s="508" t="s">
        <v>30</v>
      </c>
      <c r="G6558" s="509"/>
      <c r="H6558" s="508" t="s">
        <v>1450</v>
      </c>
      <c r="I6558" s="510"/>
      <c r="J6558" s="511"/>
      <c r="K6558" s="504"/>
      <c r="L6558" s="508" t="s">
        <v>28</v>
      </c>
      <c r="M6558" s="508">
        <v>11481.999999999998</v>
      </c>
      <c r="N6558" s="512">
        <v>0.5</v>
      </c>
    </row>
    <row r="6559" spans="1:14" x14ac:dyDescent="0.25">
      <c r="A6559" s="784">
        <f t="shared" si="195"/>
        <v>4126</v>
      </c>
      <c r="B6559" s="785" t="s">
        <v>1445</v>
      </c>
      <c r="C6559" s="786" t="s">
        <v>24</v>
      </c>
      <c r="D6559" s="787">
        <v>6.3280000000000003</v>
      </c>
      <c r="E6559" s="788"/>
      <c r="F6559" s="789" t="s">
        <v>30</v>
      </c>
      <c r="G6559" s="790"/>
      <c r="H6559" s="789" t="s">
        <v>1451</v>
      </c>
      <c r="I6559" s="791"/>
      <c r="J6559" s="792"/>
      <c r="K6559" s="785"/>
      <c r="L6559" s="789" t="s">
        <v>28</v>
      </c>
      <c r="M6559" s="789">
        <v>6328.52</v>
      </c>
      <c r="N6559" s="793">
        <v>0.41666666666666669</v>
      </c>
    </row>
    <row r="6560" spans="1:14" ht="19.5" thickBot="1" x14ac:dyDescent="0.3">
      <c r="A6560" s="798"/>
      <c r="B6560" s="799" t="s">
        <v>1445</v>
      </c>
      <c r="C6560" s="800" t="s">
        <v>667</v>
      </c>
      <c r="D6560" s="801">
        <v>4.9420000000000002</v>
      </c>
      <c r="E6560" s="802"/>
      <c r="F6560" s="803" t="s">
        <v>30</v>
      </c>
      <c r="G6560" s="804"/>
      <c r="H6560" s="803" t="s">
        <v>1451</v>
      </c>
      <c r="I6560" s="805"/>
      <c r="J6560" s="806"/>
      <c r="K6560" s="799"/>
      <c r="L6560" s="803" t="s">
        <v>28</v>
      </c>
      <c r="M6560" s="803">
        <v>4942.92</v>
      </c>
      <c r="N6560" s="807">
        <v>0.41666666666666669</v>
      </c>
    </row>
    <row r="6561" spans="1:14" ht="19.5" thickBot="1" x14ac:dyDescent="0.3">
      <c r="A6561" s="503">
        <f t="shared" si="195"/>
        <v>4127</v>
      </c>
      <c r="B6561" s="504" t="s">
        <v>1445</v>
      </c>
      <c r="C6561" s="505" t="s">
        <v>587</v>
      </c>
      <c r="D6561" s="506">
        <v>11.669</v>
      </c>
      <c r="E6561" s="507"/>
      <c r="F6561" s="508" t="s">
        <v>30</v>
      </c>
      <c r="G6561" s="509" t="s">
        <v>23</v>
      </c>
      <c r="H6561" s="508" t="s">
        <v>1451</v>
      </c>
      <c r="I6561" s="510"/>
      <c r="J6561" s="511"/>
      <c r="K6561" s="504"/>
      <c r="L6561" s="508" t="s">
        <v>28</v>
      </c>
      <c r="M6561" s="508">
        <v>11669.64</v>
      </c>
      <c r="N6561" s="512">
        <v>0.45833333333333331</v>
      </c>
    </row>
    <row r="6562" spans="1:14" ht="38.25" thickBot="1" x14ac:dyDescent="0.3">
      <c r="A6562" s="774">
        <f t="shared" si="195"/>
        <v>4128</v>
      </c>
      <c r="B6562" s="775" t="s">
        <v>1445</v>
      </c>
      <c r="C6562" s="776" t="s">
        <v>15</v>
      </c>
      <c r="D6562" s="777">
        <v>15.212999999999999</v>
      </c>
      <c r="E6562" s="778"/>
      <c r="F6562" s="779" t="s">
        <v>16</v>
      </c>
      <c r="G6562" s="780" t="s">
        <v>1440</v>
      </c>
      <c r="H6562" s="779" t="s">
        <v>1450</v>
      </c>
      <c r="I6562" s="781"/>
      <c r="J6562" s="782"/>
      <c r="K6562" s="775"/>
      <c r="L6562" s="779" t="s">
        <v>28</v>
      </c>
      <c r="M6562" s="779">
        <v>15364.89</v>
      </c>
      <c r="N6562" s="783">
        <v>0.41666666666666669</v>
      </c>
    </row>
    <row r="6563" spans="1:14" ht="19.5" thickBot="1" x14ac:dyDescent="0.3">
      <c r="A6563" s="503">
        <f t="shared" si="195"/>
        <v>4129</v>
      </c>
      <c r="B6563" s="504" t="s">
        <v>1445</v>
      </c>
      <c r="C6563" s="505" t="s">
        <v>23</v>
      </c>
      <c r="D6563" s="506">
        <v>17.344000000000001</v>
      </c>
      <c r="E6563" s="507"/>
      <c r="F6563" s="508" t="s">
        <v>16</v>
      </c>
      <c r="G6563" s="509"/>
      <c r="H6563" s="508" t="s">
        <v>1450</v>
      </c>
      <c r="I6563" s="510"/>
      <c r="J6563" s="511"/>
      <c r="K6563" s="504"/>
      <c r="L6563" s="508" t="s">
        <v>28</v>
      </c>
      <c r="M6563" s="508">
        <v>17510.97</v>
      </c>
      <c r="N6563" s="512">
        <v>0.45833333333333331</v>
      </c>
    </row>
    <row r="6564" spans="1:14" ht="38.25" thickBot="1" x14ac:dyDescent="0.3">
      <c r="A6564" s="774">
        <f t="shared" si="195"/>
        <v>4130</v>
      </c>
      <c r="B6564" s="775" t="s">
        <v>1445</v>
      </c>
      <c r="C6564" s="776" t="s">
        <v>23</v>
      </c>
      <c r="D6564" s="777">
        <v>14.46</v>
      </c>
      <c r="E6564" s="778"/>
      <c r="F6564" s="779" t="s">
        <v>16</v>
      </c>
      <c r="G6564" s="780" t="s">
        <v>1440</v>
      </c>
      <c r="H6564" s="779" t="s">
        <v>1450</v>
      </c>
      <c r="I6564" s="781"/>
      <c r="J6564" s="782"/>
      <c r="K6564" s="775"/>
      <c r="L6564" s="779" t="s">
        <v>28</v>
      </c>
      <c r="M6564" s="779">
        <v>14546.880000000003</v>
      </c>
      <c r="N6564" s="783">
        <v>0.5</v>
      </c>
    </row>
    <row r="6565" spans="1:14" ht="57" thickBot="1" x14ac:dyDescent="0.3">
      <c r="A6565" s="503">
        <f t="shared" si="195"/>
        <v>4131</v>
      </c>
      <c r="B6565" s="504" t="s">
        <v>1445</v>
      </c>
      <c r="C6565" s="505" t="s">
        <v>24</v>
      </c>
      <c r="D6565" s="506">
        <v>12.978999999999999</v>
      </c>
      <c r="E6565" s="507"/>
      <c r="F6565" s="508" t="s">
        <v>16</v>
      </c>
      <c r="G6565" s="509" t="s">
        <v>1453</v>
      </c>
      <c r="H6565" s="508" t="s">
        <v>1450</v>
      </c>
      <c r="I6565" s="510"/>
      <c r="J6565" s="511"/>
      <c r="K6565" s="504"/>
      <c r="L6565" s="508" t="s">
        <v>28</v>
      </c>
      <c r="M6565" s="508">
        <v>13186.489999999998</v>
      </c>
      <c r="N6565" s="512">
        <v>0.54166666666666663</v>
      </c>
    </row>
    <row r="6566" spans="1:14" x14ac:dyDescent="0.25">
      <c r="A6566" s="784">
        <f t="shared" si="195"/>
        <v>4132</v>
      </c>
      <c r="B6566" s="785" t="s">
        <v>1445</v>
      </c>
      <c r="C6566" s="786" t="s">
        <v>23</v>
      </c>
      <c r="D6566" s="787">
        <v>9</v>
      </c>
      <c r="E6566" s="788"/>
      <c r="F6566" s="789" t="s">
        <v>16</v>
      </c>
      <c r="G6566" s="790"/>
      <c r="H6566" s="789" t="s">
        <v>1451</v>
      </c>
      <c r="I6566" s="791"/>
      <c r="J6566" s="792"/>
      <c r="K6566" s="785"/>
      <c r="L6566" s="789" t="s">
        <v>28</v>
      </c>
      <c r="M6566" s="789">
        <v>9013.7999999999993</v>
      </c>
      <c r="N6566" s="793">
        <v>0.41666666666666669</v>
      </c>
    </row>
    <row r="6567" spans="1:14" ht="19.5" thickBot="1" x14ac:dyDescent="0.3">
      <c r="A6567" s="798"/>
      <c r="B6567" s="799" t="s">
        <v>1445</v>
      </c>
      <c r="C6567" s="800" t="s">
        <v>480</v>
      </c>
      <c r="D6567" s="801">
        <v>7.49</v>
      </c>
      <c r="E6567" s="802"/>
      <c r="F6567" s="803" t="s">
        <v>16</v>
      </c>
      <c r="G6567" s="804"/>
      <c r="H6567" s="803" t="s">
        <v>1451</v>
      </c>
      <c r="I6567" s="805"/>
      <c r="J6567" s="806"/>
      <c r="K6567" s="799"/>
      <c r="L6567" s="803" t="s">
        <v>266</v>
      </c>
      <c r="M6567" s="803">
        <v>7599.9100000000008</v>
      </c>
      <c r="N6567" s="807">
        <v>0.41666666666666669</v>
      </c>
    </row>
    <row r="6568" spans="1:14" ht="19.5" thickBot="1" x14ac:dyDescent="0.3">
      <c r="A6568" s="503">
        <f t="shared" si="195"/>
        <v>4133</v>
      </c>
      <c r="B6568" s="504" t="s">
        <v>1445</v>
      </c>
      <c r="C6568" s="505" t="s">
        <v>47</v>
      </c>
      <c r="D6568" s="506">
        <v>17.366</v>
      </c>
      <c r="E6568" s="507"/>
      <c r="F6568" s="508" t="s">
        <v>30</v>
      </c>
      <c r="G6568" s="509"/>
      <c r="H6568" s="508" t="s">
        <v>1451</v>
      </c>
      <c r="I6568" s="510"/>
      <c r="J6568" s="511"/>
      <c r="K6568" s="504"/>
      <c r="L6568" s="508" t="s">
        <v>28</v>
      </c>
      <c r="M6568" s="508">
        <v>17506.8</v>
      </c>
      <c r="N6568" s="512">
        <v>0.45833333333333331</v>
      </c>
    </row>
    <row r="6569" spans="1:14" x14ac:dyDescent="0.25">
      <c r="A6569" s="676">
        <f t="shared" si="195"/>
        <v>4134</v>
      </c>
      <c r="B6569" s="676"/>
      <c r="C6569" s="473"/>
      <c r="D6569" s="474"/>
      <c r="E6569" s="475"/>
      <c r="F6569" s="676"/>
      <c r="G6569" s="476"/>
      <c r="H6569" s="676"/>
      <c r="I6569" s="477"/>
      <c r="J6569" s="478"/>
      <c r="K6569" s="676"/>
      <c r="L6569" s="676"/>
      <c r="M6569" s="676"/>
      <c r="N6569" s="676"/>
    </row>
    <row r="6570" spans="1:14" x14ac:dyDescent="0.25">
      <c r="A6570" s="676">
        <f t="shared" si="195"/>
        <v>4135</v>
      </c>
      <c r="B6570" s="676"/>
      <c r="C6570" s="473"/>
      <c r="D6570" s="474"/>
      <c r="E6570" s="475"/>
      <c r="F6570" s="676"/>
      <c r="G6570" s="476"/>
      <c r="H6570" s="676"/>
      <c r="I6570" s="477"/>
      <c r="J6570" s="478"/>
      <c r="K6570" s="676"/>
      <c r="L6570" s="676"/>
      <c r="M6570" s="676"/>
      <c r="N6570" s="676"/>
    </row>
    <row r="6571" spans="1:14" x14ac:dyDescent="0.25">
      <c r="A6571" s="676">
        <f t="shared" si="195"/>
        <v>4136</v>
      </c>
      <c r="B6571" s="676"/>
      <c r="C6571" s="473"/>
      <c r="D6571" s="474"/>
      <c r="E6571" s="475"/>
      <c r="F6571" s="676"/>
      <c r="G6571" s="476"/>
      <c r="H6571" s="676"/>
      <c r="I6571" s="477"/>
      <c r="J6571" s="478"/>
      <c r="K6571" s="676"/>
      <c r="L6571" s="676"/>
      <c r="M6571" s="676"/>
      <c r="N6571" s="676"/>
    </row>
    <row r="6572" spans="1:14" x14ac:dyDescent="0.25">
      <c r="A6572" s="676">
        <f t="shared" si="195"/>
        <v>4137</v>
      </c>
      <c r="B6572" s="676"/>
      <c r="C6572" s="473"/>
      <c r="D6572" s="474"/>
      <c r="E6572" s="475"/>
      <c r="F6572" s="676"/>
      <c r="G6572" s="476"/>
      <c r="H6572" s="676"/>
      <c r="I6572" s="477"/>
      <c r="J6572" s="478"/>
      <c r="K6572" s="676"/>
      <c r="L6572" s="676"/>
      <c r="M6572" s="676"/>
      <c r="N6572" s="676"/>
    </row>
    <row r="6573" spans="1:14" x14ac:dyDescent="0.25">
      <c r="A6573" s="676">
        <f t="shared" si="195"/>
        <v>4138</v>
      </c>
      <c r="B6573" s="676"/>
      <c r="C6573" s="473"/>
      <c r="D6573" s="474"/>
      <c r="E6573" s="475"/>
      <c r="F6573" s="676"/>
      <c r="G6573" s="476"/>
      <c r="H6573" s="676"/>
      <c r="I6573" s="477"/>
      <c r="J6573" s="478"/>
      <c r="K6573" s="676"/>
      <c r="L6573" s="676"/>
      <c r="M6573" s="676"/>
      <c r="N6573" s="676"/>
    </row>
    <row r="6574" spans="1:14" x14ac:dyDescent="0.25">
      <c r="A6574" s="676">
        <f t="shared" si="195"/>
        <v>4139</v>
      </c>
      <c r="B6574" s="676"/>
      <c r="C6574" s="473"/>
      <c r="D6574" s="474"/>
      <c r="E6574" s="475"/>
      <c r="F6574" s="676"/>
      <c r="G6574" s="476"/>
      <c r="H6574" s="676"/>
      <c r="I6574" s="477"/>
      <c r="J6574" s="478"/>
      <c r="K6574" s="676"/>
      <c r="L6574" s="676"/>
      <c r="M6574" s="676"/>
      <c r="N6574" s="676"/>
    </row>
    <row r="6575" spans="1:14" x14ac:dyDescent="0.25">
      <c r="A6575" s="676">
        <f t="shared" si="195"/>
        <v>4140</v>
      </c>
      <c r="B6575" s="676"/>
      <c r="C6575" s="473"/>
      <c r="D6575" s="474"/>
      <c r="E6575" s="475"/>
      <c r="F6575" s="676"/>
      <c r="G6575" s="476"/>
      <c r="H6575" s="676"/>
      <c r="I6575" s="477"/>
      <c r="J6575" s="478"/>
      <c r="K6575" s="676"/>
      <c r="L6575" s="676"/>
      <c r="M6575" s="676"/>
      <c r="N6575" s="676"/>
    </row>
  </sheetData>
  <autoFilter ref="A2:N6549" xr:uid="{00000000-0009-0000-0000-000000000000}">
    <filterColumn colId="10">
      <filters blank="1"/>
    </filterColumn>
  </autoFilter>
  <mergeCells count="1691">
    <mergeCell ref="A6552:A6554"/>
    <mergeCell ref="A6555:A6556"/>
    <mergeCell ref="A6559:A6560"/>
    <mergeCell ref="A6566:A6567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2026-06-26T14:43:33Z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