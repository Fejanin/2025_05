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FDC8D50-235C-4E2D-981D-58F20889B28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Лист1!$A$2:$R$7622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93" i="1" l="1"/>
  <c r="K7494" i="1"/>
  <c r="K7495" i="1"/>
  <c r="K7496" i="1"/>
  <c r="K7497" i="1"/>
  <c r="K7498" i="1"/>
  <c r="K7499" i="1"/>
  <c r="K7492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l="1"/>
  <c r="A7385" i="1" l="1"/>
  <c r="A7386" i="1" l="1"/>
  <c r="A7389" i="1" l="1"/>
  <c r="A7392" i="1" l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 s="1"/>
  <c r="A7539" i="1" s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3" i="1" s="1"/>
  <c r="A7564" i="1" l="1"/>
  <c r="A7567" i="1" s="1"/>
  <c r="A7568" i="1" s="1"/>
  <c r="A7570" i="1" l="1"/>
  <c r="A7571" i="1" l="1"/>
  <c r="A7576" i="1" s="1"/>
  <c r="A7578" i="1" s="1"/>
  <c r="A7581" i="1" l="1"/>
  <c r="A7582" i="1" l="1"/>
  <c r="A7583" i="1" s="1"/>
  <c r="A7585" i="1" s="1"/>
  <c r="A7590" i="1" l="1"/>
  <c r="A7592" i="1" l="1"/>
  <c r="A7594" i="1" s="1"/>
  <c r="A7597" i="1" l="1"/>
  <c r="A7598" i="1" s="1"/>
  <c r="A7599" i="1" s="1"/>
  <c r="A7600" i="1" s="1"/>
  <c r="A7602" i="1" s="1"/>
  <c r="A7604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l="1"/>
  <c r="A7618" i="1" s="1"/>
  <c r="A7619" i="1" s="1"/>
  <c r="A7620" i="1" s="1"/>
  <c r="A7621" i="1" s="1"/>
  <c r="A7622" i="1" s="1"/>
</calcChain>
</file>

<file path=xl/sharedStrings.xml><?xml version="1.0" encoding="utf-8"?>
<sst xmlns="http://schemas.openxmlformats.org/spreadsheetml/2006/main" count="49700" uniqueCount="3396">
  <si>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</si>
  <si>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</si>
  <si>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</si>
  <si>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</si>
  <si>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</si>
  <si>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</si>
  <si>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</si>
  <si>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</si>
  <si>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</si>
  <si>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</si>
  <si>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</si>
  <si>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</si>
  <si>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</si>
  <si>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</si>
  <si>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</si>
  <si>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</si>
  <si>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</si>
  <si>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</si>
  <si>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</si>
  <si>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</si>
  <si>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</si>
  <si>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</si>
  <si>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</si>
  <si>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</si>
  <si>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</si>
  <si>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</si>
  <si>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</si>
  <si>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</si>
  <si>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</si>
  <si>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</si>
  <si>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</si>
  <si>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</si>
  <si>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</si>
  <si>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</si>
  <si>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</si>
  <si>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</si>
  <si>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</si>
  <si>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</si>
  <si>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</si>
  <si>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</si>
  <si>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</si>
  <si>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</si>
  <si>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</si>
  <si>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</si>
  <si>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</si>
  <si>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</si>
  <si>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</si>
  <si>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</si>
  <si>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</si>
  <si>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</si>
  <si>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</si>
  <si>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</si>
  <si>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</si>
  <si>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</si>
  <si>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</si>
  <si>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</si>
  <si>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</si>
  <si>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</si>
  <si>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</si>
  <si>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</si>
  <si>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</si>
  <si>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</si>
  <si>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</si>
  <si>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</si>
  <si>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</si>
  <si>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</si>
  <si>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</si>
  <si>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</si>
  <si>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</si>
  <si>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</si>
  <si>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</si>
  <si>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</si>
  <si>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</si>
  <si>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</si>
  <si>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</si>
  <si>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</si>
  <si>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</si>
  <si>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</si>
  <si>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</si>
  <si>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</si>
  <si>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</si>
  <si>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</si>
  <si>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</si>
  <si>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</si>
  <si>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</si>
  <si>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</si>
  <si>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</si>
  <si>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</si>
  <si>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</si>
  <si>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</si>
  <si>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</si>
  <si>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</si>
  <si>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</si>
  <si>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</si>
  <si>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</si>
  <si>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</si>
  <si>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</si>
  <si>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</si>
  <si>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</si>
  <si>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</si>
  <si>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</si>
  <si>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</si>
  <si>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</si>
  <si>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</si>
  <si>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</si>
  <si>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</si>
  <si>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</si>
  <si>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</si>
  <si>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</si>
  <si>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</si>
  <si>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</si>
  <si>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</si>
  <si>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</si>
  <si>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</si>
  <si>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</si>
  <si>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</si>
  <si>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</si>
  <si>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</si>
  <si>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</si>
  <si>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</si>
  <si>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</si>
  <si>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</si>
  <si>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</si>
  <si>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</si>
  <si>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</si>
  <si>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</si>
  <si>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</si>
  <si>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</si>
  <si>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</si>
  <si>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</si>
  <si>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</si>
  <si>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</si>
  <si>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</si>
  <si>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</si>
  <si>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</si>
  <si>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</si>
  <si>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</si>
  <si>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</si>
  <si>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</si>
  <si>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</si>
  <si>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</si>
  <si>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</si>
  <si>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</si>
  <si>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</si>
  <si>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</si>
  <si>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</si>
  <si>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</si>
  <si>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</si>
  <si>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</si>
  <si>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</si>
  <si>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</si>
  <si>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</si>
  <si>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</si>
  <si>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</si>
  <si>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</si>
  <si>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</si>
  <si>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</si>
  <si>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</si>
  <si>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</si>
  <si>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</si>
  <si>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</si>
  <si>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</si>
  <si>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</si>
  <si>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</si>
  <si>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</si>
  <si>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</si>
  <si>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</si>
  <si>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</si>
  <si>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</si>
  <si>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</si>
  <si>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</si>
  <si>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</si>
  <si>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</si>
  <si>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</si>
  <si>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</si>
  <si>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</si>
  <si>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</si>
  <si>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</si>
  <si>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</si>
  <si>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</si>
  <si>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</si>
  <si>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</si>
  <si>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</si>
  <si>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</si>
  <si>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</si>
  <si>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</si>
  <si>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</si>
  <si>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</si>
  <si>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</si>
  <si>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</si>
  <si>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</si>
  <si>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</si>
  <si>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</si>
  <si>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</si>
  <si>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</si>
  <si>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</si>
  <si>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</si>
  <si>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</si>
  <si>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</si>
  <si>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</si>
  <si>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</si>
  <si>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</si>
  <si>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</si>
  <si>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</si>
  <si>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</si>
  <si>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</si>
  <si>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</si>
  <si>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</si>
  <si>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</si>
  <si>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</si>
  <si>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</si>
  <si>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</si>
  <si>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</si>
  <si>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</si>
  <si>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</si>
  <si>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</si>
  <si>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</si>
  <si>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</si>
  <si>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</si>
  <si>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</si>
  <si>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</si>
  <si>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</si>
  <si>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</si>
  <si>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</si>
  <si>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</si>
  <si>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</si>
  <si>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</si>
  <si>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</si>
  <si>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</si>
  <si>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</si>
  <si>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</si>
  <si>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</si>
  <si>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</si>
  <si>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</si>
  <si>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</si>
  <si>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</si>
  <si>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</si>
  <si>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</si>
  <si>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</si>
  <si>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</si>
  <si>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</si>
  <si>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</si>
  <si>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</si>
  <si>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</si>
  <si>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</si>
  <si>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</si>
  <si>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</si>
  <si>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</si>
  <si>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</si>
  <si>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</si>
  <si>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</si>
  <si>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</si>
  <si>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</si>
  <si>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</si>
  <si>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</si>
  <si>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</si>
  <si>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</si>
  <si>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</si>
  <si>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</si>
  <si>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</si>
  <si>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</si>
  <si>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</si>
  <si>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</si>
  <si>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</si>
  <si>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</si>
  <si>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</si>
  <si>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</si>
  <si>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</si>
  <si>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</si>
  <si>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</si>
  <si>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</si>
  <si>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</si>
  <si>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</si>
  <si>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</si>
  <si>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</si>
  <si>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</si>
  <si>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</si>
  <si>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</si>
  <si>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</si>
  <si>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</si>
  <si>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</si>
  <si>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</si>
  <si>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</si>
  <si>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</si>
  <si>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</si>
  <si>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</si>
  <si>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</si>
  <si>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</si>
  <si>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</si>
  <si>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</si>
  <si>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</si>
  <si>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</si>
  <si>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</si>
  <si>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</si>
  <si>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</si>
  <si>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</si>
  <si>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</si>
  <si>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</si>
  <si>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</si>
  <si>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</si>
  <si>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</si>
  <si>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</si>
  <si>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</si>
  <si>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</si>
  <si>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</si>
  <si>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</si>
  <si>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</si>
  <si>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</si>
  <si>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</si>
  <si>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</si>
  <si>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</si>
  <si>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</si>
  <si>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</si>
  <si>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</si>
  <si>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</si>
  <si>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</si>
  <si>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</si>
  <si>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</si>
  <si>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</si>
  <si>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</si>
  <si>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</si>
  <si>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</si>
  <si>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</si>
  <si>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</si>
  <si>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</si>
  <si>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</si>
  <si>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</si>
  <si>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</si>
  <si>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</si>
  <si>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</si>
  <si>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</si>
  <si>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</si>
  <si>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</si>
  <si>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</si>
  <si>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</si>
  <si>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</si>
  <si>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</si>
  <si>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</si>
  <si>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</si>
  <si>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</si>
  <si>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</si>
  <si>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</si>
  <si>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</si>
  <si>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</si>
  <si>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</si>
  <si>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</si>
  <si>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</si>
  <si>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</si>
  <si>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</si>
  <si>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</si>
  <si>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</si>
  <si>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</si>
  <si>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</si>
  <si>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</si>
  <si>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</si>
  <si>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</si>
  <si>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</si>
  <si>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</si>
  <si>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</si>
  <si>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</si>
  <si>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</si>
  <si>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</si>
  <si>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</si>
  <si>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</si>
  <si>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</si>
  <si>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</si>
  <si>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</si>
  <si>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</si>
  <si>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</si>
  <si>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</si>
  <si>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</si>
  <si>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</si>
  <si>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</si>
  <si>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</si>
  <si>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</si>
  <si>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</si>
  <si>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</si>
  <si>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</si>
  <si>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</si>
  <si>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</si>
  <si>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</si>
  <si>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</si>
  <si>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</si>
  <si>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</si>
  <si>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</si>
  <si>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</si>
  <si>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</si>
  <si>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</si>
  <si>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</si>
  <si>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</si>
  <si>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</si>
  <si>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</si>
  <si>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</si>
  <si>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</si>
  <si>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</si>
  <si>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</si>
  <si>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</si>
  <si>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</si>
  <si>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</si>
  <si>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</si>
  <si>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</si>
  <si>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</si>
  <si>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</si>
  <si>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</si>
  <si>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</si>
  <si>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</si>
  <si>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</si>
  <si>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</si>
  <si>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</si>
  <si>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</si>
  <si>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</si>
  <si>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</si>
  <si>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</si>
  <si>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</si>
  <si>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</si>
  <si>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</si>
  <si>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</si>
  <si>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</si>
  <si>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</si>
  <si>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</si>
  <si>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</si>
  <si>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</si>
  <si>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</si>
  <si>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</si>
  <si>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</si>
  <si>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</si>
  <si>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</si>
  <si>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</si>
  <si>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</si>
  <si>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</si>
  <si>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</si>
  <si>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</si>
  <si>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</si>
  <si>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</si>
  <si>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</si>
  <si>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</si>
  <si>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</si>
  <si>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</si>
  <si>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</si>
  <si>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</si>
  <si>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</si>
  <si>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</si>
  <si>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</si>
  <si>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</si>
  <si>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</si>
  <si>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</si>
  <si>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</si>
  <si>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</si>
  <si>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</si>
  <si>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</si>
  <si>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</si>
  <si>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</si>
  <si>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</si>
  <si>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</si>
  <si>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</si>
  <si>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</si>
  <si>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</si>
  <si>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</si>
  <si>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</si>
  <si>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</si>
  <si>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</si>
  <si>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</si>
  <si>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</si>
  <si>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</si>
  <si>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</si>
  <si>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</si>
  <si>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</si>
  <si>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</si>
  <si>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</si>
  <si>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</si>
  <si>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</si>
  <si>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</si>
  <si>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</si>
  <si>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</si>
  <si>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</si>
  <si>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</si>
  <si>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</si>
  <si>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</si>
  <si>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</si>
  <si>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</si>
  <si>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</si>
  <si>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</si>
  <si>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</si>
  <si>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</si>
  <si>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</si>
  <si>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</si>
  <si>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</si>
  <si>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</si>
  <si>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</si>
  <si>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</si>
  <si>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</si>
  <si>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</si>
  <si>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</si>
  <si>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</si>
  <si>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</si>
  <si>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</si>
  <si>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</si>
  <si>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</si>
  <si>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</si>
  <si>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</si>
  <si>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</si>
  <si>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</si>
  <si>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</si>
  <si>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</si>
  <si>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</si>
  <si>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</si>
  <si>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</si>
  <si>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</si>
  <si>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</si>
  <si>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</si>
  <si>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</si>
  <si>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</si>
  <si>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</si>
  <si>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</si>
  <si>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</si>
  <si>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</si>
  <si>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</si>
  <si>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</si>
  <si>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</si>
  <si>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</si>
  <si>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</si>
  <si>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</si>
  <si>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</si>
  <si>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</si>
  <si>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</si>
  <si>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</si>
  <si>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</si>
  <si>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</si>
  <si>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</si>
  <si>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</si>
  <si>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</si>
  <si>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</si>
  <si>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</si>
  <si>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</si>
  <si>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</si>
  <si>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</si>
  <si>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</si>
  <si>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</si>
  <si>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</si>
  <si>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</si>
  <si>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</si>
  <si>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</si>
  <si>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</si>
  <si>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</si>
  <si>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</si>
  <si>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</si>
  <si>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</si>
  <si>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</si>
  <si>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</si>
  <si>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</si>
  <si>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</si>
  <si>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</si>
  <si>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</si>
  <si>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</si>
  <si>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</si>
  <si>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</si>
  <si>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</si>
  <si>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</si>
  <si>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</si>
  <si>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</si>
  <si>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</si>
  <si>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</si>
  <si>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</si>
  <si>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</si>
  <si>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</si>
  <si>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</si>
  <si>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</si>
  <si>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</si>
  <si>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</si>
  <si>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</si>
  <si>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</si>
  <si>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</si>
  <si>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</si>
  <si>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</si>
  <si>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</si>
  <si>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</si>
  <si>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</si>
  <si>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</si>
  <si>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</si>
  <si>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</si>
  <si>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</si>
  <si>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</si>
  <si>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</si>
  <si>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</si>
  <si>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</si>
  <si>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</si>
  <si>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</si>
  <si>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</si>
  <si>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</si>
  <si>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</si>
  <si>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</si>
  <si>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</si>
  <si>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</si>
  <si>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</si>
  <si>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</si>
  <si>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</si>
  <si>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</si>
  <si>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</si>
  <si>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</si>
  <si>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</si>
  <si>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</si>
  <si>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</si>
  <si>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</si>
  <si>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</si>
  <si>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</si>
  <si>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</si>
  <si>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</si>
  <si>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</si>
  <si>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</si>
  <si>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</si>
  <si>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</si>
  <si>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</si>
  <si>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</si>
  <si>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</si>
  <si>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</si>
  <si>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</si>
  <si>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</si>
  <si>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</si>
  <si>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</si>
  <si>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</si>
  <si>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</si>
  <si>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</si>
  <si>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</si>
  <si>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</si>
  <si>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</si>
  <si>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</si>
  <si>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</si>
  <si>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</si>
  <si>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</si>
  <si>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</si>
  <si>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</si>
  <si>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</si>
  <si>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</si>
  <si>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</si>
  <si>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</si>
  <si>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</si>
  <si>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</si>
  <si>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</si>
  <si>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</si>
  <si>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</si>
  <si>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</si>
  <si>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</si>
  <si>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</si>
  <si>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</si>
  <si>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</si>
  <si>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</si>
  <si>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</si>
  <si>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</si>
  <si>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</si>
  <si>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</si>
  <si>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</si>
  <si>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</si>
  <si>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</si>
  <si>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</si>
  <si>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</si>
  <si>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</si>
  <si>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</si>
  <si>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</si>
  <si>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</si>
  <si>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</si>
  <si>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</si>
  <si>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</si>
  <si>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</si>
  <si>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</si>
  <si>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</si>
  <si>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</si>
  <si>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</si>
  <si>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</si>
  <si>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</si>
  <si>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</si>
  <si>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</si>
  <si>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</si>
  <si>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</si>
  <si>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</si>
  <si>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</si>
  <si>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</si>
  <si>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</si>
  <si>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</si>
  <si>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</si>
  <si>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</si>
  <si>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</si>
  <si>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</si>
  <si>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</si>
  <si>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</si>
  <si>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</si>
  <si>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</si>
  <si>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</si>
  <si>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</si>
  <si>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</si>
  <si>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</si>
  <si>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</si>
  <si>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</si>
  <si>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</si>
  <si>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</si>
  <si>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</si>
  <si>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</si>
  <si>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</si>
  <si>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</si>
  <si>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</si>
  <si>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</si>
  <si>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</si>
  <si>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</si>
  <si>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</si>
  <si>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</si>
  <si>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</si>
  <si>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</si>
  <si>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</si>
  <si>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</si>
  <si>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</si>
  <si>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</si>
  <si>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</si>
  <si>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</si>
  <si>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</si>
  <si>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</si>
  <si>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</si>
  <si>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</si>
  <si>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</si>
  <si>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</si>
  <si>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</si>
  <si>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</si>
  <si>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</si>
  <si>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</si>
  <si>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</si>
  <si>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</si>
  <si>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</si>
  <si>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</si>
  <si>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</si>
  <si>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</si>
  <si>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</si>
  <si>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</si>
  <si>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</si>
  <si>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</si>
  <si>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</si>
  <si>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</si>
  <si>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</si>
  <si>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</si>
  <si>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</si>
  <si>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</si>
  <si>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</si>
  <si>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</si>
  <si>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</si>
  <si>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</si>
  <si>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</si>
  <si>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</si>
  <si>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</si>
  <si>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</si>
  <si>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</si>
  <si>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</si>
  <si>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</si>
  <si>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</si>
  <si>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</si>
  <si>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</si>
  <si>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</si>
  <si>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</si>
  <si>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</si>
  <si>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</si>
  <si>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</si>
  <si>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</si>
  <si>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</si>
  <si>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</si>
  <si>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</si>
  <si>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</si>
  <si>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</si>
  <si>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</si>
  <si>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</si>
  <si>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</si>
  <si>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</si>
  <si>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</si>
  <si>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</si>
  <si>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</si>
  <si>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</si>
  <si>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</si>
  <si>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</si>
  <si>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</si>
  <si>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</si>
  <si>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</si>
  <si>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</si>
  <si>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</si>
  <si>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</si>
  <si>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</si>
  <si>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</si>
  <si>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</si>
  <si>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</si>
  <si>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</si>
  <si>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</si>
  <si>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</si>
  <si>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</si>
  <si>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</si>
  <si>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</si>
  <si>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</si>
  <si>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</si>
  <si>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</si>
  <si>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</si>
  <si>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</si>
  <si>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</si>
  <si>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</si>
  <si>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</si>
  <si>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</si>
  <si>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</si>
  <si>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</si>
  <si>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</si>
  <si>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</si>
  <si>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</si>
  <si>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</si>
  <si>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</si>
  <si>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</si>
  <si>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</si>
  <si>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</si>
  <si>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</si>
  <si>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</si>
  <si>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</si>
  <si>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</si>
  <si>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</si>
  <si>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</si>
  <si>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</si>
  <si>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</si>
  <si>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</si>
  <si>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</si>
  <si>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</si>
  <si>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</si>
  <si>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</si>
  <si>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</si>
  <si>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</si>
  <si>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</si>
  <si>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</si>
  <si>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</si>
  <si>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</si>
  <si>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</si>
  <si>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</si>
  <si>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</si>
  <si>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</si>
  <si>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</si>
  <si>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</si>
  <si>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</si>
  <si>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</si>
  <si>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</si>
  <si>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</si>
  <si>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</si>
  <si>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</si>
  <si>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</si>
  <si>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</si>
  <si>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</si>
  <si>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</si>
  <si>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</si>
  <si>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</si>
  <si>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</si>
  <si>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</si>
  <si>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</si>
  <si>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</si>
  <si>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</si>
  <si>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</si>
  <si>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</si>
  <si>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</si>
  <si>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</si>
  <si>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</si>
  <si>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</si>
  <si>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</si>
  <si>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</si>
  <si>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</si>
  <si>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</si>
  <si>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</si>
  <si>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</si>
  <si>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</si>
  <si>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</si>
  <si>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</si>
  <si>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</si>
  <si>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</si>
  <si>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</si>
  <si>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</si>
  <si>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</si>
  <si>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</si>
  <si>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</si>
  <si>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</si>
  <si>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</si>
  <si>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</si>
  <si>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</si>
  <si>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</si>
  <si>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</si>
  <si>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</si>
  <si>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</si>
  <si>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</si>
  <si>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</si>
  <si>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</si>
  <si>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</si>
  <si>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</si>
  <si>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</si>
  <si>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</si>
  <si>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</si>
  <si>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</si>
  <si>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</si>
  <si>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</si>
  <si>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</si>
  <si>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</si>
  <si>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</si>
  <si>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</si>
  <si>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</si>
  <si>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</si>
  <si>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</si>
  <si>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</si>
  <si>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</si>
  <si>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</si>
  <si>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</si>
  <si>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</si>
  <si>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</si>
  <si>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</si>
  <si>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</si>
  <si>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</si>
  <si>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</si>
  <si>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</si>
  <si>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</si>
  <si>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</si>
  <si>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</si>
  <si>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</si>
  <si>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</si>
  <si>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</si>
  <si>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</si>
  <si>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</si>
  <si>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</si>
  <si>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</si>
  <si>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</si>
  <si>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</si>
  <si>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</si>
  <si>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</si>
  <si>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</si>
  <si>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</si>
  <si>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</si>
  <si>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</si>
  <si>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</si>
  <si>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</si>
  <si>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</si>
  <si>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</si>
  <si>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</si>
  <si>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</si>
  <si>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</si>
  <si>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</si>
  <si>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</si>
  <si>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</si>
  <si>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</si>
  <si>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</si>
  <si>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</si>
  <si>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</si>
  <si>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</si>
  <si>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</si>
  <si>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</si>
  <si>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</si>
  <si>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</si>
  <si>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</si>
  <si>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</si>
  <si>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</si>
  <si>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</si>
  <si>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</si>
  <si>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</si>
  <si>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</si>
  <si>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</si>
  <si>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</si>
  <si>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</si>
  <si>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</si>
  <si>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</si>
  <si>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</si>
  <si>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</si>
  <si>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</si>
  <si>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</si>
  <si>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</si>
  <si>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</si>
  <si>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</si>
  <si>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</si>
  <si>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</si>
  <si>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</si>
  <si>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</si>
  <si>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</si>
  <si>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</si>
  <si>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</si>
  <si>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</si>
  <si>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</si>
  <si>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</si>
  <si>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</si>
  <si>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</si>
  <si>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</si>
  <si>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</si>
  <si>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</si>
  <si>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</si>
  <si>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</si>
  <si>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</si>
  <si>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</si>
  <si>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</si>
  <si>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</si>
  <si>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</si>
  <si>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</si>
  <si>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</si>
  <si>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</si>
  <si>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</si>
  <si>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</si>
  <si>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</si>
  <si>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</si>
  <si>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</si>
  <si>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</si>
  <si>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</si>
  <si>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</si>
  <si>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</si>
  <si>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</si>
  <si>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</si>
  <si>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</si>
  <si>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</si>
  <si>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</si>
  <si>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</si>
  <si>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</si>
  <si>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</si>
  <si>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</si>
  <si>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</si>
  <si>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</si>
  <si>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</si>
  <si>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</si>
  <si>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</si>
  <si>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</si>
  <si>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</si>
  <si>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</si>
  <si>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</si>
  <si>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</si>
  <si>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</si>
  <si>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</si>
  <si>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</si>
  <si>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</si>
  <si>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</si>
  <si>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</si>
  <si>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</si>
  <si>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</si>
  <si>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</si>
  <si>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</si>
  <si>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</si>
  <si>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</si>
  <si>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</si>
  <si>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</si>
  <si>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</si>
  <si>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</si>
  <si>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</si>
  <si>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</si>
  <si>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</si>
  <si>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</si>
  <si>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</si>
  <si>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</si>
  <si>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</si>
  <si>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</si>
  <si>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</si>
  <si>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</si>
  <si>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</si>
  <si>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</si>
  <si>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</si>
  <si>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</si>
  <si>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</si>
  <si>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</si>
  <si>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</si>
  <si>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</si>
  <si>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</si>
  <si>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</si>
  <si>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</si>
  <si>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</si>
  <si>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</si>
  <si>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</si>
  <si>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</si>
  <si>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</si>
  <si>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</si>
  <si>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</si>
  <si>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</si>
  <si>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</si>
  <si>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</si>
  <si>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</si>
  <si>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</si>
  <si>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</si>
  <si>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</si>
  <si>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</si>
  <si>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</si>
  <si>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</si>
  <si>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</si>
  <si>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</si>
  <si>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</si>
  <si>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</si>
  <si>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</si>
  <si>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</si>
  <si>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</si>
  <si>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</si>
  <si>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</si>
  <si>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</si>
  <si>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</si>
  <si>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</si>
  <si>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</si>
  <si>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</si>
  <si>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</si>
  <si>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</si>
  <si>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</si>
  <si>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</si>
  <si>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</si>
  <si>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</si>
  <si>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</si>
  <si>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</si>
  <si>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</si>
  <si>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</si>
  <si>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</si>
  <si>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</si>
  <si>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</si>
  <si>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</si>
  <si>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</si>
  <si>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</si>
  <si>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</si>
  <si>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</si>
  <si>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</si>
  <si>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</si>
  <si>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</si>
  <si>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</si>
  <si>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</si>
  <si>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</si>
  <si>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</si>
  <si>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</si>
  <si>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</si>
  <si>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</si>
  <si>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</si>
  <si>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</si>
  <si>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</si>
  <si>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</si>
  <si>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</si>
  <si>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</si>
  <si>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</si>
  <si>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</si>
  <si>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</si>
  <si>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</si>
  <si>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</si>
  <si>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</si>
  <si>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</si>
  <si>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</si>
  <si>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</si>
  <si>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</si>
  <si>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</si>
  <si>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</si>
  <si>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</si>
  <si>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</si>
  <si>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</si>
  <si>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</si>
  <si>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</si>
  <si>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</si>
  <si>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</si>
  <si>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</si>
  <si>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</si>
  <si>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</si>
  <si>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</si>
  <si>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</si>
  <si>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</si>
  <si>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</si>
  <si>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</si>
  <si>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</si>
  <si>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</si>
  <si>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</si>
  <si>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</si>
  <si>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</si>
  <si>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</si>
  <si>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</si>
  <si>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</si>
  <si>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</si>
  <si>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</si>
  <si>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</si>
  <si>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</si>
  <si>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</si>
  <si>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</si>
  <si>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</si>
  <si>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</si>
  <si>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</si>
  <si>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</si>
  <si>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</si>
  <si>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</si>
  <si>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</si>
  <si>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</si>
  <si>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</si>
  <si>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</si>
  <si>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</si>
  <si>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</si>
  <si>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</si>
  <si>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</si>
  <si>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</si>
  <si>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</si>
  <si>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</si>
  <si>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</si>
  <si>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</si>
  <si>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</si>
  <si>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</si>
  <si>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</si>
  <si>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</si>
  <si>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</si>
  <si>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</si>
  <si>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</si>
  <si>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</si>
  <si>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</si>
  <si>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</si>
  <si>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</si>
  <si>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</si>
  <si>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</si>
  <si>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</si>
  <si>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</si>
  <si>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</si>
  <si>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</si>
  <si>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</si>
  <si>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</si>
  <si>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</si>
  <si>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</si>
  <si>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</si>
  <si>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</si>
  <si>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</si>
  <si>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</si>
  <si>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</si>
  <si>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</si>
  <si>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</si>
  <si>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</si>
  <si>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</si>
  <si>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</si>
  <si>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</si>
  <si>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</si>
  <si>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</si>
  <si>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</si>
  <si>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</si>
  <si>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</si>
  <si>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</si>
  <si>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</si>
  <si>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</si>
  <si>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</si>
  <si>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</si>
  <si>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</si>
  <si>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</si>
  <si>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</si>
  <si>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</si>
  <si>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</si>
  <si>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</si>
  <si>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</si>
  <si>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</si>
  <si>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</si>
  <si>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</si>
  <si>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</si>
  <si>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</si>
  <si>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</si>
  <si>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</si>
  <si>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</si>
  <si>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</si>
  <si>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</si>
  <si>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</si>
  <si>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</si>
  <si>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</si>
  <si>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</si>
  <si>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</si>
  <si>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</si>
  <si>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</si>
  <si>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</si>
  <si>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</si>
  <si>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</si>
  <si>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</si>
  <si>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</si>
  <si>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</si>
  <si>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</si>
  <si>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</si>
  <si>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</si>
  <si>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</si>
  <si>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</si>
  <si>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</si>
  <si>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</si>
  <si>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</si>
  <si>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</si>
  <si>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</si>
  <si>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</si>
  <si>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</si>
  <si>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</si>
  <si>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</si>
  <si>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</si>
  <si>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</si>
  <si>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</si>
  <si>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</si>
  <si>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</si>
  <si>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</si>
  <si>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</si>
  <si>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</si>
  <si>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</si>
  <si>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</si>
  <si>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</si>
  <si>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</si>
  <si>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</si>
  <si>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</si>
  <si>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</si>
  <si>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</si>
  <si>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</si>
  <si>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</si>
  <si>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</si>
  <si>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</si>
  <si>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</si>
  <si>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</si>
  <si>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</si>
  <si>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</si>
  <si>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</si>
  <si>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</si>
  <si>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</si>
  <si>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</si>
  <si>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</si>
  <si>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</si>
  <si>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</si>
  <si>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</si>
  <si>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</si>
  <si>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</si>
  <si>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</si>
  <si>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</si>
  <si>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</si>
  <si>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</si>
  <si>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</si>
  <si>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</si>
  <si>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</si>
  <si>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</si>
  <si>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</si>
  <si>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</si>
  <si>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</si>
  <si>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</si>
  <si>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</si>
  <si>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</si>
  <si>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</si>
  <si>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</si>
  <si>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</si>
  <si>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</si>
  <si>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</si>
  <si>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</si>
  <si>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</si>
  <si>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</si>
  <si>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</si>
  <si>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</si>
  <si>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</si>
  <si>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</si>
  <si>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</si>
  <si>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</si>
  <si>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</si>
  <si>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</si>
  <si>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</si>
  <si>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</si>
  <si>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</si>
  <si>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</si>
  <si>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</si>
  <si>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</si>
  <si>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</si>
  <si>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</si>
  <si>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</si>
  <si>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</si>
  <si>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</si>
  <si>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</si>
  <si>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</si>
  <si>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</si>
  <si>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</si>
  <si>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</si>
  <si>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</si>
  <si>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</si>
  <si>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</si>
  <si>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</si>
  <si>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</si>
  <si>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</si>
  <si>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</si>
  <si>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</si>
  <si>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</si>
  <si>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</si>
  <si>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</si>
  <si>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</si>
  <si>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</si>
  <si>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</si>
  <si>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</si>
  <si>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</si>
  <si>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</si>
  <si>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</si>
  <si>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</si>
  <si>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</si>
  <si>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</si>
  <si>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</si>
  <si>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</si>
  <si>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</si>
  <si>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</si>
  <si>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</si>
  <si>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</si>
  <si>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</si>
  <si>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</si>
  <si>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</si>
  <si>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</si>
  <si>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</si>
  <si>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</si>
  <si>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</si>
  <si>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</si>
  <si>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</si>
  <si>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</si>
  <si>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</si>
  <si>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</si>
  <si>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</si>
  <si>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</si>
  <si>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</si>
  <si>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</si>
  <si>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</si>
  <si>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</si>
  <si>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</si>
  <si>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</si>
  <si>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</si>
  <si>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</si>
  <si>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</si>
  <si>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</si>
  <si>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</si>
  <si>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</si>
  <si>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</si>
  <si>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</si>
  <si>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</si>
  <si>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</si>
  <si>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</si>
  <si>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</si>
  <si>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</si>
  <si>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</si>
  <si>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</si>
  <si>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</si>
  <si>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</si>
  <si>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</si>
  <si>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</si>
  <si>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</si>
  <si>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</si>
  <si>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</si>
  <si>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</si>
  <si>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</si>
  <si>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</si>
  <si>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</si>
  <si>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</si>
  <si>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</si>
  <si>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</si>
  <si>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</si>
  <si>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</si>
  <si>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</si>
  <si>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</si>
  <si>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</si>
  <si>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</si>
  <si>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</si>
  <si>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</si>
  <si>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</si>
  <si>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</si>
  <si>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</si>
  <si>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</si>
  <si>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</si>
  <si>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</si>
  <si>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</si>
  <si>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</si>
  <si>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</si>
  <si>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</si>
  <si>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</si>
  <si>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</si>
  <si>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</si>
  <si>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</si>
  <si>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</si>
  <si>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</si>
  <si>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</si>
  <si>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</si>
  <si>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</si>
  <si>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</si>
  <si>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</si>
  <si>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</si>
  <si>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</si>
  <si>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</si>
  <si>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</si>
  <si>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</si>
  <si>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</si>
  <si>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</si>
  <si>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</si>
  <si>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</si>
  <si>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</si>
  <si>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</si>
  <si>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</si>
  <si>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</si>
  <si>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</si>
  <si>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</si>
  <si>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</si>
  <si>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</si>
  <si>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</si>
  <si>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</si>
  <si>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</si>
  <si>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</si>
  <si>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</si>
  <si>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</si>
  <si>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</si>
  <si>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</si>
  <si>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</si>
  <si>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</si>
  <si>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</si>
  <si>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</si>
  <si>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</si>
  <si>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</si>
  <si>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</si>
  <si>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</si>
  <si>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</si>
  <si>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</si>
  <si>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</si>
  <si>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</si>
  <si>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</si>
  <si>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</si>
  <si>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</si>
  <si>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</si>
  <si>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</si>
  <si>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</si>
  <si>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</si>
  <si>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</si>
  <si>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</si>
  <si>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</si>
  <si>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</si>
  <si>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</si>
  <si>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</si>
  <si>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</si>
  <si>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</si>
  <si>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</si>
  <si>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</si>
  <si>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</si>
  <si>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</si>
  <si>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</si>
  <si>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</si>
  <si>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</si>
  <si>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</si>
  <si>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</si>
  <si>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</si>
  <si>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</si>
  <si>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</si>
  <si>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</si>
  <si>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</si>
  <si>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</si>
  <si>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</si>
  <si>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</si>
  <si>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</si>
  <si>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</si>
  <si>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</si>
  <si>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</si>
  <si>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</si>
  <si>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</si>
  <si>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</si>
  <si>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</si>
  <si>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</si>
  <si>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</si>
  <si>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</si>
  <si>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</si>
  <si>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</si>
  <si>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</si>
  <si>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</si>
  <si>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</si>
  <si>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</si>
  <si>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</si>
  <si>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</si>
  <si>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</si>
  <si>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</si>
  <si>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</si>
  <si>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</si>
  <si>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</si>
  <si>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</si>
  <si>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</si>
  <si>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</si>
  <si>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</si>
  <si>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</si>
  <si>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</si>
  <si>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</si>
  <si>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</si>
  <si>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</si>
  <si>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</si>
  <si>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</si>
  <si>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</si>
  <si>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</si>
  <si>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</si>
  <si>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</si>
  <si>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</si>
  <si>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</si>
  <si>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</si>
  <si>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</si>
  <si>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</si>
  <si>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</si>
  <si>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</si>
  <si>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</si>
  <si>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</si>
  <si>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</si>
  <si>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</si>
  <si>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</si>
  <si>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</si>
  <si>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</si>
  <si>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</si>
  <si>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</si>
  <si>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</si>
  <si>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</si>
  <si>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</si>
  <si>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</si>
  <si>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</si>
  <si>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</si>
  <si>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</si>
  <si>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</si>
  <si>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</si>
  <si>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</si>
  <si>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</si>
  <si>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</si>
  <si>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</si>
  <si>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</si>
  <si>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</si>
  <si>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</si>
  <si>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</si>
  <si>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</si>
  <si>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</si>
  <si>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</si>
  <si>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</si>
  <si>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</si>
  <si>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</si>
  <si>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</si>
  <si>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</si>
  <si>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</si>
  <si>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</si>
  <si>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</si>
  <si>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</si>
  <si>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</si>
  <si>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</si>
  <si>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</si>
  <si>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</si>
  <si>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</si>
  <si>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</si>
  <si>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</si>
  <si>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</si>
  <si>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</si>
  <si>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</si>
  <si>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</si>
  <si>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</si>
  <si>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</si>
  <si>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</si>
  <si>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</si>
  <si>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</si>
  <si>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</si>
  <si>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</si>
  <si>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</si>
  <si>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</si>
  <si>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</si>
  <si>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</si>
  <si>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</si>
  <si>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</si>
  <si>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</si>
  <si>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</si>
  <si>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</si>
  <si>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</si>
  <si>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</si>
  <si>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</si>
  <si>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</si>
  <si>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</si>
  <si>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</si>
  <si>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</si>
  <si>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</si>
  <si>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</si>
  <si>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</si>
  <si>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</si>
  <si>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</si>
  <si>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</si>
  <si>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</si>
  <si>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</si>
  <si>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</si>
  <si>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</si>
  <si>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</si>
  <si>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</si>
  <si>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</si>
  <si>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</si>
  <si>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</si>
  <si>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</si>
  <si>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</si>
  <si>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</si>
  <si>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</si>
  <si>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</si>
  <si>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</si>
  <si>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</si>
  <si>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</si>
  <si>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</si>
  <si>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</si>
  <si>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</si>
  <si>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</si>
  <si>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</si>
  <si>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</si>
  <si>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</si>
  <si>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</si>
  <si>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</si>
  <si>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</si>
  <si>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</si>
  <si>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</si>
  <si>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</si>
  <si>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</si>
  <si>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</si>
  <si>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</si>
  <si>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</si>
  <si>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</si>
  <si>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</si>
  <si>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</si>
  <si>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</si>
  <si>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</si>
  <si>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</si>
  <si>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</si>
  <si>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</si>
  <si>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</si>
  <si>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</si>
  <si>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</si>
  <si>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</si>
  <si>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</si>
  <si>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</si>
  <si>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</si>
  <si>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</si>
  <si>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</si>
  <si>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</si>
  <si>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</si>
  <si>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</si>
  <si>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</si>
  <si>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</si>
  <si>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</si>
  <si>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</si>
  <si>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</si>
  <si>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</si>
  <si>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</si>
  <si>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</si>
  <si>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</si>
  <si>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</si>
  <si>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</si>
  <si>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</si>
  <si>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</si>
  <si>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</si>
  <si>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</si>
  <si>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</si>
  <si>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</si>
  <si>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</si>
  <si>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</si>
  <si>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</si>
  <si>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</si>
  <si>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</si>
  <si>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</si>
  <si>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</si>
  <si>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</si>
  <si>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</si>
  <si>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</si>
  <si>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</si>
  <si>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</si>
  <si>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</si>
  <si>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</si>
  <si>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</si>
  <si>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</si>
  <si>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</si>
  <si>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</si>
  <si>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</si>
  <si>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</si>
  <si>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</si>
  <si>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</si>
  <si>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</si>
  <si>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</si>
  <si>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</si>
  <si>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</si>
  <si>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</si>
  <si>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</si>
  <si>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</si>
  <si>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</si>
  <si>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</si>
  <si>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</si>
  <si>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</si>
  <si>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</si>
  <si>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</si>
  <si>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</si>
  <si>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</si>
  <si>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</si>
  <si>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</si>
  <si>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</si>
  <si>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</si>
  <si>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</si>
  <si>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</si>
  <si>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</si>
  <si>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</si>
  <si>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</si>
  <si>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</si>
  <si>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</si>
  <si>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</si>
  <si>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</si>
  <si>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</si>
  <si>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</si>
  <si>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</si>
  <si>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</si>
  <si>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</si>
  <si>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</si>
  <si>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</si>
  <si>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</si>
  <si>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</si>
  <si>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</si>
  <si>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</si>
  <si>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</si>
  <si>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</si>
  <si>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</si>
  <si>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</si>
  <si>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</si>
  <si>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</si>
  <si>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</si>
  <si>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</si>
  <si>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</si>
  <si>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</si>
  <si>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</si>
  <si>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</si>
  <si>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</si>
  <si>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</si>
  <si>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</si>
  <si>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</si>
  <si>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</si>
  <si>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</si>
  <si>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</si>
  <si>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</si>
  <si>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</si>
  <si>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</si>
  <si>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</si>
  <si>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</si>
  <si>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</si>
  <si>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</si>
  <si>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</si>
  <si>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</si>
  <si>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</si>
  <si>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</si>
  <si>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</si>
  <si>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</si>
  <si>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</si>
  <si>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</si>
  <si>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</si>
  <si>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</si>
  <si>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</si>
  <si>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</si>
  <si>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</si>
  <si>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</si>
  <si>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</si>
  <si>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</si>
  <si>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</si>
  <si>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</si>
  <si>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</si>
  <si>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</si>
  <si>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</si>
  <si>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</si>
  <si>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</si>
  <si>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</si>
  <si>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</si>
  <si>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</si>
  <si>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</si>
  <si>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</si>
  <si>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</si>
  <si>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</si>
  <si>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</si>
  <si>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</si>
  <si>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</si>
  <si>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</si>
  <si>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</si>
  <si>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</si>
  <si>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</si>
  <si>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</si>
  <si>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</si>
  <si>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</si>
  <si>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</si>
  <si>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</si>
  <si>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</si>
  <si>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</si>
  <si>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</si>
  <si>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</si>
  <si>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</si>
  <si>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</si>
  <si>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</si>
  <si>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</si>
  <si>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</si>
  <si>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</si>
  <si>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</si>
  <si>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</si>
  <si>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</si>
  <si>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</si>
  <si>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</si>
  <si>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</si>
  <si>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</si>
  <si>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</si>
  <si>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</si>
  <si>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</si>
  <si>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</si>
  <si>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</si>
  <si>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</si>
  <si>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</si>
  <si>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</si>
  <si>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</si>
  <si>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</si>
  <si>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</si>
  <si>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</si>
  <si>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</si>
  <si>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</si>
  <si>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</si>
  <si>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</si>
  <si>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</si>
  <si>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</si>
  <si>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</si>
  <si>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</si>
  <si>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</si>
  <si>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</si>
  <si>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</si>
  <si>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</si>
  <si>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</si>
  <si>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</si>
  <si>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</si>
  <si>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</si>
  <si>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</si>
  <si>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</si>
  <si>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</si>
  <si>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</si>
  <si>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</si>
  <si>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</si>
  <si>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</si>
  <si>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</si>
  <si>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</si>
  <si>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</si>
  <si>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</si>
  <si>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</si>
  <si>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</si>
  <si>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</si>
  <si>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</si>
  <si>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</si>
  <si>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</si>
  <si>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</si>
  <si>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</si>
  <si>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</si>
  <si>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</si>
  <si>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</si>
  <si>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</si>
  <si>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</si>
  <si>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</si>
  <si>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</si>
  <si>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</si>
  <si>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</si>
  <si>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</si>
  <si>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</si>
  <si>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</si>
  <si>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</si>
  <si>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</si>
  <si>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</si>
  <si>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</si>
  <si>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</si>
  <si>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</si>
  <si>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</si>
  <si>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</si>
  <si>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</si>
  <si>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</si>
  <si>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</si>
  <si>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</si>
  <si>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</si>
  <si>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</si>
  <si>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</si>
  <si>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</si>
  <si>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</si>
  <si>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</si>
  <si>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</si>
  <si>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</si>
  <si>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</si>
  <si>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</si>
  <si>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</si>
  <si>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</si>
  <si>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</si>
  <si>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</si>
  <si>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</si>
  <si>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</si>
  <si>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</si>
  <si>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</si>
  <si>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</si>
  <si>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</si>
  <si>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</si>
  <si>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</si>
  <si>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</si>
  <si>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</si>
  <si>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</si>
  <si>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</si>
  <si>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</si>
  <si>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</si>
  <si>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</si>
  <si>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</si>
  <si>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</si>
  <si>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</si>
  <si>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</si>
  <si>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</si>
  <si>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</si>
  <si>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</si>
  <si>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</si>
  <si>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</si>
  <si>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</si>
  <si>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</si>
  <si>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</si>
  <si>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</si>
  <si>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</si>
  <si>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</si>
  <si>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</si>
  <si>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</si>
  <si>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</si>
  <si>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</si>
  <si>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</si>
  <si>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</si>
  <si>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</si>
  <si>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</si>
  <si>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</si>
  <si>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</si>
  <si>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</si>
  <si>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</si>
  <si>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</si>
  <si>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</si>
  <si>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</si>
  <si>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</si>
  <si>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</si>
  <si>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</si>
  <si>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</si>
  <si>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</si>
  <si>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</si>
  <si>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</si>
  <si>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</si>
  <si>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</si>
  <si>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</si>
  <si>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</si>
  <si>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</si>
  <si>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</si>
  <si>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</si>
  <si>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</si>
  <si>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</si>
  <si>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</si>
  <si>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</si>
  <si>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</si>
  <si>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</si>
  <si>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</si>
  <si>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</si>
  <si>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</si>
  <si>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</si>
  <si>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</si>
  <si>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</si>
  <si>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</si>
  <si>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</si>
  <si>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</si>
  <si>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</si>
  <si>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</si>
  <si>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</si>
  <si>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</si>
  <si>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</si>
  <si>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</si>
  <si>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</si>
  <si>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</si>
  <si>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</si>
  <si>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</si>
  <si>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</si>
  <si>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</si>
  <si>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</si>
  <si>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</si>
  <si>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</si>
  <si>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</si>
  <si>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</si>
  <si>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</si>
  <si>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</si>
  <si>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</si>
  <si>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</si>
  <si>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</si>
  <si>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</si>
  <si>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</si>
  <si>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</si>
  <si>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</si>
  <si>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</si>
  <si>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</si>
  <si>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</si>
  <si>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</si>
  <si>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</si>
  <si>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</si>
  <si>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</si>
  <si>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</si>
  <si>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</si>
  <si>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</si>
  <si>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</si>
  <si>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</si>
  <si>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</si>
  <si>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</si>
  <si>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</si>
  <si>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</si>
  <si>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</si>
  <si>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</si>
  <si>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</si>
  <si>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</si>
  <si>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</si>
  <si>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</si>
  <si>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</si>
  <si>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</si>
  <si>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</si>
  <si>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</si>
  <si>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</si>
  <si>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</si>
  <si>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</si>
  <si>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</si>
  <si>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</si>
  <si>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</si>
  <si>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</si>
  <si>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</si>
  <si>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</si>
  <si>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</si>
  <si>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</si>
  <si>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</si>
  <si>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</si>
  <si>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</si>
  <si>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</si>
  <si>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</si>
  <si>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</si>
  <si>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</si>
  <si>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</si>
  <si>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</si>
  <si>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</si>
  <si>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</si>
  <si>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</si>
  <si>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</si>
  <si>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</si>
  <si>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</si>
  <si>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</si>
  <si>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</si>
  <si>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</si>
  <si>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</si>
  <si>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</si>
  <si>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</si>
  <si>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</si>
  <si>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</si>
  <si>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</si>
  <si>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</si>
  <si>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</si>
  <si>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</si>
  <si>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</si>
  <si>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</si>
  <si>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</si>
  <si>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</si>
  <si>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</si>
  <si>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</si>
  <si>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</si>
  <si>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</si>
  <si>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</si>
  <si>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</si>
  <si>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</si>
  <si>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</si>
  <si>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</si>
  <si>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</si>
  <si>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</si>
  <si>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</si>
  <si>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</si>
  <si>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</si>
  <si>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</si>
  <si>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</si>
  <si>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</si>
  <si>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</si>
  <si>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</si>
  <si>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</si>
  <si>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</si>
  <si>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</si>
  <si>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</si>
  <si>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</si>
  <si>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</si>
  <si>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</si>
  <si>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</si>
  <si>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</si>
  <si>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</si>
  <si>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</si>
  <si>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</si>
  <si>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</si>
  <si>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</si>
  <si>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</si>
  <si>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</si>
  <si>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</si>
  <si>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</si>
  <si>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</si>
  <si>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</si>
  <si>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</si>
  <si>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</si>
  <si>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</si>
  <si>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</si>
  <si>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</si>
  <si>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</si>
  <si>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</si>
  <si>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</si>
  <si>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</si>
  <si>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</si>
  <si>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</si>
  <si>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</si>
  <si>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</si>
  <si>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</si>
  <si>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</si>
  <si>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</si>
  <si>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</si>
  <si>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</si>
  <si>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</si>
  <si>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</si>
  <si>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</si>
  <si>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</si>
  <si>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</si>
  <si>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</si>
  <si>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</si>
  <si>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</si>
  <si>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</si>
  <si>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</si>
  <si>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</si>
  <si>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</si>
  <si>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</si>
  <si>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</si>
  <si>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</si>
  <si>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</si>
  <si>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</si>
  <si>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</si>
  <si>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</si>
  <si>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</si>
  <si>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</si>
  <si>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</si>
  <si>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</si>
  <si>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</si>
  <si>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</si>
  <si>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</si>
  <si>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</si>
  <si>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</si>
  <si>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</si>
  <si>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</si>
  <si>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</si>
  <si>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</si>
  <si>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</si>
  <si>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</si>
  <si>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</si>
  <si>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</si>
  <si>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</si>
  <si>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</si>
  <si>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</si>
  <si>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</si>
  <si>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</si>
  <si>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</si>
  <si>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</si>
  <si>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</si>
  <si>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</si>
  <si>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</si>
  <si>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</si>
  <si>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</si>
  <si>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</si>
  <si>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</si>
  <si>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</si>
  <si>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</si>
  <si>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</si>
  <si>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</si>
  <si>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</si>
  <si>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</si>
  <si>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</si>
  <si>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</si>
  <si>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</si>
  <si>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</si>
  <si>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</si>
  <si>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</si>
  <si>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</si>
  <si>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</si>
  <si>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</si>
  <si>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</si>
  <si>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</si>
  <si>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</si>
  <si>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</si>
  <si>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</si>
  <si>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</si>
  <si>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</si>
  <si>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</si>
  <si>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</si>
  <si>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</si>
  <si>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</si>
  <si>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</si>
  <si>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</si>
  <si>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</si>
  <si>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</si>
  <si>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</si>
  <si>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</si>
  <si>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</si>
  <si>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</si>
  <si>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</si>
  <si>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</si>
  <si>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</si>
  <si>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</si>
  <si>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</si>
  <si>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</si>
  <si>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</si>
  <si>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</si>
  <si>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</si>
  <si>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</si>
  <si>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</si>
  <si>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</si>
  <si>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</si>
  <si>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</si>
  <si>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</si>
  <si>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</si>
  <si>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</si>
  <si>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</si>
  <si>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</si>
  <si>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</si>
  <si>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</si>
  <si>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</si>
  <si>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</si>
  <si>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</si>
  <si>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</si>
  <si>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</si>
  <si>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</si>
  <si>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</si>
  <si>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</si>
  <si>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</si>
  <si>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</si>
  <si>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</si>
  <si>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</si>
  <si>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</si>
  <si>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</si>
  <si>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</si>
  <si>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</si>
  <si>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</si>
  <si>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</si>
  <si>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</si>
  <si>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</si>
  <si>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</si>
  <si>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</si>
  <si>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</si>
  <si>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</si>
  <si>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</si>
  <si>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</si>
  <si>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</si>
  <si>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</si>
  <si>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</si>
  <si>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</si>
  <si>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</si>
  <si>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</si>
  <si>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</si>
  <si>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</si>
  <si>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</si>
  <si>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</si>
  <si>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</si>
  <si>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</si>
  <si>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</si>
  <si>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</si>
  <si>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</si>
  <si>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</si>
  <si>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</si>
  <si>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</si>
  <si>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</si>
  <si>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</si>
  <si>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</si>
  <si>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</si>
  <si>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</si>
  <si>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</si>
  <si>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</si>
  <si>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</si>
  <si>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</si>
  <si>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</si>
  <si>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</si>
  <si>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</si>
  <si>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</si>
  <si>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</si>
  <si>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</si>
  <si>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</si>
  <si>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</si>
  <si>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</si>
  <si>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</si>
  <si>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</si>
  <si>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</si>
  <si>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</si>
  <si>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</si>
  <si>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</si>
  <si>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</si>
  <si>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</si>
  <si>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</si>
  <si>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</si>
  <si>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</si>
  <si>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</si>
  <si>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</si>
  <si>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</si>
  <si>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</si>
  <si>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</si>
  <si>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</si>
  <si>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</si>
  <si>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</si>
  <si>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</si>
  <si>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</si>
  <si>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</si>
  <si>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</si>
  <si>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</si>
  <si>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</si>
  <si>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</si>
  <si>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</si>
  <si>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</si>
  <si>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</si>
  <si>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</si>
  <si>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</si>
  <si>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</si>
  <si>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</si>
  <si>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</si>
  <si>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</si>
  <si>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</si>
  <si>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</si>
  <si>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</si>
  <si>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</si>
  <si>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</si>
  <si>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</si>
  <si>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</si>
  <si>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</si>
  <si>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</si>
  <si>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</si>
  <si>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</si>
  <si>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</si>
  <si>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</si>
  <si>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</si>
  <si>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</si>
  <si>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</si>
  <si>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</si>
  <si>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</si>
  <si>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</si>
  <si>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</si>
  <si>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</si>
  <si>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</si>
  <si>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</si>
  <si>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</si>
  <si>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</si>
  <si>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</si>
  <si>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</si>
  <si>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</si>
  <si>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</si>
  <si>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</si>
  <si>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</si>
  <si>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</si>
  <si>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</si>
  <si>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</si>
  <si>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</si>
  <si>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</si>
  <si>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</si>
  <si>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</si>
  <si>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</si>
  <si>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</si>
  <si>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</si>
  <si>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</si>
  <si>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</si>
  <si>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</si>
  <si>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</si>
  <si>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</si>
  <si>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</si>
  <si>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</si>
  <si>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</si>
  <si>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</si>
  <si>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</si>
  <si>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</si>
  <si>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</si>
  <si>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</si>
  <si>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</si>
  <si>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</si>
  <si>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</si>
  <si>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</si>
  <si>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</si>
  <si>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</si>
  <si>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</si>
  <si>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</si>
  <si>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</si>
  <si>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</si>
  <si>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</si>
  <si>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</si>
  <si>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</si>
  <si>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</si>
  <si>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</si>
  <si>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</si>
  <si>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</si>
  <si>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</si>
  <si>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</si>
  <si>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</si>
  <si>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</si>
  <si>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</si>
  <si>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</si>
  <si>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</si>
  <si>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</si>
  <si>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</si>
  <si>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</si>
  <si>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</si>
  <si>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</si>
  <si>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</si>
  <si>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</si>
  <si>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</si>
  <si>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</si>
  <si>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</si>
  <si>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</si>
  <si>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</si>
  <si>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</si>
  <si>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</si>
  <si>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</si>
  <si>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</si>
  <si>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</si>
  <si>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</si>
  <si>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</si>
  <si>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</si>
  <si>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</si>
  <si>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</si>
  <si>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</si>
  <si>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</si>
  <si>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</si>
  <si>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</si>
  <si>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</si>
  <si>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</si>
  <si>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</si>
  <si>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</si>
  <si>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</si>
  <si>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</si>
  <si>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</si>
  <si>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</si>
  <si>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</si>
  <si>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</si>
  <si>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</si>
  <si>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</si>
  <si>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</si>
  <si>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</si>
  <si>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</si>
  <si>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</si>
  <si>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</si>
  <si>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</si>
  <si>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</si>
  <si>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</si>
  <si>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</si>
  <si>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</si>
  <si>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</si>
  <si>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</si>
  <si>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</si>
  <si>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</si>
  <si>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</si>
  <si>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</si>
  <si>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</si>
  <si>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</si>
  <si>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</si>
  <si>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</si>
  <si>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</si>
  <si>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</si>
  <si>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</si>
  <si>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</si>
  <si>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</si>
  <si>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</si>
  <si>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</si>
  <si>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</si>
  <si>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</si>
  <si>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</si>
  <si>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</si>
  <si>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</si>
  <si>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</si>
  <si>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</si>
  <si>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</si>
  <si>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</si>
  <si>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</si>
  <si>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</si>
  <si>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</si>
  <si>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</si>
  <si>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</si>
  <si>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</si>
  <si>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</si>
  <si>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</si>
  <si>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</si>
  <si>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</si>
  <si>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</si>
  <si>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</si>
  <si>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</si>
  <si>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</si>
  <si>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</si>
  <si>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</si>
  <si>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</si>
  <si>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</si>
  <si>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</si>
  <si>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</si>
  <si>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</si>
  <si>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</si>
  <si>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</si>
  <si>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</si>
  <si>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</si>
  <si>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</si>
  <si>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</si>
  <si>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</si>
  <si>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</si>
  <si>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</si>
  <si>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</si>
  <si>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</si>
  <si>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</si>
  <si>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</si>
  <si>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</si>
  <si>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</si>
  <si>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</si>
  <si>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</si>
  <si>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</si>
  <si>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</si>
  <si>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</si>
  <si>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</si>
  <si>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</si>
  <si>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</si>
  <si>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</si>
  <si>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</si>
  <si>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</si>
  <si>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</si>
  <si>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</si>
  <si>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</si>
  <si>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</si>
  <si>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</si>
  <si>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</si>
  <si>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</si>
  <si>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</si>
  <si>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</si>
  <si>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</si>
  <si>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</si>
  <si>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</si>
  <si>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</si>
  <si>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</si>
  <si>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</si>
  <si>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</si>
  <si>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</si>
  <si>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</si>
  <si>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</si>
  <si>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</si>
  <si>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</si>
  <si>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</si>
  <si>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</si>
  <si>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</si>
  <si>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</si>
  <si>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</si>
  <si>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</si>
  <si>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</si>
  <si>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</si>
  <si>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</si>
  <si>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</si>
  <si>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</si>
  <si>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</si>
  <si>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</si>
  <si>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</si>
  <si>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</si>
  <si>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</si>
  <si>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</si>
  <si>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</si>
  <si>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</si>
  <si>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</si>
  <si>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</si>
  <si>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</si>
  <si>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</si>
  <si>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</si>
  <si>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</si>
  <si>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</si>
  <si>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</si>
  <si>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</si>
  <si>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</si>
  <si>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</si>
  <si>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</si>
  <si>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</si>
  <si>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</si>
  <si>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</si>
  <si>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</si>
  <si>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</si>
  <si>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</si>
  <si>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</si>
  <si>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</si>
  <si>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</si>
  <si>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</si>
  <si>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</si>
  <si>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</si>
  <si>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</si>
  <si>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</si>
  <si>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</si>
  <si>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</si>
  <si>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</si>
  <si>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</si>
  <si>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</si>
  <si>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</si>
  <si>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</si>
  <si>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</si>
  <si>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</si>
  <si>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</si>
  <si>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</si>
  <si>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</si>
  <si>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</si>
  <si>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</si>
  <si>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</si>
  <si>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</si>
  <si>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</si>
  <si>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</si>
  <si>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</si>
  <si>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</si>
  <si>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</si>
  <si>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</si>
  <si>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</si>
  <si>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</si>
  <si>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</si>
  <si>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</si>
  <si>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</si>
  <si>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</si>
  <si>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</si>
  <si>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</si>
  <si>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</si>
  <si>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</si>
  <si>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</si>
  <si>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</si>
  <si>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</si>
  <si>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</si>
  <si>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</si>
  <si>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</si>
  <si>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</si>
  <si>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</si>
  <si>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</si>
  <si>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</si>
  <si>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</si>
  <si>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</si>
  <si>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</si>
  <si>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</si>
  <si>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</si>
  <si>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</si>
  <si>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</si>
  <si>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</si>
  <si>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</si>
  <si>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</si>
  <si>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</si>
  <si>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</si>
  <si>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</si>
  <si>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</si>
  <si>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</si>
  <si>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</si>
  <si>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</si>
  <si>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</si>
  <si>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</si>
  <si>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</si>
  <si>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</si>
  <si>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</si>
  <si>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</si>
  <si>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</si>
  <si>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</si>
  <si>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</si>
  <si>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</si>
  <si>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</si>
  <si>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</si>
  <si>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</si>
  <si>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</si>
  <si>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</si>
  <si>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</si>
  <si>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</si>
  <si>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</si>
  <si>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</si>
  <si>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</si>
  <si>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</si>
  <si>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</si>
  <si>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</si>
  <si>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</si>
  <si>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</si>
  <si>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</si>
  <si>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</si>
  <si>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</si>
  <si>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</si>
  <si>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</si>
  <si>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</si>
  <si>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</si>
  <si>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</si>
  <si>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</si>
  <si>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</si>
  <si>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</si>
  <si>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</si>
  <si>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</si>
  <si>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</si>
  <si>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</si>
  <si>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</si>
  <si>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</si>
  <si>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</si>
  <si>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</si>
  <si>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</si>
  <si>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</si>
  <si>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</si>
  <si>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</si>
  <si>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</si>
  <si>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</si>
  <si>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</si>
  <si>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</si>
  <si>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</si>
  <si>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</si>
  <si>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</si>
  <si>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</si>
  <si>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</si>
  <si>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</si>
  <si>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</si>
  <si>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</si>
  <si>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</si>
  <si>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</si>
  <si>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</si>
  <si>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</si>
  <si>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</si>
  <si>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</si>
  <si>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</si>
  <si>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</si>
  <si>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</si>
  <si>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</si>
  <si>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</si>
  <si>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</si>
  <si>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</si>
  <si>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</si>
  <si>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</si>
  <si>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</si>
  <si>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</si>
  <si>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</si>
  <si>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</si>
  <si>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</si>
  <si>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</si>
  <si>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</si>
  <si>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</si>
  <si>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</si>
  <si>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</si>
  <si>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</si>
  <si>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</si>
  <si>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</si>
  <si>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</si>
  <si>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</si>
  <si>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</si>
  <si>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</si>
  <si>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</si>
  <si>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</si>
  <si>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</si>
  <si>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</si>
  <si>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</si>
  <si>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</si>
  <si>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</si>
  <si>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</si>
  <si>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</si>
  <si>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</si>
  <si>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</si>
  <si>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</si>
  <si>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</si>
  <si>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</si>
  <si>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</si>
  <si>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</si>
  <si>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</si>
  <si>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</si>
  <si>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</si>
  <si>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</si>
  <si>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</si>
  <si>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</si>
  <si>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</si>
  <si>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</si>
  <si>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</si>
  <si>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</si>
  <si>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</si>
  <si>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</si>
  <si>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</si>
  <si>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</si>
  <si>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</si>
  <si>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</si>
  <si>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</si>
  <si>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</si>
  <si>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</si>
  <si>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</si>
  <si>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</si>
  <si>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</si>
  <si>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</si>
  <si>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</si>
  <si>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</si>
  <si>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</si>
  <si>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</si>
  <si>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</si>
  <si>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</si>
  <si>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</si>
  <si>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</si>
  <si>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</si>
  <si>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</si>
  <si>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</si>
  <si>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</si>
  <si>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</si>
  <si>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</si>
  <si>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</si>
  <si>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</si>
  <si>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</si>
  <si>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</si>
  <si>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</si>
  <si>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</si>
  <si>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</si>
  <si>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</si>
  <si>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</si>
  <si>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</si>
  <si>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</si>
  <si>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</si>
  <si>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</si>
  <si>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</si>
  <si>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</si>
  <si>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</si>
  <si>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</si>
  <si>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</si>
  <si>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</si>
  <si>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</si>
  <si>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</si>
  <si>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</si>
  <si>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</si>
  <si>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</si>
  <si>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</si>
  <si>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</si>
  <si>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</si>
  <si>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</si>
  <si>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</si>
  <si>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</si>
  <si>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</si>
  <si>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</si>
  <si>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</si>
  <si>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</si>
  <si>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</si>
  <si>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</si>
  <si>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</si>
  <si>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</si>
  <si>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</si>
  <si>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</si>
  <si>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</si>
  <si>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</si>
  <si>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</si>
  <si>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</si>
  <si>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</si>
  <si>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</si>
  <si>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</si>
  <si>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</si>
  <si>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</si>
  <si>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</si>
  <si>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</si>
  <si>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</si>
  <si>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</si>
  <si>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</si>
  <si>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</si>
  <si>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</si>
  <si>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</si>
  <si>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</si>
  <si>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</si>
  <si>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</si>
  <si>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</si>
  <si>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</si>
  <si>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</si>
  <si>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</si>
  <si>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</si>
  <si>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</si>
  <si>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</si>
  <si>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</si>
  <si>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</si>
  <si>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</si>
  <si>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</si>
  <si>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</si>
  <si>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</si>
  <si>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</si>
  <si>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</si>
  <si>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</si>
  <si>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</si>
  <si>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</si>
  <si>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</si>
  <si>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</si>
  <si>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</si>
  <si>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</si>
  <si>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</si>
  <si>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</si>
  <si>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</si>
  <si>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</si>
  <si>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</si>
  <si>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</si>
  <si>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</si>
  <si>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</si>
  <si>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</si>
  <si>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</si>
  <si>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</si>
  <si>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</si>
  <si>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</si>
  <si>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</si>
  <si>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</si>
  <si>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</si>
  <si>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</si>
  <si>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</si>
  <si>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</si>
  <si>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</si>
  <si>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</si>
  <si>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</si>
  <si>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</si>
  <si>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</si>
  <si>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</si>
  <si>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</si>
  <si>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</si>
  <si>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</si>
  <si>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</si>
  <si>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</si>
  <si>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</si>
  <si>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</si>
  <si>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</si>
  <si>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</si>
  <si>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</si>
  <si>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</si>
  <si>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</si>
  <si>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</si>
  <si>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</si>
  <si>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</si>
  <si>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</si>
  <si>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</si>
  <si>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</si>
  <si>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</si>
  <si>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</si>
  <si>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</si>
  <si>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</si>
  <si>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</si>
  <si>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</si>
  <si>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</si>
  <si>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</si>
  <si>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</si>
  <si>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</si>
  <si>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</si>
  <si>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</si>
  <si>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</si>
  <si>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</si>
  <si>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</si>
  <si>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</si>
  <si>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</si>
  <si>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</si>
  <si>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</si>
  <si>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</si>
  <si>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</si>
  <si>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</si>
  <si>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</si>
  <si>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</si>
  <si>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</si>
  <si>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</si>
  <si>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</si>
  <si>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</si>
  <si>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</si>
  <si>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</si>
  <si>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</si>
  <si>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</si>
  <si>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</si>
  <si>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</si>
  <si>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</si>
  <si>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</si>
  <si>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</si>
  <si>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</si>
  <si>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</si>
  <si>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</si>
  <si>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</si>
  <si>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</si>
  <si>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</si>
  <si>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</si>
  <si>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</si>
  <si>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</si>
  <si>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</si>
  <si>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</si>
  <si>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</si>
  <si>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</si>
  <si>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</si>
  <si>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</si>
  <si>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</si>
  <si>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</si>
  <si>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</si>
  <si>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</si>
  <si>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</si>
  <si>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</si>
  <si>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</si>
  <si>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</si>
  <si>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</si>
  <si>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</si>
  <si>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</si>
  <si>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</si>
  <si>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</si>
  <si>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</si>
  <si>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</si>
  <si>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</si>
  <si>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</si>
  <si>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</si>
  <si>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</si>
  <si>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</si>
  <si>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</si>
  <si>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</si>
  <si>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</si>
  <si>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</si>
  <si>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</si>
  <si>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</si>
  <si>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</si>
  <si>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</si>
  <si>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</si>
  <si>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</si>
  <si>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</si>
  <si>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</si>
  <si>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</si>
  <si>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</si>
  <si>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</si>
  <si>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</si>
  <si>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</si>
  <si>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</si>
  <si>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</si>
  <si>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</si>
  <si>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</si>
  <si>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</si>
  <si>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</si>
  <si>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</si>
  <si>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</si>
  <si>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</si>
  <si>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</si>
  <si>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</si>
  <si>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</si>
  <si>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</si>
  <si>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</si>
  <si>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</si>
  <si>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</si>
  <si>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</si>
  <si>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</si>
  <si>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</si>
  <si>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</si>
  <si>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</si>
  <si>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</si>
  <si>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</si>
  <si>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</si>
  <si>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</si>
  <si>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</si>
  <si>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</si>
  <si>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</si>
  <si>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</si>
  <si>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</si>
  <si>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</si>
  <si>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</si>
  <si>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</si>
  <si>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</si>
  <si>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</si>
  <si>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</si>
  <si>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</si>
  <si>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</si>
  <si>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</si>
  <si>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</si>
  <si>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</si>
  <si>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</si>
  <si>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</si>
  <si>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</si>
  <si>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</si>
  <si>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</si>
  <si>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</si>
  <si>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</si>
  <si>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</si>
  <si>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</si>
  <si>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</si>
  <si>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</si>
  <si>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</si>
  <si>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</si>
  <si>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</si>
  <si>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</si>
  <si>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</si>
  <si>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</si>
  <si>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</si>
  <si>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</si>
  <si>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</si>
  <si>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</si>
  <si>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</si>
  <si>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</si>
  <si>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</si>
  <si>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</si>
  <si>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</si>
  <si>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</si>
  <si>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</si>
  <si>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</si>
  <si>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</si>
  <si>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</si>
  <si>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</si>
  <si>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</si>
  <si>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</si>
  <si>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</si>
  <si>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</si>
  <si>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</si>
  <si>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</si>
  <si>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</si>
  <si>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</si>
  <si>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</si>
  <si>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</si>
  <si>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</si>
  <si>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</si>
  <si>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</si>
  <si>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</si>
  <si>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</si>
  <si>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</si>
  <si>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</si>
  <si>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</si>
  <si>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</si>
  <si>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</si>
  <si>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</si>
  <si>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</si>
  <si>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</si>
  <si>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</si>
  <si>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</si>
  <si>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</si>
  <si>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</si>
  <si>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</si>
  <si>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</si>
  <si>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</si>
  <si>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</si>
  <si>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</si>
  <si>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</si>
  <si>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</si>
  <si>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</si>
  <si>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</si>
  <si>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</si>
  <si>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</si>
  <si>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</si>
  <si>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</si>
  <si>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</si>
  <si>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</si>
  <si>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</si>
  <si>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</si>
  <si>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</si>
  <si>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</si>
  <si>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</si>
  <si>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</si>
  <si>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</si>
  <si>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</si>
  <si>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</si>
  <si>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</si>
  <si>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</si>
  <si>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</si>
  <si>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</si>
  <si>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</si>
  <si>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</si>
  <si>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</si>
  <si>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</si>
  <si>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</si>
  <si>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</si>
  <si>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</si>
  <si>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</si>
  <si>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</si>
  <si>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</si>
  <si>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</si>
  <si>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</si>
  <si>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</si>
  <si>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</si>
  <si>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</si>
  <si>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</si>
  <si>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</si>
  <si>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</si>
  <si>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</si>
  <si>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</si>
  <si>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</si>
  <si>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</si>
  <si>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</si>
  <si>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</si>
  <si>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</si>
  <si>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</si>
  <si>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</si>
  <si>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</si>
  <si>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</si>
  <si>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</si>
  <si>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</si>
  <si>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</si>
  <si>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</si>
  <si>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</si>
  <si>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</si>
  <si>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</si>
  <si>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</si>
  <si>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</si>
  <si>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</si>
  <si>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</si>
  <si>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</si>
  <si>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</si>
  <si>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</si>
  <si>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</si>
  <si>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</si>
  <si>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</si>
  <si>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</si>
  <si>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</si>
  <si>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</si>
  <si>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</si>
  <si>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</si>
  <si>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</si>
  <si>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</si>
  <si>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</si>
  <si>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</si>
  <si>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</si>
  <si>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</si>
  <si>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</si>
  <si>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</si>
  <si>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</si>
  <si>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</si>
  <si>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</si>
  <si>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</si>
  <si>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</si>
  <si>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</si>
  <si>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</si>
  <si>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</si>
  <si>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</si>
  <si>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</si>
  <si>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</si>
  <si>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</si>
  <si>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</si>
  <si>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</si>
  <si>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</si>
  <si>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</si>
  <si>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</si>
  <si>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</si>
  <si>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</si>
  <si>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</si>
  <si>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</si>
  <si>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</si>
  <si>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</si>
  <si>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</si>
  <si>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</si>
  <si>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</si>
  <si>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</si>
  <si>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</si>
  <si>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</si>
  <si>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</si>
  <si>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</si>
  <si>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</si>
  <si>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</si>
  <si>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</si>
  <si>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</si>
  <si>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</si>
  <si>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</si>
  <si>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</si>
  <si>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</si>
  <si>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</si>
  <si>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</si>
  <si>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</si>
  <si>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</si>
  <si>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</si>
  <si>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</si>
  <si>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</si>
  <si>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</si>
  <si>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</si>
  <si>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</si>
  <si>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</si>
  <si>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</si>
  <si>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</si>
  <si>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</si>
  <si>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</si>
  <si>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</si>
  <si>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</si>
  <si>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</si>
  <si>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</si>
  <si>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</si>
  <si>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</si>
  <si>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</si>
  <si>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</si>
  <si>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</si>
  <si>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</si>
  <si>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</si>
  <si>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</si>
  <si>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</si>
  <si>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</si>
  <si>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</si>
  <si>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</si>
  <si>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</si>
  <si>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</si>
  <si>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</si>
  <si>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</si>
  <si>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</si>
  <si>
    <t>TSO001140852</t>
  </si>
  <si>
    <t>TSO001140851</t>
  </si>
  <si>
    <t>TSO001140871</t>
  </si>
  <si>
    <t>TSO001140866</t>
  </si>
  <si>
    <t>ООО НВ Тс228208-26 23.10.2026 Донецк 17408кг (Бакалюк)</t>
  </si>
  <si>
    <t>ООО НВ Тс228201-26 23.10.2026 Донецк(2) 104кг (Бакалюк)</t>
  </si>
  <si>
    <t>ООО НВ Тс228205-26 22.10.2026 Донецк 17820кг (Васильченко)</t>
  </si>
  <si>
    <t>ООО КСК ТРЕЙД Тс228204-26 22.10.2026 Крым 17745кг (Власов)</t>
  </si>
  <si>
    <t>ООО ЛП Тс228856-26 22.10.2026 Пушкарный 18105кг (Евсеев)</t>
  </si>
  <si>
    <t>ООО ЛП Тс228220-26 22.10.2026 Пушкарный 18085кг (Козимиренко)</t>
  </si>
  <si>
    <t>ООО НВ Тс228192-26 23.10.2026 Мелитополь 4879кг (Новожилов)</t>
  </si>
  <si>
    <t>ООО НВ Тс228200-26 23.10.2026 Бердянск 8681кг (Новожилов)</t>
  </si>
  <si>
    <t>ООО НВ Тс228203-26 23.10.2026 Мариуполь 4363кг (Новожилов)</t>
  </si>
  <si>
    <t>ООО НВ Тс228193-26 22.10.2026 Луганск 11985кг (Промзелев)</t>
  </si>
  <si>
    <t>ООО НВ Тс228194-26 22.10.2026 Горняк-Луганск 5650кг (Промзелев)</t>
  </si>
  <si>
    <t>ООО НВ ЮТс-05339-26 22.10.2026 Горняк-Донецк 12357кг (Соболев)</t>
  </si>
  <si>
    <t>ООО ЛП ЮТс-05308-26 22.10.2026 ПРС 9987кг (Чирков)</t>
  </si>
  <si>
    <t>ООО НВ Тс225036-26 22.10.2026 Донецк 4849кг (Чирков)</t>
  </si>
  <si>
    <t>ООО ЛП Тс228221-26 23.10.2026 Бычков 11366кг (Митин)</t>
  </si>
  <si>
    <t>ООО ЛП Тс228218-26 23.10.2026 Бычков(2) 2873кг (Митин)</t>
  </si>
  <si>
    <t>26,10,26</t>
  </si>
  <si>
    <t>27,10,26</t>
  </si>
  <si>
    <t>TSO001141496</t>
  </si>
  <si>
    <t>TSO001141499</t>
  </si>
  <si>
    <t>TSO001141507</t>
  </si>
  <si>
    <t>TSO001141537</t>
  </si>
  <si>
    <t>TSO001141547</t>
  </si>
  <si>
    <t>TSO001141572</t>
  </si>
  <si>
    <t>TSO001141615</t>
  </si>
  <si>
    <t>TSO001141667</t>
  </si>
  <si>
    <t>TSO001141671</t>
  </si>
  <si>
    <t>TSO001141676</t>
  </si>
  <si>
    <t>TSO001141680</t>
  </si>
  <si>
    <t>TSO001141681</t>
  </si>
  <si>
    <t>TSO001141686</t>
  </si>
  <si>
    <t>TSO001141714</t>
  </si>
  <si>
    <t>TSO001141576</t>
  </si>
  <si>
    <t>TSO001141577</t>
  </si>
  <si>
    <t>TSO001141581</t>
  </si>
  <si>
    <t>TSO001141584</t>
  </si>
  <si>
    <t>TSO001141585</t>
  </si>
  <si>
    <t>TSO001141596</t>
  </si>
  <si>
    <t>TSO001141614</t>
  </si>
  <si>
    <t>TSO001141618</t>
  </si>
  <si>
    <t>TSO001141619</t>
  </si>
  <si>
    <t>TSO001141623</t>
  </si>
  <si>
    <t>TSO001141626</t>
  </si>
  <si>
    <t>TSO001141631</t>
  </si>
  <si>
    <t>TSO001141772</t>
  </si>
  <si>
    <t>ООО ЛП Тс229770-26 24.10.2026 Обрыньба 4150кг (Агафонов)</t>
  </si>
  <si>
    <t>ООО ЛП Тс229778-26 24.10.2026 Кочевой 7778кг (Агафонов)</t>
  </si>
  <si>
    <t>ООО ЛП Тс229776-26 24.10.2026 Пушкарный(ВВ) 5427кг (Агафонов)</t>
  </si>
  <si>
    <t>ООО ЛП Тс228191-26 24.10.2026 ПРС 2549кг (Голубев)</t>
  </si>
  <si>
    <t>ООО НВ Тс227413-26 24.10.2026 Донецк 11239кг (Голубев)</t>
  </si>
  <si>
    <t>ООО НВ Тс227418-26 24.10.2026 Бутырин 4057кг (Голубев)</t>
  </si>
  <si>
    <t>ООО НВ Тс228757-26 25.10.2026 Донецк 17714кг (Грушецкий)</t>
  </si>
  <si>
    <t>25,10,29</t>
  </si>
  <si>
    <t>ООО КСК ТРЕЙД ЮТс-05320-26 23.10.2026 Крым 14388кг (Жуков)</t>
  </si>
  <si>
    <t>ООО НВ Тс228211-26 24.10.2026 Луганск 16971кг (Заратуйченко)</t>
  </si>
  <si>
    <t>ООО НВ Тс228202-26 24.10.2026 Луганск(2) 361кг (Заратуйченко)</t>
  </si>
  <si>
    <t>ООО КСК ТРЕЙД Тс228788-26 24.10.2026 Крым 17685кг (Исаков)</t>
  </si>
  <si>
    <t>ООО НВ Тс228197-26 24.10.2026 Луганск 17877кг (Левин)</t>
  </si>
  <si>
    <t>ООО КСК ТРЕЙД Тс228808-26 24.10.2026 Крым 17562кг (Мазур)</t>
  </si>
  <si>
    <t>ООО КСК ТРЕЙД Тс229502-26 25.10.2026 Крым 15773кг (Некрасов)</t>
  </si>
  <si>
    <t>ООО КСК ТРЕЙД Тс229521-26 25.10.2026 Николаенко 2537кг (Некрасов)</t>
  </si>
  <si>
    <t>ООО КСК ТРЕЙД Тс230168-26 25.10.2026 Крым 14771кг (Павленко)</t>
  </si>
  <si>
    <t>ООО КСК ТРЕЙД Тс228825-26 24.10.2026 Крым 17504кг (Петренко)</t>
  </si>
  <si>
    <t>ООО НВ Тс228756-26 25.10.2026 Луганск 17622кг (Хлыстов)</t>
  </si>
  <si>
    <t>ООО НВ Тс230574-26 25.10.2026 Луганск(2) 265кг (Хлыстов)</t>
  </si>
  <si>
    <t>ООО НВ Тс228198-26 23.10.2026 Мелитополь 9600кг (Швырев)</t>
  </si>
  <si>
    <t>ООО НВ Тс228199-26 23.10.2026 Бердянск 8127кг (Швырев)</t>
  </si>
  <si>
    <t>+</t>
  </si>
  <si>
    <t>урезан на 1,9т</t>
  </si>
  <si>
    <t>TSO001142285</t>
  </si>
  <si>
    <t>TSO001142329</t>
  </si>
  <si>
    <t>TSO001142330</t>
  </si>
  <si>
    <t>TSO001142340</t>
  </si>
  <si>
    <t>TSO001142348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</si>
</sst>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9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 wrapText="1"/>
    </xf>
    <xf numFmtId="49" fontId="16" fillId="17" borderId="90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3" borderId="85" xfId="0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vertical="center" wrapText="1"/>
    </xf>
    <xf numFmtId="164" fontId="16" fillId="43" borderId="86" xfId="0" applyNumberFormat="1" applyFont="1" applyFill="1" applyBorder="1" applyAlignment="1">
      <alignment horizontal="center" vertical="center" wrapText="1"/>
    </xf>
    <xf numFmtId="164" fontId="17" fillId="43" borderId="86" xfId="0" applyNumberFormat="1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horizontal="center" vertical="center" wrapText="1"/>
    </xf>
    <xf numFmtId="0" fontId="18" fillId="43" borderId="86" xfId="0" applyFont="1" applyFill="1" applyBorder="1" applyAlignment="1">
      <alignment horizontal="center" vertical="center" wrapText="1"/>
    </xf>
    <xf numFmtId="49" fontId="16" fillId="43" borderId="87" xfId="0" applyNumberFormat="1" applyFont="1" applyFill="1" applyBorder="1" applyAlignment="1">
      <alignment horizontal="center" vertical="center" wrapText="1"/>
    </xf>
    <xf numFmtId="0" fontId="16" fillId="43" borderId="42" xfId="0" applyFont="1" applyFill="1" applyBorder="1" applyAlignment="1">
      <alignment horizontal="center" vertical="center" wrapText="1"/>
    </xf>
    <xf numFmtId="0" fontId="18" fillId="43" borderId="16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6" fillId="40" borderId="49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622"/>
  <sheetViews>
    <sheetView tabSelected="1" zoomScale="70" zoomScaleNormal="70" workbookViewId="0">
      <pane ySplit="2" topLeftCell="A7591" activePane="bottomLeft" state="frozen"/>
      <selection pane="bottomLeft" activeCell="P7613" sqref="P761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21" width="16.140625" style="2" customWidth="1"/>
    <col min="22" max="1018" width="9.140625" style="2"/>
  </cols>
  <sheetData>
    <row r="1" spans="1:18" ht="19.5" customHeight="1" thickBot="1" x14ac:dyDescent="0.3">
      <c r="A1" s="1168" t="s">
        <v>0</v>
      </c>
      <c r="B1" s="1168"/>
      <c r="C1" s="1168"/>
      <c r="D1" s="1168"/>
      <c r="E1" s="1168"/>
      <c r="F1" s="1168"/>
      <c r="G1" s="1168"/>
      <c r="H1" s="1168"/>
      <c r="I1" s="1168"/>
      <c r="J1" s="116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69">
        <v>1</v>
      </c>
      <c r="B3" s="116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69"/>
      <c r="B4" s="116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70">
        <v>3</v>
      </c>
      <c r="B6" s="117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70"/>
      <c r="B7" s="117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70"/>
      <c r="B8" s="117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70">
        <v>5</v>
      </c>
      <c r="B10" s="117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70"/>
      <c r="B11" s="117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71">
        <v>8</v>
      </c>
      <c r="B14" s="117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71"/>
      <c r="B15" s="117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70">
        <v>11</v>
      </c>
      <c r="B18" s="117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70"/>
      <c r="B19" s="117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70"/>
      <c r="B20" s="117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70"/>
      <c r="B21" s="117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70">
        <v>13</v>
      </c>
      <c r="B23" s="117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70"/>
      <c r="B24" s="117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71">
        <v>14</v>
      </c>
      <c r="B25" s="117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71"/>
      <c r="B26" s="117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70">
        <v>15</v>
      </c>
      <c r="B27" s="117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70"/>
      <c r="B28" s="117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70"/>
      <c r="B29" s="117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70"/>
      <c r="B30" s="117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71">
        <v>16</v>
      </c>
      <c r="B31" s="117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71"/>
      <c r="B32" s="117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71"/>
      <c r="B33" s="117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71"/>
      <c r="B34" s="117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70">
        <v>17</v>
      </c>
      <c r="B35" s="117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70"/>
      <c r="B36" s="117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70">
        <v>21</v>
      </c>
      <c r="B40" s="117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70"/>
      <c r="B41" s="117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70">
        <v>23</v>
      </c>
      <c r="B43" s="117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70"/>
      <c r="B44" s="117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70"/>
      <c r="B45" s="117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71">
        <v>24</v>
      </c>
      <c r="B46" s="117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71"/>
      <c r="B47" s="117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70">
        <v>25</v>
      </c>
      <c r="B48" s="117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70"/>
      <c r="B49" s="117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70"/>
      <c r="B50" s="117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71">
        <v>26</v>
      </c>
      <c r="B51" s="117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71"/>
      <c r="B52" s="117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70">
        <v>29</v>
      </c>
      <c r="B55" s="117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70"/>
      <c r="B56" s="117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71">
        <v>32</v>
      </c>
      <c r="B59" s="117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71"/>
      <c r="B60" s="117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71">
        <v>34</v>
      </c>
      <c r="B62" s="117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71"/>
      <c r="B63" s="117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71"/>
      <c r="B64" s="117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71"/>
      <c r="B65" s="117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71"/>
      <c r="B66" s="117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70">
        <v>35</v>
      </c>
      <c r="B67" s="117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70"/>
      <c r="B68" s="117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44">
        <v>40</v>
      </c>
      <c r="B73" s="117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44"/>
      <c r="B74" s="117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45">
        <v>41</v>
      </c>
      <c r="B75" s="117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45"/>
      <c r="B76" s="117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45"/>
      <c r="B77" s="117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44">
        <v>42</v>
      </c>
      <c r="B78" s="117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44"/>
      <c r="B79" s="117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45">
        <v>49</v>
      </c>
      <c r="B86" s="117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45"/>
      <c r="B87" s="117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45"/>
      <c r="B88" s="117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44">
        <v>50</v>
      </c>
      <c r="B89" s="117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44"/>
      <c r="B90" s="117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45">
        <v>51</v>
      </c>
      <c r="B91" s="117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45"/>
      <c r="B92" s="117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45">
        <v>53</v>
      </c>
      <c r="B94" s="117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45"/>
      <c r="B95" s="117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44">
        <v>54</v>
      </c>
      <c r="B96" s="117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44"/>
      <c r="B97" s="117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44"/>
      <c r="B98" s="117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44">
        <v>58</v>
      </c>
      <c r="B102" s="117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44"/>
      <c r="B103" s="117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44">
        <v>60</v>
      </c>
      <c r="B105" s="117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44"/>
      <c r="B106" s="117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44"/>
      <c r="B107" s="117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45">
        <v>61</v>
      </c>
      <c r="B108" s="117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45"/>
      <c r="B109" s="117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45"/>
      <c r="B110" s="117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44">
        <v>64</v>
      </c>
      <c r="B113" s="117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44"/>
      <c r="B114" s="117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44">
        <v>66</v>
      </c>
      <c r="B116" s="117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44"/>
      <c r="B117" s="117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45">
        <v>67</v>
      </c>
      <c r="B118" s="117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45"/>
      <c r="B119" s="117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45"/>
      <c r="B120" s="117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44">
        <v>68</v>
      </c>
      <c r="B121" s="117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44"/>
      <c r="B122" s="117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45">
        <v>69</v>
      </c>
      <c r="B123" s="117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45"/>
      <c r="B124" s="117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44">
        <v>72</v>
      </c>
      <c r="B127" s="1171" t="s">
        <v>65</v>
      </c>
      <c r="C127" s="119" t="s">
        <v>26</v>
      </c>
      <c r="D127" s="120">
        <v>3.3</v>
      </c>
      <c r="E127" s="121"/>
      <c r="F127" s="122" t="s">
        <v>30</v>
      </c>
      <c r="G127" s="116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44"/>
      <c r="B128" s="1171"/>
      <c r="C128" s="103" t="s">
        <v>26</v>
      </c>
      <c r="D128" s="88">
        <v>12.9</v>
      </c>
      <c r="E128" s="106"/>
      <c r="F128" s="107" t="s">
        <v>16</v>
      </c>
      <c r="G128" s="116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44">
        <v>76</v>
      </c>
      <c r="B132" s="117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44"/>
      <c r="B133" s="117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44"/>
      <c r="B134" s="117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44"/>
      <c r="B135" s="117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44">
        <v>78</v>
      </c>
      <c r="B137" s="116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44"/>
      <c r="B138" s="116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7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7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4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4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4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4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4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4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4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4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4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4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4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4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4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4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4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4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4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4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4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4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4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4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6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4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6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4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4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4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4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4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4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4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4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4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4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4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4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4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4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4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4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4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4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4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4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4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4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4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4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4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4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4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4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4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4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4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4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4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4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4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4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4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4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4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4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4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6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4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6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4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4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4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4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4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4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4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4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4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4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4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4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4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4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4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4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4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4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4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4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4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4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4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4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4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4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4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4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4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4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4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4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5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4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5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4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4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4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6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4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6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4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4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4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4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4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4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4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4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4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4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4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4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4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4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4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4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4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4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4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4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4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4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4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4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4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4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4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4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4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6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4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6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4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4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4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4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4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4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4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4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4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4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4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4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4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4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4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4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4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4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4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4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4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4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4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4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4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4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4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4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4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4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4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4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4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4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5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4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5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4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4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4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4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4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4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4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4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4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4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4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4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4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4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4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4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4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4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4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4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4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4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4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4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4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4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4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4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4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4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4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4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4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4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5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4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5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4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4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4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4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4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4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64" t="s">
        <v>133</v>
      </c>
      <c r="J420" s="116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4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4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4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4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4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4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4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4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4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4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4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4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4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4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4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4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4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4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4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4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4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4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4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4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4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4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4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4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4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4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4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4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4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4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4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4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4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4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4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4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4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4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4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4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4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4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4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4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4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4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4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4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4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4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4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4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4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4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4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4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4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5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4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5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4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4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4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6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4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6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4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6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4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6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4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6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4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4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4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4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4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4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4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4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4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4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4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4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4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4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4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4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4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4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4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4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4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4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4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4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4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4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4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4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4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4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4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4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4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4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4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4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4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4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4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4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4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4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4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4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4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4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4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4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4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4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4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4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4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4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4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4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4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4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4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4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4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4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4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4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4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4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4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4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4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4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4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4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4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4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4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4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5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4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5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4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4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4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4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4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4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4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4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4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4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4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4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4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4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4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4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4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4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4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4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4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4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4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4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4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4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4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4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4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4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4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4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4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4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4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4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4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4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4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4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4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4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4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4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5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4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5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4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4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6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4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6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4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4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4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4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4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4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4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4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4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4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4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4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4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4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4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4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4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4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4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4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4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4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4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4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4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4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4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4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4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5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4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5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6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6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6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4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4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4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6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6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4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4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4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6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6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4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4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4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4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4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4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4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4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4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4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4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4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4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4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4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4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4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4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4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4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4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4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6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4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6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4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4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4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4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4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4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4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4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4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4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4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4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4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4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4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4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7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7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7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7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7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7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4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5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4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5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4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4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4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4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4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4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4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4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4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4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4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4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4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4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4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4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7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7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4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4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4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4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4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4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4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4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4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4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4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4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4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4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4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4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4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4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4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4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4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4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4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4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4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4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4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4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4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4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4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4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4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4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4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4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4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4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4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4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4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4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4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4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4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4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4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4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4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4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4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4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4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4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4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4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4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4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4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4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4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4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4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4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4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4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4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4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4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4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4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4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4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4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4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4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4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4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4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4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4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4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4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4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4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4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4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4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4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4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4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4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4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4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4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4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4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4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4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4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4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4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4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4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4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4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4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4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4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4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4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4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4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4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4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4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4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4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4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4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4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4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4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4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4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4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4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4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4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4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4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4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4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4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4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4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4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4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4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4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4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4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4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4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4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4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4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4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4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4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4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4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4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4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4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4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4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4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4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4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4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4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4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4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4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4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4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4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4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5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4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5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4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4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4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4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4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4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4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4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4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4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4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4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4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4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4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4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4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4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4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4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4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4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4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4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4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4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4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4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4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4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4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4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4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4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4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4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4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4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4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4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4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4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5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4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5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4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4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4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4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4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4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4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4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4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4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4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4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4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4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4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4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4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4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4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4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4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4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4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4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4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4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4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4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4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4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4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4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4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4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4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4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4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4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4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4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4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4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4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4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4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4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4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4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4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4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4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4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4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4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4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4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4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4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4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4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4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4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4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4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4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4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4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4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4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4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4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4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4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4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4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4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4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4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4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4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4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4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4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4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4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4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4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4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4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4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4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4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4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4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4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4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4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4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4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4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4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4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4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4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4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4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4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4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4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4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4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4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4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4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4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4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4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4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4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4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4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4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4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4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4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4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4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4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4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4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4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4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4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4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4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4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4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4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4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4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4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4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4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4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4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4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4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4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4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4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4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4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4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4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4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4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4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4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4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4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4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4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4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4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4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4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4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4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4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4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4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4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4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4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4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4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4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4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4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4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4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4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4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4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4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4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4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4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4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4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4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4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4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4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4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4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4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4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4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4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4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5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4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5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4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4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4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4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4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4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4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4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4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4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4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4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4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4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4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4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4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4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4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4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4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4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4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4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4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4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4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7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4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7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4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4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4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4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4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4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4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4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4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4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4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4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4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4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4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4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4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4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4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4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4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4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4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4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4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4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4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5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4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5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4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4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4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4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4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4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4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4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4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4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4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4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4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4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4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5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4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5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4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5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4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5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4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4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4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4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4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4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4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4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4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5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4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5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4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4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4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4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4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4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4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4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4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4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4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4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4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4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4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4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4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4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4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4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4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4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4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4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4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5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4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5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4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4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4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4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4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4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4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4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4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4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4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4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4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4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4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4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4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4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4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4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4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4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4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4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4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4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4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4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4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4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4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4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4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4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4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4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4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4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4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4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4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4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4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4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5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4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5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4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4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4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4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4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4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4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4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4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4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4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4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4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4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4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4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4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4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4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4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4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4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4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4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4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4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4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4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4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4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4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4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4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4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4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4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4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4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4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4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4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4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4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4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4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4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4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4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4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4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4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4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4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4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4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4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4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4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4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4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4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4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4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4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4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4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4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4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4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4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4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4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4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4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4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4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5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4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5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4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4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4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4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4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4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4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4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4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4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4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4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4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4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4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4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4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4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4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4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4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4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4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4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4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4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4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4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4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4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4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4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4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4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4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4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4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4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5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4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5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4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4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4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4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4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4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4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4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4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4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4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4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4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4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4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4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4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4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4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4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4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4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4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4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5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4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5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4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5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4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4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4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4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4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4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4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4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4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4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4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4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4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4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4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4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4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4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4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4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4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4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4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4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4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4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4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4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4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4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4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4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4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4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4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4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4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4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4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4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4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4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4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4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4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5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4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5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4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4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4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4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4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4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4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4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4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4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4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4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4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4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4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4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4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4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4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4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5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4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5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4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4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4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4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4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4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4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4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4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4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4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4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4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4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4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4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4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4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4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4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4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4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5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4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5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4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4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4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4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4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4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4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4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4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4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4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4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4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4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4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4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4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4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4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4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4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4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4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4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4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4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4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4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4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4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4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4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4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4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4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4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4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4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4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4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4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4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4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4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4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4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4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4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4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4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4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4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4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4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4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4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4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4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4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4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4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4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4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4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4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4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4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4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4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4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4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5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4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5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4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4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4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4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4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4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4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4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4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4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5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4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5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4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4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4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4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4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4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4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4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4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4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4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4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4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4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4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4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4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4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4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4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4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4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4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4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4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4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4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4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4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4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4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4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4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4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4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4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4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4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4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4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4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4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4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4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4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4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4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4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4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4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4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4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4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4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4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4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4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4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4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4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4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4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4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4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4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4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4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4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4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4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4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4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4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4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4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4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4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4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4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4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4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5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58" t="s">
        <v>467</v>
      </c>
      <c r="H2160" s="414" t="s">
        <v>515</v>
      </c>
      <c r="I2160" s="415" t="s">
        <v>516</v>
      </c>
      <c r="J2160" s="115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5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58"/>
      <c r="H2161" s="421" t="s">
        <v>515</v>
      </c>
      <c r="I2161" s="422" t="s">
        <v>516</v>
      </c>
      <c r="J2161" s="115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5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58"/>
      <c r="H2162" s="429" t="s">
        <v>515</v>
      </c>
      <c r="I2162" s="430" t="s">
        <v>516</v>
      </c>
      <c r="J2162" s="115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5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58" t="s">
        <v>467</v>
      </c>
      <c r="H2165" s="414" t="s">
        <v>516</v>
      </c>
      <c r="I2165" s="415" t="s">
        <v>516</v>
      </c>
      <c r="J2165" s="115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5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58"/>
      <c r="H2166" s="429" t="s">
        <v>516</v>
      </c>
      <c r="I2166" s="430" t="s">
        <v>516</v>
      </c>
      <c r="J2166" s="115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4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4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4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4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4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4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4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4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4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4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4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4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5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4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5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4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4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4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4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4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4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4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4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5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4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5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4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5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4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5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4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4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4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4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4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4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4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4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4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4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4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4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4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4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4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4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4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4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4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4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4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4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4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4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4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4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4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4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4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4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4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4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4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4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4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4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4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4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4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4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4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4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4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4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4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4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4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4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4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4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4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4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4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4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4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4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4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4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4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4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4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4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4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4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4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4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4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4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4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4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4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4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4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4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4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4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4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4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4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4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4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4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4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4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4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4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4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4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4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4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4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4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4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4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4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4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4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4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4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4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4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4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4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4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4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4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4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4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4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4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4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4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4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4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4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4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4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4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4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4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4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4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4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4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4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4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4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4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4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4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4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4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4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4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4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4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4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4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4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4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4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4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4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4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4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4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4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4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4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4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4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4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4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4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4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4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4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4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4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4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4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4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4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4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4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4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4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4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4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4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4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4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4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4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4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4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4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4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4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4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4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4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4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4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4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4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4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4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4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4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4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4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4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4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4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4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4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4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4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4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4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4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4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4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4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4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4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4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4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4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4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4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4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4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4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4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4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4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4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4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4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4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4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4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5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5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5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5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4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4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4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5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4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5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4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4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4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4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4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4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4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4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4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4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4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4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4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4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4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4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4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4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4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4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4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4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4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4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4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4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4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4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4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4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4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4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4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4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4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4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4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4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4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4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4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4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4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4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4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4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4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4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4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4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4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4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4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4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4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4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4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4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4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4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4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4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4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4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4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4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4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4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4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4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4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4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4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4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4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4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4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5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5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4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4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4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4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4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4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4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4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4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4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4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4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4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4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4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4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4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4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4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4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4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4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4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4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4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4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4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4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4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4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4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4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4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4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4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4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4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4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4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4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4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4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4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4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4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4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4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4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4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4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4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4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4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4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4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4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4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4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4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4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4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4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4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4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4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4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4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4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4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4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4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4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4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4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4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4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4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4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4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4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4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4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4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4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4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4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4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4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4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4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4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4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4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4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4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4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5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4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5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4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4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4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5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4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5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4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4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4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4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4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4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4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4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4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4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4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4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4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4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4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4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4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4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4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4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4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4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4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4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4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4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4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4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4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4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4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4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4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4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4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4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4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4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4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4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4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4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4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4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4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4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4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4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4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5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4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5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4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4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4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4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4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4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4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5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4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5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4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4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4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4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4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4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4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4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4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4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4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4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4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4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4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4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4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4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4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4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4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4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4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4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4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4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4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4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5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4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5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4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4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4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4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4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4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4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4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4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4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4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4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4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4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4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4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4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4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4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4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4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4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4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4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4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4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4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4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4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4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4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4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4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4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4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4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4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4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4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4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4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4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4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4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4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4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4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4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4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4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4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4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4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4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4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4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4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4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4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4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4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4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4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4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4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4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4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4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4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4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4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4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4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4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4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4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4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4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4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4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4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4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4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4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4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4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4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4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4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4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4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4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4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4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4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4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4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4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4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4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4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4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4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4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4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4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4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4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4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4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4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4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4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4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4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4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4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4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4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4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4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4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4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4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4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4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4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4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4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4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4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4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4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4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4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4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4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4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4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4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4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4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4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4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4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4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4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4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4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4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4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4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4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4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4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5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4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5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4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5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4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5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4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4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4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4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4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4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4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4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4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4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4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4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4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4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4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4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4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4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4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4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4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4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4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4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4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4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4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4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4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4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4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4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4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4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4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4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4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4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4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4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4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4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4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4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4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4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4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4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4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4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4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4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4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4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4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4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4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4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4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4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4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4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4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4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4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4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4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4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4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4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4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4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4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4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4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4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4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4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4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4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4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4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4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4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4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4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4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4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4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4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4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4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4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4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4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4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4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4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4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4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4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4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4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4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4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4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4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4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4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4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4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4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4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4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4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4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4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4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4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4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4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4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4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4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4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4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4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4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4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4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4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4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4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4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4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4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4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4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4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4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4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4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4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4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4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4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4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4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4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4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4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4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4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4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4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4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4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4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4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4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4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4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4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4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4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4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4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4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4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4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4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5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4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5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4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4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4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4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4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4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4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4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4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4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5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4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5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4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4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4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4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4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4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4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4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4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4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4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4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4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5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4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5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4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4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4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4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4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4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4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4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4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4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4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4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4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4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4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4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4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4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4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4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4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4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4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4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4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4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4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4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4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4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4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4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4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4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4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4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4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4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4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4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4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4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4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4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4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4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4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4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4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4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4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4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4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4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4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4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4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4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4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4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4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4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4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4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4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4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4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4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4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4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4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4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4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4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4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4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4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4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4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4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4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4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4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4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4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4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4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4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4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4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4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4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4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4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4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4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4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4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4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4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4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9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2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9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2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9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2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9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2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9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2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9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2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9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4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9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9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2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8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9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9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9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9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9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4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9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9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4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9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9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9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9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9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9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9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0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4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4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9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9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0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4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4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9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9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9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9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9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9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4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9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9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9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9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9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9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9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9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4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9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2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8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9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2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8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9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9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4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9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9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9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9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4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9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9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9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4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9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9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9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0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4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4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9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9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4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9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9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9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9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2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8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9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4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9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9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0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4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4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9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9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9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9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9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9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9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4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9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4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9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0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4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4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9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9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9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4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9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9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9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9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4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9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9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9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9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9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9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9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9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9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9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2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9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2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8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9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9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9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4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9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9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9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9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2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8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9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4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9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9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9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4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9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9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9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9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9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4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9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9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4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9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2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8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9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9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9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9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4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9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9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4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9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9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9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9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9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9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9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4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9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9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9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9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9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9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9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4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9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9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9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2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8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9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4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9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9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9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9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4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9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2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9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2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8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9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0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4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4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9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9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4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9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9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9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9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9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9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9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4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9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9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4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9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9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9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9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4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9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2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8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9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9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4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9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4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9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9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9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9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9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9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9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9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0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4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4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9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9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9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9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9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9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9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9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9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9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9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4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9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9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9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1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4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4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9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9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9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9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9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9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4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9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9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9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4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9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9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9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9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9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9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9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9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9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9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2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9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2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9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9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9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0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9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0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9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9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9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9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9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9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9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9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9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9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9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9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9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9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9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9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9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9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0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3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9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0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9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9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9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9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9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9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9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9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9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9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9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9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9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9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9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9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9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9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9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9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9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9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9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9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9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9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9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9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9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9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9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9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9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9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9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9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9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9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9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9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9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9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9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9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9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9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9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9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9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9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9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9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9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9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9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9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9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9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9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9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9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9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9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9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9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9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9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9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9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2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9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2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9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9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9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9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9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9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9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9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9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9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9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0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3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3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9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0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9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9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9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9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9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9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9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9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9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9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9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0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9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0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9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9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9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9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9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9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9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9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9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9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9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9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9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9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9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9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2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9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2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9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2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9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2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9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9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9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9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9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9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9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9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9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9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9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0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9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0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9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9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9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9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9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9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9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9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9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9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9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9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9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9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9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9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9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9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9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9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9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9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9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9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9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9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9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9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9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9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0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9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9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9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9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9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9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9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9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9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9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9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9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9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9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9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9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9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9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9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9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9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9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9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9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9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9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9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9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9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9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9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9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9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9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9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9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9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9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9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9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9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9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9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9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9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9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9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9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9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9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9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9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9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9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0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3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9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9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9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9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9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9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9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9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9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9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9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9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9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9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9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9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9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9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9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9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9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9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9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9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9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9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9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9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9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9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9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9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9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9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9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9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9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9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9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9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9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9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9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9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9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9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9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9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9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9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9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9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9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9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9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2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9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2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9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2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9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9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9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9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9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9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9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9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9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9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9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9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9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9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9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9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9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9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9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2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9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2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9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9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9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9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9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9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9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9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9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9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9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9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9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9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9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9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9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9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9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9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9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9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9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9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9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9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9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9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9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9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9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9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9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9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9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9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9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9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9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9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9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9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9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9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9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2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9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2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9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9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9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9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9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9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9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9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9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9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9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9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9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9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9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9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9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9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0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3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3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9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0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9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9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9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0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9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0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9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9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9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9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9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9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9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9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2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9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2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9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9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9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9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9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9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2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9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2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9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9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9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9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9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9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9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9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9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2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9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2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9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9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9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9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9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9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0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9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0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9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9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9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9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9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9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9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9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9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9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9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9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9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9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0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3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9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0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9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9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9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2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9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2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9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9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9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9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9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9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9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0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9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0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9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9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9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9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9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9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9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9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2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9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2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9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9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9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9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2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9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2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9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9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9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9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9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9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9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9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9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9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9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9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9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9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9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9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9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2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9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2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9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9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9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9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2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9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2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9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9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9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9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9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9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9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9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9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9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9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9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9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9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2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9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2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9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9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9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0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9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0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9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9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9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9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9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9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9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9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9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9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2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9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2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9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9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9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9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9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0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9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0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9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9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9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9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9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9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9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9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9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0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9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0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9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9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9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9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9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9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9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9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9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9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9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0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9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0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9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0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9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0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9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9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9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9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9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9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9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9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9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9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9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9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0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9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0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9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9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9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9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0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9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0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9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9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9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9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9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2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9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2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9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2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9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0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9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0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9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9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9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9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9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9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9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9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9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9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9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2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9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9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9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9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9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9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9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9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9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9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9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9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9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9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9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9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0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3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9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0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9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9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9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0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9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0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9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9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9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9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9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9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9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9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2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9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2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9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2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9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2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9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9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9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2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9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2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9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9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9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9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9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2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9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2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9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9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9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9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9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9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9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9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2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9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2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9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9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9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9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9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9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9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9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9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9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9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9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9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9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9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9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9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9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9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9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9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9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9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9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9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9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2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9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2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9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9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9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2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9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2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9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9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9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2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9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2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9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9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9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9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9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9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9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9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0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9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0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9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9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9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9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9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9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9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9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9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9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9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2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9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2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9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9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9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9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9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9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9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9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9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9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9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9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9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9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9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9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9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9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9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9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9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9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9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9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9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9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9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0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9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3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9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9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9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9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9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9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9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9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9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9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9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9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9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9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9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9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9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9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9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9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9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9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9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9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9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9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9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9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9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9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2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9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2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9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2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9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2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9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2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9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9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9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9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9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9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9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9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9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9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9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9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9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9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9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9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9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9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9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9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9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9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9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9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0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9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0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9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0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9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3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9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3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9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3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9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9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9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9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9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9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9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9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9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9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9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9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9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9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9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9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9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9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9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2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9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2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9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9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9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2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9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2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9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9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9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2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9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2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9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9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9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9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9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9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9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9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9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9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9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2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9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2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9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9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9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9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9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9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9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9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9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9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9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9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9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9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9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9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9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9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9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9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9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9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9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9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9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9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9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9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9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9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9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9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9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9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9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9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9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0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9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0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9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9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9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9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9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9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9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9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9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9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2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9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2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9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9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9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9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9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9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9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0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9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0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9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9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9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9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9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9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9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9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9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9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9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0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9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0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9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0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9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3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9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3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9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3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9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0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9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9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9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9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9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9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9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9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9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2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9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2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9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9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9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9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9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9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9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9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9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9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9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9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9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9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9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9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9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9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9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9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9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9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9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9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9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9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9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9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9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9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9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9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0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9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0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9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9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9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9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9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9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9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9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9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9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9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9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9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9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9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9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9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9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0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9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9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8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8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3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3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3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9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9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3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3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7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3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7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3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3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9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9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1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9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1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3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9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3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1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1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1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1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9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9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9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9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9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9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9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9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9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9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1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9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2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9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9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9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9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9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9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9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9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9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9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9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9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9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9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9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9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9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9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9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9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9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9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9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9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9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9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9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9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9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9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9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9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9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9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9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0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9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0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9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9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1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1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9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9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0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0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9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9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9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9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0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9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0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0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0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0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9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9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0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0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9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0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0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0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9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0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0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0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9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9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9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9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9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9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9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9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9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0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9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0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9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0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0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0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9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3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9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3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9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2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0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2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0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9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9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9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9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9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9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1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3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9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0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9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0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9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9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0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9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9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9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9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9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9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9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9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9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9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9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9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9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0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0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0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0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9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9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9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9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9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9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9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9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9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9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0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0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0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0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9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0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0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0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0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9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2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0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2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9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0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9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0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9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9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9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9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9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0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0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0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0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9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9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9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9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9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9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9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9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9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9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9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9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9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9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9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9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9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9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9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9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9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9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0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0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0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0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9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9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9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0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0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0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0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0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0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0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9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9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9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0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0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0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0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0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9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0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0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0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9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9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9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0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9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0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9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0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0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0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9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9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9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9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0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10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0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9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9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0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0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3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0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3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9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2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9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2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9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9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0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0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9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9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9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9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9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9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9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0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0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0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9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9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0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9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9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9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9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9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9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9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9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8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8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9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9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9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9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9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9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9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9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9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9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0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0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9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9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9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9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0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0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0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3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0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3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0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09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9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9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9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9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0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0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9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0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9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0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9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0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9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0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0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0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0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3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0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3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0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09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9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9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9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9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9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0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0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9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9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9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9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9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0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0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9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9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9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9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9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9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9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9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9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9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9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9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9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0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0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9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9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9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9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9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9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9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9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9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0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0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0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9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2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9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2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9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2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9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2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0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2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0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0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9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9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9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9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9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0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08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0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09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0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0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0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9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9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9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9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9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9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9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9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9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9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0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0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9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9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9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9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9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9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9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0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0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0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9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9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9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9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0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0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9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96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9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9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9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9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0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1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0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2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0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2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0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2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9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2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96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2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9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93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93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9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9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9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9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96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0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0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9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1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96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1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9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9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9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96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9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9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0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0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9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96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9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9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9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9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9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9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0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0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9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9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9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0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0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0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9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97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96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9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08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9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30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9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30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9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09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9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9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9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9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9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08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9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09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9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2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96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29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9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9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9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9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95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25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97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25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96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26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9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9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9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96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9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9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9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9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9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1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97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8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96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8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0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0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0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0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06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9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00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9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9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9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00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9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9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93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9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8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93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86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93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8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9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86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9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99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00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9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93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93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9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99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00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0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05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06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9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01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99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02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99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02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00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03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95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97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96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0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06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9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99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99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91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87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92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88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95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89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96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90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95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97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9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00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0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06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10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06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9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100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10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106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09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100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95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96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09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093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09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095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96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9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93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93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93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9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9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100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09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093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093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09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095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097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097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096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09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93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093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09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09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100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95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097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096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09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093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093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093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09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095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097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097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096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10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106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09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100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09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09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10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106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10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19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106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21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095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096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092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094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104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105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106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098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099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100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092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094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098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099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100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104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105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105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105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106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098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099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100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092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093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093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093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093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093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094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098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099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100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122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123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123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124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095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097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096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104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106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098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100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25">
      <c r="A7332" s="1104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14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25">
      <c r="A7333" s="1105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15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106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16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098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01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100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03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095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097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096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092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094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104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106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098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01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100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03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095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097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097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096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104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105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106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098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099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100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104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106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098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099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100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104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105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105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105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106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095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25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097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25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097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25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097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25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096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26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095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097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097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097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095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097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096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092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093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094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095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097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097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096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105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105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106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098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01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100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07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104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08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106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09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095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096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105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106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098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01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099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02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100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03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104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08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106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09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092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094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104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105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106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098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099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100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092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25">
      <c r="A7425" s="1093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094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095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096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092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093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093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095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097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097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096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104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105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499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106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095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096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095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17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096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18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095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096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092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094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092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119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093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20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094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21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092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094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092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093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098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100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095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096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092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093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095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096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092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093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094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095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096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092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093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094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095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097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096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hidden="1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8" t="str">
        <f t="shared" si="228"/>
        <v>10,26</v>
      </c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hidden="1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8" t="str">
        <f t="shared" si="228"/>
        <v>10,26</v>
      </c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hidden="1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8" t="str">
        <f t="shared" si="228"/>
        <v>10,26</v>
      </c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ht="19.5" hidden="1" thickBot="1" x14ac:dyDescent="0.3">
      <c r="A7495" s="1092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5" t="str">
        <f t="shared" si="228"/>
        <v>10,26</v>
      </c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hidden="1" thickBot="1" x14ac:dyDescent="0.3">
      <c r="A7496" s="1094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40" t="str">
        <f t="shared" si="228"/>
        <v>10,26</v>
      </c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hidden="1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8" t="str">
        <f t="shared" si="228"/>
        <v>10,26</v>
      </c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hidden="1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8" t="str">
        <f t="shared" si="228"/>
        <v>10,26</v>
      </c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hidden="1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8" t="str">
        <f t="shared" si="228"/>
        <v>10,26</v>
      </c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x14ac:dyDescent="0.25">
      <c r="A7501" s="1095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x14ac:dyDescent="0.25">
      <c r="A7502" s="1097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thickBot="1" x14ac:dyDescent="0.3">
      <c r="A7503" s="1096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x14ac:dyDescent="0.25">
      <c r="A7508" s="1092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thickBot="1" x14ac:dyDescent="0.3">
      <c r="A7509" s="1094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x14ac:dyDescent="0.25">
      <c r="A7510" s="1095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thickBot="1" x14ac:dyDescent="0.3">
      <c r="A7511" s="1096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x14ac:dyDescent="0.25">
      <c r="A7514" s="1092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x14ac:dyDescent="0.25">
      <c r="A7515" s="1093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x14ac:dyDescent="0.25">
      <c r="A7516" s="1093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thickBot="1" x14ac:dyDescent="0.3">
      <c r="A7517" s="1094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x14ac:dyDescent="0.25">
      <c r="A7518" s="1095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>
        <v>2.5489999999999999</v>
      </c>
      <c r="F7518" s="483" t="s">
        <v>16</v>
      </c>
      <c r="G7518" s="549"/>
      <c r="H7518" s="483" t="s">
        <v>3198</v>
      </c>
      <c r="I7518" s="484" t="s">
        <v>3291</v>
      </c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3206</v>
      </c>
      <c r="P7518" s="867" t="s">
        <v>3370</v>
      </c>
    </row>
    <row r="7519" spans="1:18" x14ac:dyDescent="0.25">
      <c r="A7519" s="1097"/>
      <c r="B7519" s="523" t="s">
        <v>3144</v>
      </c>
      <c r="C7519" s="524" t="s">
        <v>839</v>
      </c>
      <c r="D7519" s="525">
        <v>4.0270000000000001</v>
      </c>
      <c r="E7519" s="526">
        <v>4.0570000000000004</v>
      </c>
      <c r="F7519" s="527" t="s">
        <v>16</v>
      </c>
      <c r="G7519" s="561"/>
      <c r="H7519" s="527" t="s">
        <v>3198</v>
      </c>
      <c r="I7519" s="528" t="s">
        <v>3291</v>
      </c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3211</v>
      </c>
      <c r="P7519" s="867" t="s">
        <v>3372</v>
      </c>
    </row>
    <row r="7520" spans="1:18" ht="19.5" thickBot="1" x14ac:dyDescent="0.3">
      <c r="A7520" s="1097"/>
      <c r="B7520" s="495" t="s">
        <v>3144</v>
      </c>
      <c r="C7520" s="496" t="s">
        <v>23</v>
      </c>
      <c r="D7520" s="497">
        <v>11.099</v>
      </c>
      <c r="E7520" s="498">
        <v>11.239000000000001</v>
      </c>
      <c r="F7520" s="499" t="s">
        <v>16</v>
      </c>
      <c r="G7520" s="562"/>
      <c r="H7520" s="499" t="s">
        <v>3198</v>
      </c>
      <c r="I7520" s="500" t="s">
        <v>3291</v>
      </c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3210</v>
      </c>
      <c r="P7520" s="867" t="s">
        <v>3371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x14ac:dyDescent="0.25">
      <c r="A7522" s="1110">
        <f t="shared" si="232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thickBot="1" x14ac:dyDescent="0.3">
      <c r="A7523" s="1111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x14ac:dyDescent="0.25">
      <c r="A7524" s="1112">
        <f t="shared" si="232"/>
        <v>4593</v>
      </c>
      <c r="B7524" s="531" t="s">
        <v>3191</v>
      </c>
      <c r="C7524" s="532" t="s">
        <v>15</v>
      </c>
      <c r="D7524" s="533">
        <v>8.0579999999999998</v>
      </c>
      <c r="E7524" s="534">
        <v>8.1270000000000007</v>
      </c>
      <c r="F7524" s="535" t="s">
        <v>16</v>
      </c>
      <c r="G7524" s="536"/>
      <c r="H7524" s="535" t="s">
        <v>3220</v>
      </c>
      <c r="I7524" s="537" t="s">
        <v>3290</v>
      </c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3225</v>
      </c>
      <c r="P7524" s="867" t="s">
        <v>3388</v>
      </c>
    </row>
    <row r="7525" spans="1:16" ht="19.5" thickBot="1" x14ac:dyDescent="0.3">
      <c r="A7525" s="1113"/>
      <c r="B7525" s="869" t="s">
        <v>3191</v>
      </c>
      <c r="C7525" s="870" t="s">
        <v>24</v>
      </c>
      <c r="D7525" s="871">
        <v>9.4860000000000007</v>
      </c>
      <c r="E7525" s="872">
        <v>9.6</v>
      </c>
      <c r="F7525" s="873" t="s">
        <v>16</v>
      </c>
      <c r="G7525" s="874"/>
      <c r="H7525" s="873" t="s">
        <v>3220</v>
      </c>
      <c r="I7525" s="875" t="s">
        <v>3290</v>
      </c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3223</v>
      </c>
      <c r="P7525" s="867" t="s">
        <v>3387</v>
      </c>
    </row>
    <row r="7526" spans="1:16" ht="19.5" thickBot="1" x14ac:dyDescent="0.3">
      <c r="A7526" s="572">
        <f t="shared" si="232"/>
        <v>4594</v>
      </c>
      <c r="B7526" s="573" t="s">
        <v>3191</v>
      </c>
      <c r="C7526" s="574" t="s">
        <v>47</v>
      </c>
      <c r="D7526" s="575">
        <v>17.614999999999998</v>
      </c>
      <c r="E7526" s="576">
        <v>17.876999999999999</v>
      </c>
      <c r="F7526" s="577" t="s">
        <v>16</v>
      </c>
      <c r="G7526" s="578"/>
      <c r="H7526" s="577" t="s">
        <v>3220</v>
      </c>
      <c r="I7526" s="579" t="s">
        <v>3291</v>
      </c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  <c r="P7526" s="867" t="s">
        <v>3379</v>
      </c>
    </row>
    <row r="7527" spans="1:16" ht="19.5" thickBot="1" x14ac:dyDescent="0.3">
      <c r="A7527" s="503">
        <f t="shared" si="232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thickBot="1" x14ac:dyDescent="0.3">
      <c r="A7528" s="513">
        <f t="shared" si="232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x14ac:dyDescent="0.25">
      <c r="A7529" s="1092">
        <f t="shared" si="232"/>
        <v>4597</v>
      </c>
      <c r="B7529" s="531" t="s">
        <v>3197</v>
      </c>
      <c r="C7529" s="532" t="s">
        <v>15</v>
      </c>
      <c r="D7529" s="533">
        <v>8.5150000000000006</v>
      </c>
      <c r="E7529" s="534">
        <v>8.6809999999999992</v>
      </c>
      <c r="F7529" s="535" t="s">
        <v>16</v>
      </c>
      <c r="G7529" s="536"/>
      <c r="H7529" s="535" t="s">
        <v>3226</v>
      </c>
      <c r="I7529" s="537" t="s">
        <v>3290</v>
      </c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  <c r="P7529" s="867" t="s">
        <v>3329</v>
      </c>
    </row>
    <row r="7530" spans="1:16" x14ac:dyDescent="0.25">
      <c r="A7530" s="1093"/>
      <c r="B7530" s="563" t="s">
        <v>3197</v>
      </c>
      <c r="C7530" s="564" t="s">
        <v>24</v>
      </c>
      <c r="D7530" s="565">
        <v>4.7519999999999998</v>
      </c>
      <c r="E7530" s="566">
        <v>4.8789999999999996</v>
      </c>
      <c r="F7530" s="567" t="s">
        <v>16</v>
      </c>
      <c r="G7530" s="568"/>
      <c r="H7530" s="567" t="s">
        <v>3226</v>
      </c>
      <c r="I7530" s="569" t="s">
        <v>3290</v>
      </c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  <c r="P7530" s="867" t="s">
        <v>3328</v>
      </c>
    </row>
    <row r="7531" spans="1:16" ht="19.5" thickBot="1" x14ac:dyDescent="0.3">
      <c r="A7531" s="1094"/>
      <c r="B7531" s="636" t="s">
        <v>3197</v>
      </c>
      <c r="C7531" s="637" t="s">
        <v>20</v>
      </c>
      <c r="D7531" s="638">
        <v>4.2089999999999996</v>
      </c>
      <c r="E7531" s="639">
        <v>4.3630000000000004</v>
      </c>
      <c r="F7531" s="640" t="s">
        <v>16</v>
      </c>
      <c r="G7531" s="641"/>
      <c r="H7531" s="640" t="s">
        <v>3226</v>
      </c>
      <c r="I7531" s="642" t="s">
        <v>3290</v>
      </c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  <c r="P7531" s="867" t="s">
        <v>3330</v>
      </c>
    </row>
    <row r="7532" spans="1:16" x14ac:dyDescent="0.25">
      <c r="A7532" s="1095">
        <f t="shared" si="232"/>
        <v>4598</v>
      </c>
      <c r="B7532" s="479" t="s">
        <v>3197</v>
      </c>
      <c r="C7532" s="480" t="s">
        <v>47</v>
      </c>
      <c r="D7532" s="481">
        <v>11.901</v>
      </c>
      <c r="E7532" s="482">
        <v>11.984999999999999</v>
      </c>
      <c r="F7532" s="483" t="s">
        <v>16</v>
      </c>
      <c r="G7532" s="549"/>
      <c r="H7532" s="483" t="s">
        <v>3226</v>
      </c>
      <c r="I7532" s="484" t="s">
        <v>3280</v>
      </c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  <c r="P7532" s="867" t="s">
        <v>3331</v>
      </c>
    </row>
    <row r="7533" spans="1:16" ht="19.5" thickBot="1" x14ac:dyDescent="0.3">
      <c r="A7533" s="1096"/>
      <c r="B7533" s="495" t="s">
        <v>3197</v>
      </c>
      <c r="C7533" s="496" t="s">
        <v>587</v>
      </c>
      <c r="D7533" s="497">
        <v>5.7149999999999999</v>
      </c>
      <c r="E7533" s="498">
        <v>5.65</v>
      </c>
      <c r="F7533" s="499" t="s">
        <v>16</v>
      </c>
      <c r="G7533" s="1060" t="s">
        <v>47</v>
      </c>
      <c r="H7533" s="499" t="s">
        <v>3226</v>
      </c>
      <c r="I7533" s="500" t="s">
        <v>3280</v>
      </c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3235</v>
      </c>
      <c r="P7533" s="867" t="s">
        <v>3332</v>
      </c>
    </row>
    <row r="7534" spans="1:16" x14ac:dyDescent="0.25">
      <c r="A7534" s="1104">
        <f t="shared" si="232"/>
        <v>4599</v>
      </c>
      <c r="B7534" s="759" t="s">
        <v>3197</v>
      </c>
      <c r="C7534" s="532" t="s">
        <v>23</v>
      </c>
      <c r="D7534" s="533">
        <v>17.285</v>
      </c>
      <c r="E7534" s="534">
        <v>17.408000000000001</v>
      </c>
      <c r="F7534" s="535" t="s">
        <v>16</v>
      </c>
      <c r="G7534" s="1119" t="s">
        <v>1634</v>
      </c>
      <c r="H7534" s="535" t="s">
        <v>3226</v>
      </c>
      <c r="I7534" s="537" t="s">
        <v>3290</v>
      </c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3236</v>
      </c>
      <c r="P7534" s="867" t="s">
        <v>3322</v>
      </c>
    </row>
    <row r="7535" spans="1:16" ht="19.5" thickBot="1" x14ac:dyDescent="0.3">
      <c r="A7535" s="1106"/>
      <c r="B7535" s="785" t="s">
        <v>3226</v>
      </c>
      <c r="C7535" s="786" t="s">
        <v>23</v>
      </c>
      <c r="D7535" s="787">
        <v>0.1</v>
      </c>
      <c r="E7535" s="787">
        <v>0.104</v>
      </c>
      <c r="F7535" s="788" t="s">
        <v>16</v>
      </c>
      <c r="G7535" s="1121"/>
      <c r="H7535" s="788" t="s">
        <v>3226</v>
      </c>
      <c r="I7535" s="788" t="s">
        <v>3290</v>
      </c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3267</v>
      </c>
      <c r="P7535" s="867" t="s">
        <v>3323</v>
      </c>
    </row>
    <row r="7536" spans="1:16" x14ac:dyDescent="0.25">
      <c r="A7536" s="1095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6" x14ac:dyDescent="0.25">
      <c r="A7537" s="1097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6" ht="19.5" thickBot="1" x14ac:dyDescent="0.3">
      <c r="A7538" s="1096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6" x14ac:dyDescent="0.25">
      <c r="A7539" s="1092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6" ht="19.5" thickBot="1" x14ac:dyDescent="0.3">
      <c r="A7540" s="1094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6" ht="19.5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6" ht="19.5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>
        <v>12.356999999999999</v>
      </c>
      <c r="F7542" s="508" t="s">
        <v>30</v>
      </c>
      <c r="G7542" s="509" t="s">
        <v>23</v>
      </c>
      <c r="H7542" s="508" t="s">
        <v>3226</v>
      </c>
      <c r="I7542" s="510" t="s">
        <v>3280</v>
      </c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3249</v>
      </c>
      <c r="P7542" s="867" t="s">
        <v>3333</v>
      </c>
    </row>
    <row r="7543" spans="1:16" ht="19.5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6" ht="19.5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>
        <v>17.745000000000001</v>
      </c>
      <c r="F7544" s="508" t="s">
        <v>16</v>
      </c>
      <c r="G7544" s="509"/>
      <c r="H7544" s="508" t="s">
        <v>3228</v>
      </c>
      <c r="I7544" s="510" t="s">
        <v>3280</v>
      </c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  <c r="P7544" s="867" t="s">
        <v>3325</v>
      </c>
    </row>
    <row r="7545" spans="1:16" x14ac:dyDescent="0.25">
      <c r="A7545" s="1180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193" t="s">
        <v>3265</v>
      </c>
      <c r="H7545" s="754" t="s">
        <v>3228</v>
      </c>
      <c r="I7545" s="932" t="s">
        <v>1496</v>
      </c>
      <c r="J7545" s="755"/>
      <c r="K7545" s="750"/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6" x14ac:dyDescent="0.25">
      <c r="A7546" s="1195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194"/>
      <c r="H7546" s="915" t="s">
        <v>3228</v>
      </c>
      <c r="I7546" s="917" t="s">
        <v>1496</v>
      </c>
      <c r="J7546" s="918"/>
      <c r="K7546" s="911"/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6" ht="19.5" thickBot="1" x14ac:dyDescent="0.3">
      <c r="A7547" s="1181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3"/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6" ht="19.5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>
        <v>17.82</v>
      </c>
      <c r="F7548" s="556" t="s">
        <v>16</v>
      </c>
      <c r="G7548" s="1059"/>
      <c r="H7548" s="556" t="s">
        <v>3228</v>
      </c>
      <c r="I7548" s="558" t="s">
        <v>3280</v>
      </c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3239</v>
      </c>
      <c r="P7548" s="867" t="s">
        <v>3324</v>
      </c>
    </row>
    <row r="7549" spans="1:16" x14ac:dyDescent="0.25">
      <c r="A7549" s="1098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>
        <v>16.971</v>
      </c>
      <c r="F7549" s="483" t="s">
        <v>16</v>
      </c>
      <c r="G7549" s="1117" t="s">
        <v>1634</v>
      </c>
      <c r="H7549" s="483" t="s">
        <v>3228</v>
      </c>
      <c r="I7549" s="484" t="s">
        <v>3291</v>
      </c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3241</v>
      </c>
      <c r="P7549" s="867" t="s">
        <v>3376</v>
      </c>
    </row>
    <row r="7550" spans="1:16" ht="19.5" thickBot="1" x14ac:dyDescent="0.3">
      <c r="A7550" s="1100"/>
      <c r="B7550" s="805" t="s">
        <v>3226</v>
      </c>
      <c r="C7550" s="806" t="s">
        <v>47</v>
      </c>
      <c r="D7550" s="807">
        <v>0.35</v>
      </c>
      <c r="E7550" s="807">
        <v>0.36099999999999999</v>
      </c>
      <c r="F7550" s="808" t="s">
        <v>16</v>
      </c>
      <c r="G7550" s="1118"/>
      <c r="H7550" s="808" t="s">
        <v>3228</v>
      </c>
      <c r="I7550" s="808" t="s">
        <v>3291</v>
      </c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3268</v>
      </c>
      <c r="P7550" s="867" t="s">
        <v>3377</v>
      </c>
    </row>
    <row r="7551" spans="1:16" x14ac:dyDescent="0.25">
      <c r="A7551" s="1092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>
        <v>9.9879999999999995</v>
      </c>
      <c r="F7551" s="567" t="s">
        <v>30</v>
      </c>
      <c r="G7551" s="568"/>
      <c r="H7551" s="567" t="s">
        <v>3228</v>
      </c>
      <c r="I7551" s="569" t="s">
        <v>3280</v>
      </c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P7551" s="867" t="s">
        <v>3334</v>
      </c>
    </row>
    <row r="7552" spans="1:16" ht="19.5" thickBot="1" x14ac:dyDescent="0.3">
      <c r="A7552" s="1094"/>
      <c r="B7552" s="636" t="s">
        <v>3197</v>
      </c>
      <c r="C7552" s="637" t="s">
        <v>23</v>
      </c>
      <c r="D7552" s="638">
        <v>4.8490000000000002</v>
      </c>
      <c r="E7552" s="639">
        <v>4.8490000000000002</v>
      </c>
      <c r="F7552" s="640" t="s">
        <v>30</v>
      </c>
      <c r="G7552" s="641"/>
      <c r="H7552" s="640" t="s">
        <v>3228</v>
      </c>
      <c r="I7552" s="642" t="s">
        <v>3280</v>
      </c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3248</v>
      </c>
      <c r="P7552" s="867" t="s">
        <v>3335</v>
      </c>
    </row>
    <row r="7553" spans="1:16" x14ac:dyDescent="0.25">
      <c r="A7553" s="1095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>
        <v>2.8730000000000002</v>
      </c>
      <c r="F7553" s="483" t="s">
        <v>16</v>
      </c>
      <c r="G7553" s="1061" t="s">
        <v>844</v>
      </c>
      <c r="H7553" s="483" t="s">
        <v>3269</v>
      </c>
      <c r="I7553" s="484" t="s">
        <v>3290</v>
      </c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3270</v>
      </c>
      <c r="P7553" s="867" t="s">
        <v>3337</v>
      </c>
    </row>
    <row r="7554" spans="1:16" ht="19.5" thickBot="1" x14ac:dyDescent="0.3">
      <c r="A7554" s="1096"/>
      <c r="B7554" s="645" t="s">
        <v>3226</v>
      </c>
      <c r="C7554" s="646" t="s">
        <v>55</v>
      </c>
      <c r="D7554" s="647">
        <v>11.340999999999999</v>
      </c>
      <c r="E7554" s="648">
        <v>11.366</v>
      </c>
      <c r="F7554" s="649" t="s">
        <v>16</v>
      </c>
      <c r="G7554" s="1062" t="s">
        <v>845</v>
      </c>
      <c r="H7554" s="649" t="s">
        <v>3269</v>
      </c>
      <c r="I7554" s="651" t="s">
        <v>3290</v>
      </c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3271</v>
      </c>
      <c r="P7554" s="867" t="s">
        <v>3336</v>
      </c>
    </row>
    <row r="7555" spans="1:16" ht="19.5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>
        <v>18.105</v>
      </c>
      <c r="F7555" s="508" t="s">
        <v>16</v>
      </c>
      <c r="G7555" s="509"/>
      <c r="H7555" s="508" t="s">
        <v>3280</v>
      </c>
      <c r="I7555" s="510" t="s">
        <v>3280</v>
      </c>
      <c r="J7555" s="511"/>
      <c r="K7555" s="504"/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  <c r="P7555" s="867" t="s">
        <v>3326</v>
      </c>
    </row>
    <row r="7556" spans="1:16" ht="19.5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>
        <v>18.085000000000001</v>
      </c>
      <c r="F7556" s="577" t="s">
        <v>16</v>
      </c>
      <c r="G7556" s="1063"/>
      <c r="H7556" s="577" t="s">
        <v>3280</v>
      </c>
      <c r="I7556" s="579" t="s">
        <v>3280</v>
      </c>
      <c r="J7556" s="580"/>
      <c r="K7556" s="573"/>
      <c r="L7556" s="577" t="s">
        <v>266</v>
      </c>
      <c r="M7556" s="577">
        <v>18094.03</v>
      </c>
      <c r="N7556" s="581">
        <v>0.45833333333333331</v>
      </c>
      <c r="O7556" s="897" t="s">
        <v>3282</v>
      </c>
      <c r="P7556" s="867" t="s">
        <v>3327</v>
      </c>
    </row>
    <row r="7557" spans="1:16" ht="19.5" thickBot="1" x14ac:dyDescent="0.3">
      <c r="A7557" s="503">
        <f t="shared" ref="A7557:A7561" si="233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>
        <v>17.562000000000001</v>
      </c>
      <c r="F7557" s="508" t="s">
        <v>16</v>
      </c>
      <c r="G7557" s="509"/>
      <c r="H7557" s="508" t="s">
        <v>3290</v>
      </c>
      <c r="I7557" s="510" t="s">
        <v>3291</v>
      </c>
      <c r="J7557" s="511"/>
      <c r="K7557" s="504"/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  <c r="P7557" s="867" t="s">
        <v>3380</v>
      </c>
    </row>
    <row r="7558" spans="1:16" ht="19.5" thickBot="1" x14ac:dyDescent="0.3">
      <c r="A7558" s="513">
        <f t="shared" si="233"/>
        <v>4614</v>
      </c>
      <c r="B7558" s="514" t="s">
        <v>3269</v>
      </c>
      <c r="C7558" s="515" t="s">
        <v>26</v>
      </c>
      <c r="D7558" s="516">
        <v>14.388</v>
      </c>
      <c r="E7558" s="517">
        <v>14.388</v>
      </c>
      <c r="F7558" s="518" t="s">
        <v>30</v>
      </c>
      <c r="G7558" s="519"/>
      <c r="H7558" s="518" t="s">
        <v>3290</v>
      </c>
      <c r="I7558" s="520" t="s">
        <v>3290</v>
      </c>
      <c r="J7558" s="521"/>
      <c r="K7558" s="514"/>
      <c r="L7558" s="518" t="s">
        <v>265</v>
      </c>
      <c r="M7558" s="518">
        <v>14388.84</v>
      </c>
      <c r="N7558" s="522">
        <v>4.1666666666666664E-2</v>
      </c>
      <c r="O7558" s="897" t="s">
        <v>3292</v>
      </c>
      <c r="P7558" s="867" t="s">
        <v>3375</v>
      </c>
    </row>
    <row r="7559" spans="1:16" ht="19.5" thickBot="1" x14ac:dyDescent="0.3">
      <c r="A7559" s="503">
        <f t="shared" si="233"/>
        <v>4615</v>
      </c>
      <c r="B7559" s="504" t="s">
        <v>3269</v>
      </c>
      <c r="C7559" s="505" t="s">
        <v>26</v>
      </c>
      <c r="D7559" s="506">
        <v>17.617000000000001</v>
      </c>
      <c r="E7559" s="507">
        <v>17.684999999999999</v>
      </c>
      <c r="F7559" s="508" t="s">
        <v>16</v>
      </c>
      <c r="G7559" s="509"/>
      <c r="H7559" s="508" t="s">
        <v>3291</v>
      </c>
      <c r="I7559" s="510" t="s">
        <v>3291</v>
      </c>
      <c r="J7559" s="511"/>
      <c r="K7559" s="504"/>
      <c r="L7559" s="508" t="s">
        <v>265</v>
      </c>
      <c r="M7559" s="508">
        <v>17766.98</v>
      </c>
      <c r="N7559" s="512">
        <v>4.1666666666666664E-2</v>
      </c>
      <c r="O7559" s="897" t="s">
        <v>3294</v>
      </c>
      <c r="P7559" s="867" t="s">
        <v>3378</v>
      </c>
    </row>
    <row r="7560" spans="1:16" ht="19.5" thickBot="1" x14ac:dyDescent="0.3">
      <c r="A7560" s="513">
        <f t="shared" si="233"/>
        <v>4616</v>
      </c>
      <c r="B7560" s="573" t="s">
        <v>3269</v>
      </c>
      <c r="C7560" s="574" t="s">
        <v>26</v>
      </c>
      <c r="D7560" s="575">
        <v>17.597999999999999</v>
      </c>
      <c r="E7560" s="576">
        <v>17.504000000000001</v>
      </c>
      <c r="F7560" s="577" t="s">
        <v>16</v>
      </c>
      <c r="G7560" s="1070"/>
      <c r="H7560" s="577" t="s">
        <v>3291</v>
      </c>
      <c r="I7560" s="579" t="s">
        <v>3291</v>
      </c>
      <c r="J7560" s="580"/>
      <c r="K7560" s="573"/>
      <c r="L7560" s="577" t="s">
        <v>265</v>
      </c>
      <c r="M7560" s="577">
        <v>17806.7</v>
      </c>
      <c r="N7560" s="581">
        <v>8.3333333333333329E-2</v>
      </c>
      <c r="O7560" s="897" t="s">
        <v>3295</v>
      </c>
      <c r="P7560" s="867" t="s">
        <v>3384</v>
      </c>
    </row>
    <row r="7561" spans="1:16" x14ac:dyDescent="0.25">
      <c r="A7561" s="1104">
        <f t="shared" si="233"/>
        <v>4617</v>
      </c>
      <c r="B7561" s="759" t="s">
        <v>3269</v>
      </c>
      <c r="C7561" s="532" t="s">
        <v>47</v>
      </c>
      <c r="D7561" s="533">
        <v>17.611000000000001</v>
      </c>
      <c r="E7561" s="534">
        <v>17.622</v>
      </c>
      <c r="F7561" s="535" t="s">
        <v>16</v>
      </c>
      <c r="G7561" s="1074"/>
      <c r="H7561" s="535" t="s">
        <v>3291</v>
      </c>
      <c r="I7561" s="537" t="s">
        <v>3374</v>
      </c>
      <c r="J7561" s="538"/>
      <c r="K7561" s="531"/>
      <c r="L7561" s="535" t="s">
        <v>28</v>
      </c>
      <c r="M7561" s="535">
        <v>17826.310000000001</v>
      </c>
      <c r="N7561" s="539">
        <v>0.41666666666666669</v>
      </c>
      <c r="O7561" s="897" t="s">
        <v>3296</v>
      </c>
      <c r="P7561" s="867" t="s">
        <v>3385</v>
      </c>
    </row>
    <row r="7562" spans="1:16" ht="19.5" thickBot="1" x14ac:dyDescent="0.3">
      <c r="A7562" s="1106"/>
      <c r="B7562" s="785" t="s">
        <v>3290</v>
      </c>
      <c r="C7562" s="786" t="s">
        <v>47</v>
      </c>
      <c r="D7562" s="787">
        <v>0.25</v>
      </c>
      <c r="E7562" s="787">
        <v>0.26500000000000001</v>
      </c>
      <c r="F7562" s="788" t="s">
        <v>16</v>
      </c>
      <c r="G7562" s="789" t="s">
        <v>76</v>
      </c>
      <c r="H7562" s="788" t="s">
        <v>3291</v>
      </c>
      <c r="I7562" s="788" t="s">
        <v>3374</v>
      </c>
      <c r="J7562" s="790"/>
      <c r="K7562" s="877"/>
      <c r="L7562" s="788" t="s">
        <v>28</v>
      </c>
      <c r="M7562" s="788">
        <v>255</v>
      </c>
      <c r="N7562" s="784">
        <v>0.41666666666666669</v>
      </c>
      <c r="O7562" s="897" t="s">
        <v>3366</v>
      </c>
      <c r="P7562" s="867" t="s">
        <v>3386</v>
      </c>
    </row>
    <row r="7563" spans="1:16" ht="19.5" thickBot="1" x14ac:dyDescent="0.3">
      <c r="A7563" s="1066">
        <f>MAX(A7332:A7561)+1</f>
        <v>4618</v>
      </c>
      <c r="B7563" s="495" t="s">
        <v>3269</v>
      </c>
      <c r="C7563" s="496" t="s">
        <v>23</v>
      </c>
      <c r="D7563" s="497">
        <v>17.609000000000002</v>
      </c>
      <c r="E7563" s="498">
        <v>17.713999999999999</v>
      </c>
      <c r="F7563" s="499" t="s">
        <v>16</v>
      </c>
      <c r="G7563" s="1072"/>
      <c r="H7563" s="499" t="s">
        <v>3291</v>
      </c>
      <c r="I7563" s="500" t="s">
        <v>3374</v>
      </c>
      <c r="J7563" s="501"/>
      <c r="K7563" s="495"/>
      <c r="L7563" s="499" t="s">
        <v>28</v>
      </c>
      <c r="M7563" s="499">
        <v>17746.12</v>
      </c>
      <c r="N7563" s="502">
        <v>0.45833333333333331</v>
      </c>
      <c r="O7563" s="897" t="s">
        <v>3297</v>
      </c>
      <c r="P7563" s="867" t="s">
        <v>3373</v>
      </c>
    </row>
    <row r="7564" spans="1:16" x14ac:dyDescent="0.25">
      <c r="A7564" s="1092">
        <f>MAX(A7333:A7563)+1</f>
        <v>4619</v>
      </c>
      <c r="B7564" s="531" t="s">
        <v>3280</v>
      </c>
      <c r="C7564" s="532" t="s">
        <v>981</v>
      </c>
      <c r="D7564" s="533">
        <v>4.1769999999999996</v>
      </c>
      <c r="E7564" s="534">
        <v>4.1500000000000004</v>
      </c>
      <c r="F7564" s="535" t="s">
        <v>16</v>
      </c>
      <c r="G7564" s="1067"/>
      <c r="H7564" s="535" t="s">
        <v>3291</v>
      </c>
      <c r="I7564" s="537" t="s">
        <v>3291</v>
      </c>
      <c r="J7564" s="538"/>
      <c r="K7564" s="531"/>
      <c r="L7564" s="535" t="s">
        <v>266</v>
      </c>
      <c r="M7564" s="535">
        <v>4177.38</v>
      </c>
      <c r="N7564" s="539">
        <v>0.5</v>
      </c>
      <c r="O7564" s="897" t="s">
        <v>3315</v>
      </c>
      <c r="P7564" s="867" t="s">
        <v>3367</v>
      </c>
    </row>
    <row r="7565" spans="1:16" x14ac:dyDescent="0.25">
      <c r="A7565" s="1093"/>
      <c r="B7565" s="563" t="s">
        <v>3280</v>
      </c>
      <c r="C7565" s="564" t="s">
        <v>1382</v>
      </c>
      <c r="D7565" s="565">
        <v>7.7270000000000003</v>
      </c>
      <c r="E7565" s="566">
        <v>7.7779999999999996</v>
      </c>
      <c r="F7565" s="567" t="s">
        <v>16</v>
      </c>
      <c r="G7565" s="568"/>
      <c r="H7565" s="567" t="s">
        <v>3291</v>
      </c>
      <c r="I7565" s="569" t="s">
        <v>3291</v>
      </c>
      <c r="J7565" s="570"/>
      <c r="K7565" s="563"/>
      <c r="L7565" s="567" t="s">
        <v>266</v>
      </c>
      <c r="M7565" s="567">
        <v>7727.94</v>
      </c>
      <c r="N7565" s="571">
        <v>0.5</v>
      </c>
      <c r="O7565" s="897" t="s">
        <v>3317</v>
      </c>
      <c r="P7565" s="867" t="s">
        <v>3368</v>
      </c>
    </row>
    <row r="7566" spans="1:16" ht="19.5" thickBot="1" x14ac:dyDescent="0.3">
      <c r="A7566" s="1094"/>
      <c r="B7566" s="636" t="s">
        <v>3280</v>
      </c>
      <c r="C7566" s="637" t="s">
        <v>32</v>
      </c>
      <c r="D7566" s="638">
        <v>5.42</v>
      </c>
      <c r="E7566" s="639">
        <v>5.4269999999999996</v>
      </c>
      <c r="F7566" s="640" t="s">
        <v>16</v>
      </c>
      <c r="G7566" s="1065" t="s">
        <v>1702</v>
      </c>
      <c r="H7566" s="640" t="s">
        <v>3291</v>
      </c>
      <c r="I7566" s="642" t="s">
        <v>3291</v>
      </c>
      <c r="J7566" s="643"/>
      <c r="K7566" s="636"/>
      <c r="L7566" s="640" t="s">
        <v>266</v>
      </c>
      <c r="M7566" s="640">
        <v>5420.85</v>
      </c>
      <c r="N7566" s="644">
        <v>0.5</v>
      </c>
      <c r="O7566" s="897" t="s">
        <v>3316</v>
      </c>
      <c r="P7566" s="867" t="s">
        <v>3369</v>
      </c>
    </row>
    <row r="7567" spans="1:16" ht="19.5" thickBot="1" x14ac:dyDescent="0.3">
      <c r="A7567" s="513">
        <f>MAX(A7336:A7566)+1</f>
        <v>4620</v>
      </c>
      <c r="B7567" s="514" t="s">
        <v>3280</v>
      </c>
      <c r="C7567" s="515" t="s">
        <v>3305</v>
      </c>
      <c r="D7567" s="516">
        <v>3.9420000000000002</v>
      </c>
      <c r="E7567" s="517"/>
      <c r="F7567" s="518" t="s">
        <v>16</v>
      </c>
      <c r="G7567" s="519"/>
      <c r="H7567" s="518" t="s">
        <v>3291</v>
      </c>
      <c r="I7567" s="520"/>
      <c r="J7567" s="521"/>
      <c r="K7567" s="514"/>
      <c r="L7567" s="518" t="s">
        <v>266</v>
      </c>
      <c r="M7567" s="518">
        <v>3942.1199999999994</v>
      </c>
      <c r="N7567" s="522">
        <v>0.54166666666666663</v>
      </c>
      <c r="O7567" s="897" t="s">
        <v>3307</v>
      </c>
    </row>
    <row r="7568" spans="1:16" x14ac:dyDescent="0.25">
      <c r="A7568" s="1092">
        <f>MAX(A7337:A7567)+1</f>
        <v>4621</v>
      </c>
      <c r="B7568" s="531" t="s">
        <v>3280</v>
      </c>
      <c r="C7568" s="532" t="s">
        <v>26</v>
      </c>
      <c r="D7568" s="533">
        <v>15.616</v>
      </c>
      <c r="E7568" s="534">
        <v>15.773</v>
      </c>
      <c r="F7568" s="535" t="s">
        <v>16</v>
      </c>
      <c r="G7568" s="1067"/>
      <c r="H7568" s="535" t="s">
        <v>3306</v>
      </c>
      <c r="I7568" s="537" t="s">
        <v>3306</v>
      </c>
      <c r="J7568" s="538"/>
      <c r="K7568" s="531"/>
      <c r="L7568" s="535" t="s">
        <v>265</v>
      </c>
      <c r="M7568" s="535">
        <v>15815.860000000002</v>
      </c>
      <c r="N7568" s="539">
        <v>4.1666666666666664E-2</v>
      </c>
      <c r="O7568" s="897" t="s">
        <v>3308</v>
      </c>
      <c r="P7568" s="867" t="s">
        <v>3381</v>
      </c>
    </row>
    <row r="7569" spans="1:16" ht="19.5" thickBot="1" x14ac:dyDescent="0.3">
      <c r="A7569" s="1094"/>
      <c r="B7569" s="636" t="s">
        <v>3280</v>
      </c>
      <c r="C7569" s="637" t="s">
        <v>952</v>
      </c>
      <c r="D7569" s="638">
        <v>2.536</v>
      </c>
      <c r="E7569" s="639">
        <v>2.5369999999999999</v>
      </c>
      <c r="F7569" s="640" t="s">
        <v>16</v>
      </c>
      <c r="G7569" s="1065"/>
      <c r="H7569" s="640" t="s">
        <v>3306</v>
      </c>
      <c r="I7569" s="642" t="s">
        <v>3306</v>
      </c>
      <c r="J7569" s="643"/>
      <c r="K7569" s="636"/>
      <c r="L7569" s="640" t="s">
        <v>265</v>
      </c>
      <c r="M7569" s="640">
        <v>2536.36</v>
      </c>
      <c r="N7569" s="644">
        <v>4.1666666666666664E-2</v>
      </c>
      <c r="O7569" s="897" t="s">
        <v>3309</v>
      </c>
      <c r="P7569" s="867" t="s">
        <v>3382</v>
      </c>
    </row>
    <row r="7570" spans="1:16" ht="19.5" thickBot="1" x14ac:dyDescent="0.3">
      <c r="A7570" s="513">
        <f>MAX(A7339:A7569)+1</f>
        <v>4622</v>
      </c>
      <c r="B7570" s="573" t="s">
        <v>3280</v>
      </c>
      <c r="C7570" s="574" t="s">
        <v>2713</v>
      </c>
      <c r="D7570" s="575">
        <v>15.278</v>
      </c>
      <c r="E7570" s="576"/>
      <c r="F7570" s="577" t="s">
        <v>16</v>
      </c>
      <c r="G7570" s="1079"/>
      <c r="H7570" s="577" t="s">
        <v>3306</v>
      </c>
      <c r="I7570" s="579"/>
      <c r="J7570" s="580"/>
      <c r="K7570" s="573"/>
      <c r="L7570" s="577" t="s">
        <v>265</v>
      </c>
      <c r="M7570" s="577">
        <v>15278.58</v>
      </c>
      <c r="N7570" s="581">
        <v>8.3333333333333329E-2</v>
      </c>
      <c r="O7570" s="897" t="s">
        <v>3321</v>
      </c>
    </row>
    <row r="7571" spans="1:16" x14ac:dyDescent="0.25">
      <c r="A7571" s="1104">
        <f>MAX(A7340:A7570)+1</f>
        <v>4623</v>
      </c>
      <c r="B7571" s="759" t="s">
        <v>3280</v>
      </c>
      <c r="C7571" s="532" t="s">
        <v>21</v>
      </c>
      <c r="D7571" s="533">
        <v>4.32</v>
      </c>
      <c r="E7571" s="534"/>
      <c r="F7571" s="535" t="s">
        <v>16</v>
      </c>
      <c r="G7571" s="1077"/>
      <c r="H7571" s="535" t="s">
        <v>3306</v>
      </c>
      <c r="I7571" s="537"/>
      <c r="J7571" s="538"/>
      <c r="K7571" s="531"/>
      <c r="L7571" s="535" t="s">
        <v>265</v>
      </c>
      <c r="M7571" s="535">
        <v>4320.4799999999996</v>
      </c>
      <c r="N7571" s="539">
        <v>0.41666666666666669</v>
      </c>
      <c r="O7571" s="897" t="s">
        <v>3314</v>
      </c>
    </row>
    <row r="7572" spans="1:16" x14ac:dyDescent="0.25">
      <c r="A7572" s="1105"/>
      <c r="B7572" s="824" t="s">
        <v>3280</v>
      </c>
      <c r="C7572" s="820" t="s">
        <v>21</v>
      </c>
      <c r="D7572" s="821">
        <v>3.7250000000000001</v>
      </c>
      <c r="E7572" s="822"/>
      <c r="F7572" s="819" t="s">
        <v>16</v>
      </c>
      <c r="G7572" s="1078"/>
      <c r="H7572" s="819" t="s">
        <v>3306</v>
      </c>
      <c r="I7572" s="782"/>
      <c r="J7572" s="825"/>
      <c r="K7572" s="849"/>
      <c r="L7572" s="819" t="s">
        <v>28</v>
      </c>
      <c r="M7572" s="819">
        <v>3725.2400000000002</v>
      </c>
      <c r="N7572" s="811">
        <v>0.41666666666666669</v>
      </c>
      <c r="O7572" s="897" t="s">
        <v>3318</v>
      </c>
    </row>
    <row r="7573" spans="1:16" x14ac:dyDescent="0.25">
      <c r="A7573" s="1105"/>
      <c r="B7573" s="824" t="s">
        <v>3280</v>
      </c>
      <c r="C7573" s="820" t="s">
        <v>24</v>
      </c>
      <c r="D7573" s="821">
        <v>4.3280000000000003</v>
      </c>
      <c r="E7573" s="822"/>
      <c r="F7573" s="819" t="s">
        <v>16</v>
      </c>
      <c r="G7573" s="1078"/>
      <c r="H7573" s="819" t="s">
        <v>3306</v>
      </c>
      <c r="I7573" s="782"/>
      <c r="J7573" s="825"/>
      <c r="K7573" s="849"/>
      <c r="L7573" s="819" t="s">
        <v>28</v>
      </c>
      <c r="M7573" s="819">
        <v>4396.2</v>
      </c>
      <c r="N7573" s="811">
        <v>0.41666666666666669</v>
      </c>
      <c r="O7573" s="897" t="s">
        <v>3319</v>
      </c>
    </row>
    <row r="7574" spans="1:16" x14ac:dyDescent="0.25">
      <c r="A7574" s="1105"/>
      <c r="B7574" s="824" t="s">
        <v>3280</v>
      </c>
      <c r="C7574" s="820" t="s">
        <v>20</v>
      </c>
      <c r="D7574" s="821">
        <v>4.9580000000000002</v>
      </c>
      <c r="E7574" s="822"/>
      <c r="F7574" s="819" t="s">
        <v>16</v>
      </c>
      <c r="G7574" s="1078"/>
      <c r="H7574" s="819" t="s">
        <v>3306</v>
      </c>
      <c r="I7574" s="782"/>
      <c r="J7574" s="825"/>
      <c r="K7574" s="849"/>
      <c r="L7574" s="819" t="s">
        <v>28</v>
      </c>
      <c r="M7574" s="819">
        <v>5054.7400000000016</v>
      </c>
      <c r="N7574" s="811">
        <v>0.41666666666666669</v>
      </c>
      <c r="O7574" s="897" t="s">
        <v>3310</v>
      </c>
    </row>
    <row r="7575" spans="1:16" ht="19.5" thickBot="1" x14ac:dyDescent="0.3">
      <c r="A7575" s="1106"/>
      <c r="B7575" s="785" t="s">
        <v>3338</v>
      </c>
      <c r="C7575" s="786" t="s">
        <v>20</v>
      </c>
      <c r="D7575" s="787">
        <v>0.18</v>
      </c>
      <c r="E7575" s="787"/>
      <c r="F7575" s="788" t="s">
        <v>16</v>
      </c>
      <c r="G7575" s="789" t="s">
        <v>76</v>
      </c>
      <c r="H7575" s="788" t="s">
        <v>3306</v>
      </c>
      <c r="I7575" s="788"/>
      <c r="J7575" s="790"/>
      <c r="K7575" s="877"/>
      <c r="L7575" s="788" t="s">
        <v>28</v>
      </c>
      <c r="M7575" s="788">
        <v>180</v>
      </c>
      <c r="N7575" s="784">
        <v>0.41666666666666669</v>
      </c>
      <c r="O7575" s="897" t="s">
        <v>3394</v>
      </c>
      <c r="P7575" s="867" t="s">
        <v>3395</v>
      </c>
    </row>
    <row r="7576" spans="1:16" x14ac:dyDescent="0.25">
      <c r="A7576" s="1095">
        <f>MAX(A7344:A7575)+1</f>
        <v>4624</v>
      </c>
      <c r="B7576" s="523" t="s">
        <v>3280</v>
      </c>
      <c r="C7576" s="524" t="s">
        <v>23</v>
      </c>
      <c r="D7576" s="525">
        <v>12.507</v>
      </c>
      <c r="E7576" s="526"/>
      <c r="F7576" s="527" t="s">
        <v>16</v>
      </c>
      <c r="G7576" s="561"/>
      <c r="H7576" s="527" t="s">
        <v>3306</v>
      </c>
      <c r="I7576" s="528"/>
      <c r="J7576" s="529"/>
      <c r="K7576" s="523"/>
      <c r="L7576" s="527" t="s">
        <v>28</v>
      </c>
      <c r="M7576" s="527">
        <v>12590.420000000002</v>
      </c>
      <c r="N7576" s="530">
        <v>0.45833333333333331</v>
      </c>
      <c r="O7576" s="897" t="s">
        <v>3311</v>
      </c>
    </row>
    <row r="7577" spans="1:16" ht="19.5" thickBot="1" x14ac:dyDescent="0.3">
      <c r="A7577" s="1096"/>
      <c r="B7577" s="495" t="s">
        <v>3280</v>
      </c>
      <c r="C7577" s="496" t="s">
        <v>839</v>
      </c>
      <c r="D7577" s="497">
        <v>5.0199999999999996</v>
      </c>
      <c r="E7577" s="498"/>
      <c r="F7577" s="499" t="s">
        <v>16</v>
      </c>
      <c r="G7577" s="1081"/>
      <c r="H7577" s="499" t="s">
        <v>3306</v>
      </c>
      <c r="I7577" s="500"/>
      <c r="J7577" s="501"/>
      <c r="K7577" s="495"/>
      <c r="L7577" s="499" t="s">
        <v>28</v>
      </c>
      <c r="M7577" s="499">
        <v>5020.8</v>
      </c>
      <c r="N7577" s="502">
        <v>0.45833333333333331</v>
      </c>
      <c r="O7577" s="897" t="s">
        <v>3312</v>
      </c>
    </row>
    <row r="7578" spans="1:16" x14ac:dyDescent="0.25">
      <c r="A7578" s="1104">
        <f>MAX(A7346:A7577)+1</f>
        <v>4625</v>
      </c>
      <c r="B7578" s="759" t="s">
        <v>3280</v>
      </c>
      <c r="C7578" s="532" t="s">
        <v>15</v>
      </c>
      <c r="D7578" s="533">
        <v>8.798</v>
      </c>
      <c r="E7578" s="534"/>
      <c r="F7578" s="535" t="s">
        <v>16</v>
      </c>
      <c r="G7578" s="1077"/>
      <c r="H7578" s="535" t="s">
        <v>3306</v>
      </c>
      <c r="I7578" s="537"/>
      <c r="J7578" s="538"/>
      <c r="K7578" s="531"/>
      <c r="L7578" s="535" t="s">
        <v>28</v>
      </c>
      <c r="M7578" s="535">
        <v>8925.9599999999991</v>
      </c>
      <c r="N7578" s="539">
        <v>0.5</v>
      </c>
      <c r="O7578" s="897" t="s">
        <v>3313</v>
      </c>
    </row>
    <row r="7579" spans="1:16" x14ac:dyDescent="0.25">
      <c r="A7579" s="1105"/>
      <c r="B7579" s="824" t="s">
        <v>3280</v>
      </c>
      <c r="C7579" s="820" t="s">
        <v>24</v>
      </c>
      <c r="D7579" s="821">
        <v>8.702</v>
      </c>
      <c r="E7579" s="822"/>
      <c r="F7579" s="819" t="s">
        <v>16</v>
      </c>
      <c r="G7579" s="1078"/>
      <c r="H7579" s="819" t="s">
        <v>3306</v>
      </c>
      <c r="I7579" s="782"/>
      <c r="J7579" s="825"/>
      <c r="K7579" s="849"/>
      <c r="L7579" s="819" t="s">
        <v>28</v>
      </c>
      <c r="M7579" s="819">
        <v>8807.24</v>
      </c>
      <c r="N7579" s="811">
        <v>0.5</v>
      </c>
      <c r="O7579" s="897" t="s">
        <v>3320</v>
      </c>
    </row>
    <row r="7580" spans="1:16" ht="19.5" thickBot="1" x14ac:dyDescent="0.3">
      <c r="A7580" s="1105"/>
      <c r="B7580" s="785" t="s">
        <v>3338</v>
      </c>
      <c r="C7580" s="786" t="s">
        <v>15</v>
      </c>
      <c r="D7580" s="787">
        <v>0.51</v>
      </c>
      <c r="E7580" s="787"/>
      <c r="F7580" s="788" t="s">
        <v>16</v>
      </c>
      <c r="G7580" s="789" t="s">
        <v>76</v>
      </c>
      <c r="H7580" s="788" t="s">
        <v>3306</v>
      </c>
      <c r="I7580" s="788"/>
      <c r="J7580" s="790"/>
      <c r="K7580" s="877"/>
      <c r="L7580" s="788" t="s">
        <v>28</v>
      </c>
      <c r="M7580" s="788">
        <v>510</v>
      </c>
      <c r="N7580" s="784">
        <v>0.5</v>
      </c>
      <c r="O7580" s="897" t="s">
        <v>3389</v>
      </c>
    </row>
    <row r="7581" spans="1:16" ht="19.5" thickBot="1" x14ac:dyDescent="0.3">
      <c r="A7581" s="513">
        <f>MAX(A7348:A7580)+1</f>
        <v>4626</v>
      </c>
      <c r="B7581" s="645" t="s">
        <v>3290</v>
      </c>
      <c r="C7581" s="646" t="s">
        <v>26</v>
      </c>
      <c r="D7581" s="647">
        <v>14.771000000000001</v>
      </c>
      <c r="E7581" s="648">
        <v>14.771000000000001</v>
      </c>
      <c r="F7581" s="649" t="s">
        <v>30</v>
      </c>
      <c r="G7581" s="1080"/>
      <c r="H7581" s="649" t="s">
        <v>3306</v>
      </c>
      <c r="I7581" s="651" t="s">
        <v>3306</v>
      </c>
      <c r="J7581" s="652"/>
      <c r="K7581" s="645"/>
      <c r="L7581" s="649" t="s">
        <v>265</v>
      </c>
      <c r="M7581" s="649">
        <v>14771.439999999999</v>
      </c>
      <c r="N7581" s="653">
        <v>4.1666666666666664E-2</v>
      </c>
      <c r="O7581" s="897" t="s">
        <v>3344</v>
      </c>
      <c r="P7581" s="867" t="s">
        <v>3383</v>
      </c>
    </row>
    <row r="7582" spans="1:16" ht="19.5" thickBot="1" x14ac:dyDescent="0.3">
      <c r="A7582" s="503">
        <f>MAX(A7349:A7581)+1</f>
        <v>4627</v>
      </c>
      <c r="B7582" s="504" t="s">
        <v>3290</v>
      </c>
      <c r="C7582" s="505" t="s">
        <v>3305</v>
      </c>
      <c r="D7582" s="506">
        <v>3.8969999999999998</v>
      </c>
      <c r="E7582" s="507"/>
      <c r="F7582" s="508" t="s">
        <v>30</v>
      </c>
      <c r="G7582" s="509"/>
      <c r="H7582" s="508" t="s">
        <v>3306</v>
      </c>
      <c r="I7582" s="510"/>
      <c r="J7582" s="511"/>
      <c r="K7582" s="504"/>
      <c r="L7582" s="508" t="s">
        <v>266</v>
      </c>
      <c r="M7582" s="508">
        <v>3897.8999999999996</v>
      </c>
      <c r="N7582" s="512">
        <v>0.41666666666666669</v>
      </c>
      <c r="O7582" s="897" t="s">
        <v>3343</v>
      </c>
    </row>
    <row r="7583" spans="1:16" x14ac:dyDescent="0.25">
      <c r="A7583" s="1097">
        <f>MAX(A7350:A7582)+1</f>
        <v>4628</v>
      </c>
      <c r="B7583" s="523" t="s">
        <v>3290</v>
      </c>
      <c r="C7583" s="524" t="s">
        <v>26</v>
      </c>
      <c r="D7583" s="525">
        <v>15.347</v>
      </c>
      <c r="E7583" s="526"/>
      <c r="F7583" s="527" t="s">
        <v>16</v>
      </c>
      <c r="G7583" s="561"/>
      <c r="H7583" s="527" t="s">
        <v>3338</v>
      </c>
      <c r="I7583" s="528"/>
      <c r="J7583" s="529"/>
      <c r="K7583" s="523"/>
      <c r="L7583" s="527" t="s">
        <v>265</v>
      </c>
      <c r="M7583" s="527">
        <v>15526.1</v>
      </c>
      <c r="N7583" s="530">
        <v>4.1666666666666664E-2</v>
      </c>
      <c r="O7583" s="897" t="s">
        <v>3340</v>
      </c>
    </row>
    <row r="7584" spans="1:16" ht="19.5" thickBot="1" x14ac:dyDescent="0.3">
      <c r="A7584" s="1096"/>
      <c r="B7584" s="495" t="s">
        <v>3290</v>
      </c>
      <c r="C7584" s="496" t="s">
        <v>1358</v>
      </c>
      <c r="D7584" s="497">
        <v>2.3519999999999999</v>
      </c>
      <c r="E7584" s="498"/>
      <c r="F7584" s="499" t="s">
        <v>16</v>
      </c>
      <c r="G7584" s="1081"/>
      <c r="H7584" s="499" t="s">
        <v>3338</v>
      </c>
      <c r="I7584" s="500"/>
      <c r="J7584" s="501"/>
      <c r="K7584" s="495"/>
      <c r="L7584" s="499" t="s">
        <v>265</v>
      </c>
      <c r="M7584" s="499">
        <v>2352</v>
      </c>
      <c r="N7584" s="502">
        <v>4.1666666666666664E-2</v>
      </c>
      <c r="O7584" s="897" t="s">
        <v>3341</v>
      </c>
    </row>
    <row r="7585" spans="1:15" x14ac:dyDescent="0.25">
      <c r="A7585" s="1104">
        <f>MAX(A7352:A7584)+1</f>
        <v>4629</v>
      </c>
      <c r="B7585" s="759" t="s">
        <v>3290</v>
      </c>
      <c r="C7585" s="532" t="s">
        <v>3175</v>
      </c>
      <c r="D7585" s="533">
        <v>7.0789999999999997</v>
      </c>
      <c r="E7585" s="534"/>
      <c r="F7585" s="535" t="s">
        <v>16</v>
      </c>
      <c r="G7585" s="1077"/>
      <c r="H7585" s="535" t="s">
        <v>3338</v>
      </c>
      <c r="I7585" s="537"/>
      <c r="J7585" s="538"/>
      <c r="K7585" s="531"/>
      <c r="L7585" s="535" t="s">
        <v>265</v>
      </c>
      <c r="M7585" s="535">
        <v>7079.1399999999994</v>
      </c>
      <c r="N7585" s="539">
        <v>0.41666666666666669</v>
      </c>
      <c r="O7585" s="897" t="s">
        <v>3358</v>
      </c>
    </row>
    <row r="7586" spans="1:15" x14ac:dyDescent="0.25">
      <c r="A7586" s="1105"/>
      <c r="B7586" s="824" t="s">
        <v>3290</v>
      </c>
      <c r="C7586" s="820" t="s">
        <v>15</v>
      </c>
      <c r="D7586" s="821">
        <v>2.8679999999999999</v>
      </c>
      <c r="E7586" s="822"/>
      <c r="F7586" s="819" t="s">
        <v>16</v>
      </c>
      <c r="G7586" s="1078"/>
      <c r="H7586" s="819" t="s">
        <v>3338</v>
      </c>
      <c r="I7586" s="782"/>
      <c r="J7586" s="825"/>
      <c r="K7586" s="849"/>
      <c r="L7586" s="819" t="s">
        <v>28</v>
      </c>
      <c r="M7586" s="819">
        <v>2964.2200000000003</v>
      </c>
      <c r="N7586" s="811">
        <v>0.41666666666666669</v>
      </c>
      <c r="O7586" s="897" t="s">
        <v>3355</v>
      </c>
    </row>
    <row r="7587" spans="1:15" x14ac:dyDescent="0.25">
      <c r="A7587" s="1105"/>
      <c r="B7587" s="824" t="s">
        <v>3290</v>
      </c>
      <c r="C7587" s="820" t="s">
        <v>24</v>
      </c>
      <c r="D7587" s="821">
        <v>5.8120000000000003</v>
      </c>
      <c r="E7587" s="822"/>
      <c r="F7587" s="819" t="s">
        <v>16</v>
      </c>
      <c r="G7587" s="1078"/>
      <c r="H7587" s="819" t="s">
        <v>3338</v>
      </c>
      <c r="I7587" s="782"/>
      <c r="J7587" s="825"/>
      <c r="K7587" s="849"/>
      <c r="L7587" s="819" t="s">
        <v>28</v>
      </c>
      <c r="M7587" s="819">
        <v>5919.58</v>
      </c>
      <c r="N7587" s="811">
        <v>0.41666666666666669</v>
      </c>
      <c r="O7587" s="897" t="s">
        <v>3354</v>
      </c>
    </row>
    <row r="7588" spans="1:15" x14ac:dyDescent="0.25">
      <c r="A7588" s="1105"/>
      <c r="B7588" s="813" t="s">
        <v>3338</v>
      </c>
      <c r="C7588" s="814" t="s">
        <v>15</v>
      </c>
      <c r="D7588" s="815">
        <v>0.33</v>
      </c>
      <c r="E7588" s="815"/>
      <c r="F7588" s="816" t="s">
        <v>16</v>
      </c>
      <c r="G7588" s="817" t="s">
        <v>76</v>
      </c>
      <c r="H7588" s="816" t="s">
        <v>3338</v>
      </c>
      <c r="I7588" s="816"/>
      <c r="J7588" s="818"/>
      <c r="K7588" s="1082"/>
      <c r="L7588" s="816" t="s">
        <v>28</v>
      </c>
      <c r="M7588" s="816">
        <v>330</v>
      </c>
      <c r="N7588" s="811">
        <v>0.41666666666666669</v>
      </c>
      <c r="O7588" s="897" t="s">
        <v>3392</v>
      </c>
    </row>
    <row r="7589" spans="1:15" ht="19.5" thickBot="1" x14ac:dyDescent="0.3">
      <c r="A7589" s="1106"/>
      <c r="B7589" s="785" t="s">
        <v>3338</v>
      </c>
      <c r="C7589" s="786" t="s">
        <v>24</v>
      </c>
      <c r="D7589" s="787">
        <v>1.92</v>
      </c>
      <c r="E7589" s="787"/>
      <c r="F7589" s="788" t="s">
        <v>16</v>
      </c>
      <c r="G7589" s="789" t="s">
        <v>76</v>
      </c>
      <c r="H7589" s="788" t="s">
        <v>3338</v>
      </c>
      <c r="I7589" s="788"/>
      <c r="J7589" s="790"/>
      <c r="K7589" s="877"/>
      <c r="L7589" s="788" t="s">
        <v>28</v>
      </c>
      <c r="M7589" s="788">
        <v>1920</v>
      </c>
      <c r="N7589" s="784">
        <v>0.41666666666666669</v>
      </c>
      <c r="O7589" s="897" t="s">
        <v>3391</v>
      </c>
    </row>
    <row r="7590" spans="1:15" x14ac:dyDescent="0.25">
      <c r="A7590" s="1098">
        <f>MAX(A7356:A7589)+1</f>
        <v>4630</v>
      </c>
      <c r="B7590" s="866" t="s">
        <v>3290</v>
      </c>
      <c r="C7590" s="524" t="s">
        <v>23</v>
      </c>
      <c r="D7590" s="525">
        <v>16.491</v>
      </c>
      <c r="E7590" s="526"/>
      <c r="F7590" s="527" t="s">
        <v>16</v>
      </c>
      <c r="G7590" s="1137" t="s">
        <v>1633</v>
      </c>
      <c r="H7590" s="527" t="s">
        <v>3338</v>
      </c>
      <c r="I7590" s="1091" t="s">
        <v>3390</v>
      </c>
      <c r="J7590" s="529"/>
      <c r="K7590" s="523"/>
      <c r="L7590" s="527" t="s">
        <v>28</v>
      </c>
      <c r="M7590" s="527">
        <v>16677.73</v>
      </c>
      <c r="N7590" s="530">
        <v>0.45833333333333331</v>
      </c>
      <c r="O7590" s="897" t="s">
        <v>3357</v>
      </c>
    </row>
    <row r="7591" spans="1:15" ht="19.5" thickBot="1" x14ac:dyDescent="0.3">
      <c r="A7591" s="1100"/>
      <c r="B7591" s="1083" t="s">
        <v>3290</v>
      </c>
      <c r="C7591" s="1084" t="s">
        <v>20</v>
      </c>
      <c r="D7591" s="1085">
        <v>1.8919999999999999</v>
      </c>
      <c r="E7591" s="1086"/>
      <c r="F7591" s="1087" t="s">
        <v>16</v>
      </c>
      <c r="G7591" s="1196"/>
      <c r="H7591" s="1087" t="s">
        <v>3338</v>
      </c>
      <c r="I7591" s="1088"/>
      <c r="J7591" s="1089"/>
      <c r="K7591" s="1090"/>
      <c r="L7591" s="1087" t="s">
        <v>28</v>
      </c>
      <c r="M7591" s="1087">
        <v>1998.1400000000003</v>
      </c>
      <c r="N7591" s="846">
        <v>0.45833333333333331</v>
      </c>
      <c r="O7591" s="897" t="s">
        <v>3356</v>
      </c>
    </row>
    <row r="7592" spans="1:15" x14ac:dyDescent="0.25">
      <c r="A7592" s="1092">
        <f>MAX(A7357:A7590)+1</f>
        <v>4631</v>
      </c>
      <c r="B7592" s="759" t="s">
        <v>3290</v>
      </c>
      <c r="C7592" s="532" t="s">
        <v>47</v>
      </c>
      <c r="D7592" s="533">
        <v>17.157</v>
      </c>
      <c r="E7592" s="534"/>
      <c r="F7592" s="535" t="s">
        <v>16</v>
      </c>
      <c r="G7592" s="1108" t="s">
        <v>1634</v>
      </c>
      <c r="H7592" s="535" t="s">
        <v>3338</v>
      </c>
      <c r="I7592" s="537"/>
      <c r="J7592" s="538"/>
      <c r="K7592" s="531"/>
      <c r="L7592" s="535" t="s">
        <v>28</v>
      </c>
      <c r="M7592" s="535">
        <v>17379.25</v>
      </c>
      <c r="N7592" s="539">
        <v>0.5</v>
      </c>
      <c r="O7592" s="897" t="s">
        <v>3359</v>
      </c>
    </row>
    <row r="7593" spans="1:15" ht="19.5" thickBot="1" x14ac:dyDescent="0.3">
      <c r="A7593" s="1094"/>
      <c r="B7593" s="785" t="s">
        <v>3338</v>
      </c>
      <c r="C7593" s="786" t="s">
        <v>47</v>
      </c>
      <c r="D7593" s="787">
        <v>0.3</v>
      </c>
      <c r="E7593" s="787"/>
      <c r="F7593" s="788" t="s">
        <v>16</v>
      </c>
      <c r="G7593" s="1109"/>
      <c r="H7593" s="788" t="s">
        <v>3338</v>
      </c>
      <c r="I7593" s="788"/>
      <c r="J7593" s="790"/>
      <c r="K7593" s="877"/>
      <c r="L7593" s="788" t="s">
        <v>28</v>
      </c>
      <c r="M7593" s="788">
        <v>300</v>
      </c>
      <c r="N7593" s="784">
        <v>0.5</v>
      </c>
      <c r="O7593" s="897" t="s">
        <v>3393</v>
      </c>
    </row>
    <row r="7594" spans="1:15" x14ac:dyDescent="0.25">
      <c r="A7594" s="1097">
        <f>MAX(A7358:A7592)+1</f>
        <v>4632</v>
      </c>
      <c r="B7594" s="523" t="s">
        <v>3290</v>
      </c>
      <c r="C7594" s="524" t="s">
        <v>15</v>
      </c>
      <c r="D7594" s="525">
        <v>1.5429999999999999</v>
      </c>
      <c r="E7594" s="526"/>
      <c r="F7594" s="527" t="s">
        <v>30</v>
      </c>
      <c r="G7594" s="561"/>
      <c r="H7594" s="527" t="s">
        <v>3338</v>
      </c>
      <c r="I7594" s="528"/>
      <c r="J7594" s="529"/>
      <c r="K7594" s="523"/>
      <c r="L7594" s="527" t="s">
        <v>28</v>
      </c>
      <c r="M7594" s="527">
        <v>1543.4800000000002</v>
      </c>
      <c r="N7594" s="530">
        <v>0.41666666666666669</v>
      </c>
      <c r="O7594" s="897" t="s">
        <v>3348</v>
      </c>
    </row>
    <row r="7595" spans="1:15" x14ac:dyDescent="0.25">
      <c r="A7595" s="1097"/>
      <c r="B7595" s="523" t="s">
        <v>3290</v>
      </c>
      <c r="C7595" s="524" t="s">
        <v>24</v>
      </c>
      <c r="D7595" s="525">
        <v>7.117</v>
      </c>
      <c r="E7595" s="526"/>
      <c r="F7595" s="527" t="s">
        <v>30</v>
      </c>
      <c r="G7595" s="561"/>
      <c r="H7595" s="527" t="s">
        <v>3338</v>
      </c>
      <c r="I7595" s="528"/>
      <c r="J7595" s="529"/>
      <c r="K7595" s="523"/>
      <c r="L7595" s="527" t="s">
        <v>28</v>
      </c>
      <c r="M7595" s="527">
        <v>7117.6800000000012</v>
      </c>
      <c r="N7595" s="530">
        <v>0.41666666666666669</v>
      </c>
      <c r="O7595" s="897" t="s">
        <v>3347</v>
      </c>
    </row>
    <row r="7596" spans="1:15" ht="19.5" thickBot="1" x14ac:dyDescent="0.3">
      <c r="A7596" s="1096"/>
      <c r="B7596" s="645" t="s">
        <v>3290</v>
      </c>
      <c r="C7596" s="646" t="s">
        <v>20</v>
      </c>
      <c r="D7596" s="647">
        <v>6.2290000000000001</v>
      </c>
      <c r="E7596" s="648"/>
      <c r="F7596" s="649" t="s">
        <v>30</v>
      </c>
      <c r="G7596" s="1071"/>
      <c r="H7596" s="649" t="s">
        <v>3338</v>
      </c>
      <c r="I7596" s="651"/>
      <c r="J7596" s="652"/>
      <c r="K7596" s="645"/>
      <c r="L7596" s="649" t="s">
        <v>28</v>
      </c>
      <c r="M7596" s="649">
        <v>6229.5600000000013</v>
      </c>
      <c r="N7596" s="653">
        <v>0.41666666666666669</v>
      </c>
      <c r="O7596" s="897" t="s">
        <v>3349</v>
      </c>
    </row>
    <row r="7597" spans="1:15" ht="19.5" thickBot="1" x14ac:dyDescent="0.3">
      <c r="A7597" s="503">
        <f>MAX(A7361:A7596)+1</f>
        <v>4633</v>
      </c>
      <c r="B7597" s="504" t="s">
        <v>3290</v>
      </c>
      <c r="C7597" s="505" t="s">
        <v>3305</v>
      </c>
      <c r="D7597" s="506">
        <v>2.9140000000000001</v>
      </c>
      <c r="E7597" s="507"/>
      <c r="F7597" s="508" t="s">
        <v>30</v>
      </c>
      <c r="G7597" s="509"/>
      <c r="H7597" s="508" t="s">
        <v>3338</v>
      </c>
      <c r="I7597" s="510"/>
      <c r="J7597" s="511"/>
      <c r="K7597" s="504"/>
      <c r="L7597" s="508" t="s">
        <v>266</v>
      </c>
      <c r="M7597" s="508">
        <v>2914.3199999999997</v>
      </c>
      <c r="N7597" s="512">
        <v>0.45833333333333331</v>
      </c>
      <c r="O7597" s="897" t="s">
        <v>3350</v>
      </c>
    </row>
    <row r="7598" spans="1:15" ht="19.5" thickBot="1" x14ac:dyDescent="0.3">
      <c r="A7598" s="1068">
        <f>MAX(A7362:A7597)+1</f>
        <v>4634</v>
      </c>
      <c r="B7598" s="645" t="s">
        <v>3290</v>
      </c>
      <c r="C7598" s="646" t="s">
        <v>26</v>
      </c>
      <c r="D7598" s="647">
        <v>17.651</v>
      </c>
      <c r="E7598" s="648"/>
      <c r="F7598" s="649" t="s">
        <v>16</v>
      </c>
      <c r="G7598" s="1071"/>
      <c r="H7598" s="649" t="s">
        <v>3339</v>
      </c>
      <c r="I7598" s="651"/>
      <c r="J7598" s="652"/>
      <c r="K7598" s="645"/>
      <c r="L7598" s="649" t="s">
        <v>265</v>
      </c>
      <c r="M7598" s="649">
        <v>17826.480000000003</v>
      </c>
      <c r="N7598" s="653">
        <v>4.1666666666666664E-2</v>
      </c>
      <c r="O7598" s="897" t="s">
        <v>3342</v>
      </c>
    </row>
    <row r="7599" spans="1:15" ht="19.5" thickBot="1" x14ac:dyDescent="0.3">
      <c r="A7599" s="503">
        <f>MAX(A7363:A7598)+1</f>
        <v>4635</v>
      </c>
      <c r="B7599" s="504" t="s">
        <v>3290</v>
      </c>
      <c r="C7599" s="505" t="s">
        <v>26</v>
      </c>
      <c r="D7599" s="506">
        <v>14.93</v>
      </c>
      <c r="E7599" s="507"/>
      <c r="F7599" s="508" t="s">
        <v>30</v>
      </c>
      <c r="G7599" s="509"/>
      <c r="H7599" s="508" t="s">
        <v>3339</v>
      </c>
      <c r="I7599" s="510"/>
      <c r="J7599" s="511"/>
      <c r="K7599" s="504"/>
      <c r="L7599" s="508" t="s">
        <v>265</v>
      </c>
      <c r="M7599" s="508">
        <v>14930.519999999999</v>
      </c>
      <c r="N7599" s="512">
        <v>4.1666666666666664E-2</v>
      </c>
      <c r="O7599" s="897" t="s">
        <v>3345</v>
      </c>
    </row>
    <row r="7600" spans="1:15" x14ac:dyDescent="0.25">
      <c r="A7600" s="1097">
        <f>MAX(A7364:A7599)+1</f>
        <v>4636</v>
      </c>
      <c r="B7600" s="523" t="s">
        <v>3290</v>
      </c>
      <c r="C7600" s="524" t="s">
        <v>480</v>
      </c>
      <c r="D7600" s="525">
        <v>6.391</v>
      </c>
      <c r="E7600" s="526"/>
      <c r="F7600" s="527" t="s">
        <v>16</v>
      </c>
      <c r="G7600" s="561"/>
      <c r="H7600" s="527" t="s">
        <v>3339</v>
      </c>
      <c r="I7600" s="528"/>
      <c r="J7600" s="529"/>
      <c r="K7600" s="523"/>
      <c r="L7600" s="527" t="s">
        <v>266</v>
      </c>
      <c r="M7600" s="527">
        <v>6391.6800000000012</v>
      </c>
      <c r="N7600" s="530">
        <v>0.41666666666666669</v>
      </c>
      <c r="O7600" s="897" t="s">
        <v>3362</v>
      </c>
    </row>
    <row r="7601" spans="1:15" ht="19.5" thickBot="1" x14ac:dyDescent="0.3">
      <c r="A7601" s="1096"/>
      <c r="B7601" s="645" t="s">
        <v>3290</v>
      </c>
      <c r="C7601" s="646" t="s">
        <v>23</v>
      </c>
      <c r="D7601" s="647">
        <v>11.218999999999999</v>
      </c>
      <c r="E7601" s="648"/>
      <c r="F7601" s="649" t="s">
        <v>16</v>
      </c>
      <c r="G7601" s="1071"/>
      <c r="H7601" s="649" t="s">
        <v>3339</v>
      </c>
      <c r="I7601" s="651"/>
      <c r="J7601" s="652"/>
      <c r="K7601" s="645"/>
      <c r="L7601" s="649" t="s">
        <v>28</v>
      </c>
      <c r="M7601" s="649">
        <v>11337.57</v>
      </c>
      <c r="N7601" s="653">
        <v>0.41666666666666669</v>
      </c>
      <c r="O7601" s="897" t="s">
        <v>3361</v>
      </c>
    </row>
    <row r="7602" spans="1:15" x14ac:dyDescent="0.25">
      <c r="A7602" s="1092">
        <f>MAX(A7366:A7601)+1</f>
        <v>4637</v>
      </c>
      <c r="B7602" s="531" t="s">
        <v>3290</v>
      </c>
      <c r="C7602" s="532" t="s">
        <v>587</v>
      </c>
      <c r="D7602" s="533">
        <v>5.0629999999999997</v>
      </c>
      <c r="E7602" s="534"/>
      <c r="F7602" s="535" t="s">
        <v>16</v>
      </c>
      <c r="G7602" s="1074" t="s">
        <v>47</v>
      </c>
      <c r="H7602" s="535" t="s">
        <v>3339</v>
      </c>
      <c r="I7602" s="537"/>
      <c r="J7602" s="538"/>
      <c r="K7602" s="531"/>
      <c r="L7602" s="535" t="s">
        <v>28</v>
      </c>
      <c r="M7602" s="535">
        <v>5063.2</v>
      </c>
      <c r="N7602" s="539">
        <v>0.45833333333333331</v>
      </c>
      <c r="O7602" s="897" t="s">
        <v>3365</v>
      </c>
    </row>
    <row r="7603" spans="1:15" ht="19.5" thickBot="1" x14ac:dyDescent="0.3">
      <c r="A7603" s="1094"/>
      <c r="B7603" s="636" t="s">
        <v>3290</v>
      </c>
      <c r="C7603" s="637" t="s">
        <v>47</v>
      </c>
      <c r="D7603" s="638">
        <v>12.545999999999999</v>
      </c>
      <c r="E7603" s="639"/>
      <c r="F7603" s="640" t="s">
        <v>16</v>
      </c>
      <c r="G7603" s="1069"/>
      <c r="H7603" s="640" t="s">
        <v>3339</v>
      </c>
      <c r="I7603" s="642"/>
      <c r="J7603" s="643"/>
      <c r="K7603" s="636"/>
      <c r="L7603" s="640" t="s">
        <v>28</v>
      </c>
      <c r="M7603" s="640">
        <v>12699.64</v>
      </c>
      <c r="N7603" s="644">
        <v>0.45833333333333331</v>
      </c>
      <c r="O7603" s="897" t="s">
        <v>3364</v>
      </c>
    </row>
    <row r="7604" spans="1:15" x14ac:dyDescent="0.25">
      <c r="A7604" s="1097">
        <f>MAX(A7368:A7603)+1</f>
        <v>4638</v>
      </c>
      <c r="B7604" s="523" t="s">
        <v>3290</v>
      </c>
      <c r="C7604" s="524" t="s">
        <v>25</v>
      </c>
      <c r="D7604" s="525">
        <v>12.486000000000001</v>
      </c>
      <c r="E7604" s="526"/>
      <c r="F7604" s="527" t="s">
        <v>16</v>
      </c>
      <c r="G7604" s="561"/>
      <c r="H7604" s="527" t="s">
        <v>3339</v>
      </c>
      <c r="I7604" s="528"/>
      <c r="J7604" s="529"/>
      <c r="K7604" s="523"/>
      <c r="L7604" s="527" t="s">
        <v>265</v>
      </c>
      <c r="M7604" s="527">
        <v>12486.280000000002</v>
      </c>
      <c r="N7604" s="530">
        <v>0.5</v>
      </c>
      <c r="O7604" s="897" t="s">
        <v>3363</v>
      </c>
    </row>
    <row r="7605" spans="1:15" x14ac:dyDescent="0.25">
      <c r="A7605" s="1097"/>
      <c r="B7605" s="523" t="s">
        <v>3290</v>
      </c>
      <c r="C7605" s="524" t="s">
        <v>2771</v>
      </c>
      <c r="D7605" s="525">
        <v>4.4950000000000001</v>
      </c>
      <c r="E7605" s="526"/>
      <c r="F7605" s="527" t="s">
        <v>16</v>
      </c>
      <c r="G7605" s="561"/>
      <c r="H7605" s="527" t="s">
        <v>3339</v>
      </c>
      <c r="I7605" s="528"/>
      <c r="J7605" s="529"/>
      <c r="K7605" s="523"/>
      <c r="L7605" s="527" t="s">
        <v>28</v>
      </c>
      <c r="M7605" s="527">
        <v>4495.2</v>
      </c>
      <c r="N7605" s="530">
        <v>0.5</v>
      </c>
      <c r="O7605" s="897" t="s">
        <v>3360</v>
      </c>
    </row>
    <row r="7606" spans="1:15" ht="19.5" thickBot="1" x14ac:dyDescent="0.3">
      <c r="A7606" s="1096"/>
      <c r="B7606" s="645" t="s">
        <v>3290</v>
      </c>
      <c r="C7606" s="646" t="s">
        <v>24</v>
      </c>
      <c r="D7606" s="647">
        <v>1</v>
      </c>
      <c r="E7606" s="648"/>
      <c r="F7606" s="649" t="s">
        <v>16</v>
      </c>
      <c r="G7606" s="1071"/>
      <c r="H7606" s="649" t="s">
        <v>3339</v>
      </c>
      <c r="I7606" s="651"/>
      <c r="J7606" s="652"/>
      <c r="K7606" s="645"/>
      <c r="L7606" s="649" t="s">
        <v>28</v>
      </c>
      <c r="M7606" s="649">
        <v>1012.8000000000001</v>
      </c>
      <c r="N7606" s="653">
        <v>0.5</v>
      </c>
      <c r="O7606" s="897" t="s">
        <v>3346</v>
      </c>
    </row>
    <row r="7607" spans="1:15" ht="19.5" thickBot="1" x14ac:dyDescent="0.3">
      <c r="A7607" s="503">
        <f t="shared" ref="A7607:A7622" si="234">MAX(A7371:A7606)+1</f>
        <v>4639</v>
      </c>
      <c r="B7607" s="504" t="s">
        <v>3290</v>
      </c>
      <c r="C7607" s="505" t="s">
        <v>3305</v>
      </c>
      <c r="D7607" s="506">
        <v>3.2010000000000001</v>
      </c>
      <c r="E7607" s="507"/>
      <c r="F7607" s="508" t="s">
        <v>30</v>
      </c>
      <c r="G7607" s="509"/>
      <c r="H7607" s="508" t="s">
        <v>3339</v>
      </c>
      <c r="I7607" s="510"/>
      <c r="J7607" s="511"/>
      <c r="K7607" s="504"/>
      <c r="L7607" s="508" t="s">
        <v>266</v>
      </c>
      <c r="M7607" s="508">
        <v>3201.12</v>
      </c>
      <c r="N7607" s="512">
        <v>0.41666666666666669</v>
      </c>
      <c r="O7607" s="897" t="s">
        <v>3353</v>
      </c>
    </row>
    <row r="7608" spans="1:15" ht="19.5" thickBot="1" x14ac:dyDescent="0.3">
      <c r="A7608" s="1068">
        <f t="shared" si="234"/>
        <v>4640</v>
      </c>
      <c r="B7608" s="645" t="s">
        <v>3290</v>
      </c>
      <c r="C7608" s="646" t="s">
        <v>47</v>
      </c>
      <c r="D7608" s="647">
        <v>12.427</v>
      </c>
      <c r="E7608" s="648"/>
      <c r="F7608" s="649" t="s">
        <v>30</v>
      </c>
      <c r="G7608" s="1071"/>
      <c r="H7608" s="649" t="s">
        <v>3339</v>
      </c>
      <c r="I7608" s="651"/>
      <c r="J7608" s="652"/>
      <c r="K7608" s="645"/>
      <c r="L7608" s="649" t="s">
        <v>28</v>
      </c>
      <c r="M7608" s="649">
        <v>12427.880000000001</v>
      </c>
      <c r="N7608" s="653">
        <v>0.45833333333333331</v>
      </c>
      <c r="O7608" s="897" t="s">
        <v>3351</v>
      </c>
    </row>
    <row r="7609" spans="1:15" ht="19.5" thickBot="1" x14ac:dyDescent="0.3">
      <c r="A7609" s="503">
        <f t="shared" si="234"/>
        <v>4641</v>
      </c>
      <c r="B7609" s="504" t="s">
        <v>3290</v>
      </c>
      <c r="C7609" s="505" t="s">
        <v>23</v>
      </c>
      <c r="D7609" s="506">
        <v>12.988</v>
      </c>
      <c r="E7609" s="507"/>
      <c r="F7609" s="508" t="s">
        <v>30</v>
      </c>
      <c r="G7609" s="509"/>
      <c r="H7609" s="508" t="s">
        <v>3339</v>
      </c>
      <c r="I7609" s="510"/>
      <c r="J7609" s="1076"/>
      <c r="K7609" s="1075"/>
      <c r="L7609" s="508" t="s">
        <v>28</v>
      </c>
      <c r="M7609" s="508">
        <v>12988.240000000002</v>
      </c>
      <c r="N7609" s="512">
        <v>0.5</v>
      </c>
      <c r="O7609" s="897" t="s">
        <v>3352</v>
      </c>
    </row>
    <row r="7610" spans="1:15" x14ac:dyDescent="0.25">
      <c r="A7610" s="676">
        <f t="shared" si="234"/>
        <v>4642</v>
      </c>
      <c r="B7610" s="676"/>
      <c r="C7610" s="473"/>
      <c r="D7610" s="474"/>
      <c r="E7610" s="475"/>
      <c r="F7610" s="676"/>
      <c r="G7610" s="476"/>
      <c r="H7610" s="676"/>
      <c r="I7610" s="477"/>
      <c r="J7610" s="1073"/>
      <c r="K7610" s="676"/>
      <c r="L7610" s="676"/>
      <c r="M7610" s="676"/>
      <c r="N7610" s="676"/>
    </row>
    <row r="7611" spans="1:15" x14ac:dyDescent="0.25">
      <c r="A7611" s="676">
        <f t="shared" si="234"/>
        <v>4643</v>
      </c>
      <c r="B7611" s="676"/>
      <c r="C7611" s="473"/>
      <c r="D7611" s="474"/>
      <c r="E7611" s="475"/>
      <c r="F7611" s="676"/>
      <c r="G7611" s="476"/>
      <c r="H7611" s="676"/>
      <c r="I7611" s="477"/>
      <c r="J7611" s="1073"/>
      <c r="K7611" s="676"/>
      <c r="L7611" s="676"/>
      <c r="M7611" s="676"/>
      <c r="N7611" s="676"/>
    </row>
    <row r="7612" spans="1:15" x14ac:dyDescent="0.25">
      <c r="A7612" s="676">
        <f t="shared" si="234"/>
        <v>4644</v>
      </c>
      <c r="B7612" s="676"/>
      <c r="C7612" s="473"/>
      <c r="D7612" s="474"/>
      <c r="E7612" s="475"/>
      <c r="F7612" s="676"/>
      <c r="G7612" s="476"/>
      <c r="H7612" s="676"/>
      <c r="I7612" s="477"/>
      <c r="J7612" s="1073"/>
      <c r="K7612" s="676"/>
      <c r="L7612" s="676"/>
      <c r="M7612" s="676"/>
      <c r="N7612" s="676"/>
    </row>
    <row r="7613" spans="1:15" x14ac:dyDescent="0.25">
      <c r="A7613" s="676">
        <f t="shared" si="234"/>
        <v>4645</v>
      </c>
      <c r="B7613" s="676"/>
      <c r="C7613" s="473"/>
      <c r="D7613" s="474"/>
      <c r="E7613" s="475"/>
      <c r="F7613" s="676"/>
      <c r="G7613" s="476"/>
      <c r="H7613" s="676"/>
      <c r="I7613" s="477"/>
      <c r="J7613" s="1073"/>
      <c r="K7613" s="676"/>
      <c r="L7613" s="676"/>
      <c r="M7613" s="676"/>
      <c r="N7613" s="676"/>
    </row>
    <row r="7614" spans="1:15" x14ac:dyDescent="0.25">
      <c r="A7614" s="676">
        <f t="shared" si="234"/>
        <v>4646</v>
      </c>
      <c r="B7614" s="676"/>
      <c r="C7614" s="473"/>
      <c r="D7614" s="474"/>
      <c r="E7614" s="475"/>
      <c r="F7614" s="676"/>
      <c r="G7614" s="476"/>
      <c r="H7614" s="676"/>
      <c r="I7614" s="477"/>
      <c r="J7614" s="1073"/>
      <c r="K7614" s="676"/>
      <c r="L7614" s="676"/>
      <c r="M7614" s="676"/>
      <c r="N7614" s="676"/>
    </row>
    <row r="7615" spans="1:15" x14ac:dyDescent="0.25">
      <c r="A7615" s="676">
        <f t="shared" si="234"/>
        <v>4647</v>
      </c>
      <c r="B7615" s="676"/>
      <c r="C7615" s="473"/>
      <c r="D7615" s="474"/>
      <c r="E7615" s="475"/>
      <c r="F7615" s="676"/>
      <c r="G7615" s="476"/>
      <c r="H7615" s="676"/>
      <c r="I7615" s="477"/>
      <c r="J7615" s="1073"/>
      <c r="K7615" s="676"/>
      <c r="L7615" s="676"/>
      <c r="M7615" s="676"/>
      <c r="N7615" s="676"/>
    </row>
    <row r="7616" spans="1:15" x14ac:dyDescent="0.25">
      <c r="A7616" s="676">
        <f t="shared" si="234"/>
        <v>4648</v>
      </c>
      <c r="B7616" s="676"/>
      <c r="C7616" s="473"/>
      <c r="D7616" s="474"/>
      <c r="E7616" s="475"/>
      <c r="F7616" s="676"/>
      <c r="G7616" s="476"/>
      <c r="H7616" s="676"/>
      <c r="I7616" s="477"/>
      <c r="J7616" s="1073"/>
      <c r="K7616" s="676"/>
      <c r="L7616" s="676"/>
      <c r="M7616" s="676"/>
      <c r="N7616" s="676"/>
    </row>
    <row r="7617" spans="1:14" x14ac:dyDescent="0.25">
      <c r="A7617" s="676">
        <f t="shared" si="234"/>
        <v>4649</v>
      </c>
      <c r="B7617" s="676"/>
      <c r="C7617" s="473"/>
      <c r="D7617" s="474"/>
      <c r="E7617" s="475"/>
      <c r="F7617" s="676"/>
      <c r="G7617" s="476"/>
      <c r="H7617" s="676"/>
      <c r="I7617" s="477"/>
      <c r="J7617" s="1073"/>
      <c r="K7617" s="676"/>
      <c r="L7617" s="676"/>
      <c r="M7617" s="676"/>
      <c r="N7617" s="676"/>
    </row>
    <row r="7618" spans="1:14" x14ac:dyDescent="0.25">
      <c r="A7618" s="676">
        <f t="shared" si="234"/>
        <v>4650</v>
      </c>
      <c r="B7618" s="676"/>
      <c r="C7618" s="473"/>
      <c r="D7618" s="474"/>
      <c r="E7618" s="475"/>
      <c r="F7618" s="676"/>
      <c r="G7618" s="476"/>
      <c r="H7618" s="676"/>
      <c r="I7618" s="477"/>
      <c r="J7618" s="1073"/>
      <c r="K7618" s="676"/>
      <c r="L7618" s="676"/>
      <c r="M7618" s="676"/>
      <c r="N7618" s="676"/>
    </row>
    <row r="7619" spans="1:14" x14ac:dyDescent="0.25">
      <c r="A7619" s="676">
        <f t="shared" si="234"/>
        <v>4651</v>
      </c>
      <c r="B7619" s="676"/>
      <c r="C7619" s="473"/>
      <c r="D7619" s="474"/>
      <c r="E7619" s="475"/>
      <c r="F7619" s="676"/>
      <c r="G7619" s="476"/>
      <c r="H7619" s="676"/>
      <c r="I7619" s="477"/>
      <c r="J7619" s="1073"/>
      <c r="K7619" s="676"/>
      <c r="L7619" s="676"/>
      <c r="M7619" s="676"/>
      <c r="N7619" s="676"/>
    </row>
    <row r="7620" spans="1:14" x14ac:dyDescent="0.25">
      <c r="A7620" s="676">
        <f t="shared" si="234"/>
        <v>4652</v>
      </c>
      <c r="B7620" s="676"/>
      <c r="C7620" s="473"/>
      <c r="D7620" s="474"/>
      <c r="E7620" s="475"/>
      <c r="F7620" s="676"/>
      <c r="G7620" s="476"/>
      <c r="H7620" s="676"/>
      <c r="I7620" s="477"/>
      <c r="J7620" s="1073"/>
      <c r="K7620" s="676"/>
      <c r="L7620" s="676"/>
      <c r="M7620" s="676"/>
      <c r="N7620" s="676"/>
    </row>
    <row r="7621" spans="1:14" x14ac:dyDescent="0.25">
      <c r="A7621" s="676">
        <f t="shared" si="234"/>
        <v>4653</v>
      </c>
      <c r="B7621" s="676"/>
      <c r="C7621" s="473"/>
      <c r="D7621" s="474"/>
      <c r="E7621" s="475"/>
      <c r="F7621" s="676"/>
      <c r="G7621" s="476"/>
      <c r="H7621" s="676"/>
      <c r="I7621" s="477"/>
      <c r="J7621" s="1073"/>
      <c r="K7621" s="676"/>
      <c r="L7621" s="676"/>
      <c r="M7621" s="676"/>
      <c r="N7621" s="676"/>
    </row>
    <row r="7622" spans="1:14" x14ac:dyDescent="0.25">
      <c r="A7622" s="676">
        <f t="shared" si="234"/>
        <v>4654</v>
      </c>
      <c r="B7622" s="676"/>
      <c r="C7622" s="473"/>
      <c r="D7622" s="474"/>
      <c r="E7622" s="475"/>
      <c r="F7622" s="676"/>
      <c r="G7622" s="476"/>
      <c r="H7622" s="676"/>
      <c r="I7622" s="477"/>
      <c r="J7622" s="1073"/>
      <c r="K7622" s="676"/>
      <c r="L7622" s="676"/>
      <c r="M7622" s="676"/>
      <c r="N7622" s="676"/>
    </row>
  </sheetData>
  <autoFilter ref="A2:R7622" xr:uid="{9E4C531E-AD50-422A-AC7C-8C5AF4C19268}">
    <filterColumn colId="10">
      <filters blank="1"/>
    </filterColumn>
  </autoFilter>
  <mergeCells count="2038">
    <mergeCell ref="A7583:A7584"/>
    <mergeCell ref="A7585:A7589"/>
    <mergeCell ref="A7594:A7596"/>
    <mergeCell ref="A7600:A7601"/>
    <mergeCell ref="A7602:A7603"/>
    <mergeCell ref="A7604:A7606"/>
    <mergeCell ref="A7561:A7562"/>
    <mergeCell ref="A7564:A7566"/>
    <mergeCell ref="A7568:A7569"/>
    <mergeCell ref="A7571:A7575"/>
    <mergeCell ref="A7576:A7577"/>
    <mergeCell ref="A7578:A7580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553:A7554"/>
    <mergeCell ref="A7534:A7535"/>
    <mergeCell ref="A7590:A7591"/>
    <mergeCell ref="G7590:G7591"/>
    <mergeCell ref="A7592:A7593"/>
    <mergeCell ref="G7592:G7593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199:A7200"/>
    <mergeCell ref="A7218:A7219"/>
    <mergeCell ref="A7259:A7261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093:A7094"/>
    <mergeCell ref="G7115:G7118"/>
    <mergeCell ref="A7095:A7096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99:A7003"/>
    <mergeCell ref="G6999:G7003"/>
    <mergeCell ref="A7004:A7005"/>
    <mergeCell ref="A7017:A7019"/>
    <mergeCell ref="A7042:A7046"/>
    <mergeCell ref="A7047:A7049"/>
    <mergeCell ref="A7050:A7053"/>
    <mergeCell ref="A7011:A7013"/>
    <mergeCell ref="A6695:A6697"/>
    <mergeCell ref="A6700:A6702"/>
    <mergeCell ref="G6721:G6722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992:A6995"/>
    <mergeCell ref="A6703:A6706"/>
    <mergeCell ref="A6741:A6743"/>
    <mergeCell ref="A6744:A6746"/>
    <mergeCell ref="A6747:A6749"/>
    <mergeCell ref="A6840:A6843"/>
    <mergeCell ref="A6939:A6940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915:A6919"/>
    <mergeCell ref="A6887:A6888"/>
    <mergeCell ref="A6854:A6855"/>
    <mergeCell ref="A6975:A6978"/>
    <mergeCell ref="A6985:A6986"/>
    <mergeCell ref="A6987:A6988"/>
    <mergeCell ref="A6968:A6969"/>
    <mergeCell ref="A6948:A6950"/>
    <mergeCell ref="G6878:G6879"/>
    <mergeCell ref="A6870:A6872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5:A6676"/>
    <mergeCell ref="G6660:G6661"/>
    <mergeCell ref="A6759:A6762"/>
    <mergeCell ref="A6889:A6890"/>
    <mergeCell ref="A6908:A6911"/>
    <mergeCell ref="A6912:A6913"/>
    <mergeCell ref="A6893:A6895"/>
    <mergeCell ref="G6861:G686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98:A6699"/>
    <mergeCell ref="G6560:G6561"/>
    <mergeCell ref="A6769:A6770"/>
    <mergeCell ref="A6785:A6786"/>
    <mergeCell ref="A6780:A6781"/>
    <mergeCell ref="A6771:A6774"/>
    <mergeCell ref="A6782:A6784"/>
    <mergeCell ref="A6721:A672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08:A6609"/>
    <mergeCell ref="A5472:A5474"/>
    <mergeCell ref="A6673:A6674"/>
    <mergeCell ref="A6763:A6765"/>
    <mergeCell ref="G1401:G1404"/>
    <mergeCell ref="A6640:A6642"/>
    <mergeCell ref="A1409:A1410"/>
    <mergeCell ref="A1412:A1413"/>
    <mergeCell ref="A1415:A1416"/>
    <mergeCell ref="A1418:A1419"/>
    <mergeCell ref="G1418:G1419"/>
    <mergeCell ref="G1459:G1460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7:A1408"/>
    <mergeCell ref="A1421:A1422"/>
    <mergeCell ref="A1459:A1460"/>
    <mergeCell ref="A1464:A1465"/>
    <mergeCell ref="A1469:A1470"/>
    <mergeCell ref="A1471:A1472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21:A1522"/>
    <mergeCell ref="A1523:A1524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418:A5419"/>
    <mergeCell ref="A5513:A5514"/>
    <mergeCell ref="A5527:A5528"/>
    <mergeCell ref="A5489:A5490"/>
    <mergeCell ref="A5400:A5401"/>
    <mergeCell ref="A5501:A5502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599:A5600"/>
    <mergeCell ref="A6601:A6602"/>
    <mergeCell ref="A6552:A6554"/>
    <mergeCell ref="A6663:A6664"/>
    <mergeCell ref="A6644:A6647"/>
    <mergeCell ref="A6585:A6586"/>
    <mergeCell ref="A6649:A6651"/>
    <mergeCell ref="A5609:A5610"/>
    <mergeCell ref="A5619:A5620"/>
    <mergeCell ref="A5621:A5622"/>
    <mergeCell ref="A6589:A6590"/>
    <mergeCell ref="A6668:A6669"/>
    <mergeCell ref="G6604:G6605"/>
    <mergeCell ref="A5625:A5626"/>
    <mergeCell ref="A6624:A6625"/>
    <mergeCell ref="A6629:A6631"/>
    <mergeCell ref="A5606:A5607"/>
    <mergeCell ref="A6617:A6618"/>
    <mergeCell ref="A6678:A6679"/>
    <mergeCell ref="A5623:A5624"/>
    <mergeCell ref="A6635:A6637"/>
    <mergeCell ref="A6709:A6712"/>
    <mergeCell ref="A6611:A6612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5402:A5403"/>
    <mergeCell ref="A5497:A5498"/>
    <mergeCell ref="A5499:A5500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G5599:G5600"/>
    <mergeCell ref="A5602:A5603"/>
    <mergeCell ref="A6578:A6580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73:A7274"/>
    <mergeCell ref="A7271:A7272"/>
    <mergeCell ref="A7278:A7279"/>
    <mergeCell ref="A7318:A7320"/>
    <mergeCell ref="A7311:A7317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2026-10-26T13:42:44Z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