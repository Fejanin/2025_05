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CCCC3E2-7CB0-4CDC-A214-1B920F55DAB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Лист1!$A$2:$R$6899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7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Q6878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/>
  <c r="A6861" i="1" s="1"/>
  <c r="A6864" i="1" l="1"/>
  <c r="A6866" i="1" s="1"/>
  <c r="A6868" i="1" s="1"/>
  <c r="A6869" i="1" s="1"/>
  <c r="A6870" i="1" s="1"/>
  <c r="A6873" i="1" s="1"/>
  <c r="A6876" i="1" s="1"/>
  <c r="A6878" i="1" l="1"/>
  <c r="A6880" i="1" s="1"/>
  <c r="A6881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l="1"/>
  <c r="A6893" i="1" s="1"/>
  <c r="A6894" i="1" s="1"/>
  <c r="A6895" i="1" l="1"/>
  <c r="A6896" i="1" s="1"/>
  <c r="A6897" i="1" s="1"/>
  <c r="A6898" i="1" s="1"/>
  <c r="A6899" i="1" s="1"/>
</calcChain>
</file>

<file path=xl/sharedStrings.xml><?xml version="1.0" encoding="utf-8"?>
<sst xmlns="http://schemas.openxmlformats.org/spreadsheetml/2006/main" count="43638" uniqueCount="1880">
  <si>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</si>
  <si>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</si>
  <si>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</si>
  <si>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</si>
  <si>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</si>
  <si>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</si>
  <si>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</si>
  <si>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</si>
  <si>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</si>
  <si>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</si>
  <si>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</si>
  <si>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</si>
  <si>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</si>
  <si>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</si>
  <si>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</si>
  <si>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</si>
  <si>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</si>
  <si>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</si>
  <si>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</si>
  <si>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</si>
  <si>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</si>
  <si>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</si>
  <si>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</si>
  <si>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</si>
  <si>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</si>
  <si>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</si>
  <si>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</si>
  <si>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</si>
  <si>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</si>
  <si>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</si>
  <si>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</si>
  <si>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</si>
  <si>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</si>
  <si>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</si>
  <si>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</si>
  <si>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</si>
  <si>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</si>
  <si>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</si>
  <si>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</si>
  <si>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</si>
  <si>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</si>
  <si>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</si>
  <si>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</si>
  <si>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</si>
  <si>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</si>
  <si>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</si>
  <si>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</si>
  <si>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</si>
  <si>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</si>
  <si>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</si>
  <si>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</si>
  <si>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</si>
  <si>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</si>
  <si>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</si>
  <si>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</si>
  <si>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</si>
  <si>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</si>
  <si>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</si>
  <si>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</si>
  <si>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</si>
  <si>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</si>
  <si>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</si>
  <si>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</si>
  <si>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</si>
  <si>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</si>
  <si>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</si>
  <si>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</si>
  <si>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</si>
  <si>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</si>
  <si>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</si>
  <si>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</si>
  <si>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</si>
  <si>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</si>
  <si>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</si>
  <si>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</si>
  <si>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</si>
  <si>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</si>
  <si>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</si>
  <si>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</si>
  <si>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</si>
  <si>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</si>
  <si>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</si>
  <si>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</si>
  <si>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</si>
  <si>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</si>
  <si>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</si>
  <si>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</si>
  <si>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</si>
  <si>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</si>
  <si>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</si>
  <si>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</si>
  <si>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</si>
  <si>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</si>
  <si>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</si>
  <si>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</si>
  <si>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</si>
  <si>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</si>
  <si>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</si>
  <si>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</si>
  <si>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</si>
  <si>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</si>
  <si>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</si>
  <si>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</si>
  <si>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</si>
  <si>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</si>
  <si>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</si>
  <si>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</si>
  <si>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</si>
  <si>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</si>
  <si>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</si>
  <si>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</si>
  <si>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</si>
  <si>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</si>
  <si>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</si>
  <si>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</si>
  <si>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</si>
  <si>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</si>
  <si>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</si>
  <si>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</si>
  <si>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</si>
  <si>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</si>
  <si>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</si>
  <si>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</si>
  <si>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</si>
  <si>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</si>
  <si>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</si>
  <si>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</si>
  <si>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</si>
  <si>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</si>
  <si>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</si>
  <si>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</si>
  <si>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</si>
  <si>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</si>
  <si>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</si>
  <si>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</si>
  <si>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</si>
  <si>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</si>
  <si>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</si>
  <si>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</si>
  <si>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</si>
  <si>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</si>
  <si>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</si>
  <si>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</si>
  <si>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</si>
  <si>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</si>
  <si>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</si>
  <si>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</si>
  <si>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</si>
  <si>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</si>
  <si>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</si>
  <si>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</si>
  <si>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</si>
  <si>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</si>
  <si>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</si>
  <si>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</si>
  <si>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</si>
  <si>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</si>
  <si>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</si>
  <si>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</si>
  <si>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</si>
  <si>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</si>
  <si>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</si>
  <si>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</si>
  <si>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</si>
  <si>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</si>
  <si>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</si>
  <si>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</si>
  <si>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</si>
  <si>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</si>
  <si>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</si>
  <si>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</si>
  <si>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</si>
  <si>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</si>
  <si>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</si>
  <si>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</si>
  <si>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</si>
  <si>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</si>
  <si>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</si>
  <si>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</si>
  <si>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</si>
  <si>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</si>
  <si>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</si>
  <si>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</si>
  <si>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</si>
  <si>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</si>
  <si>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</si>
  <si>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</si>
  <si>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</si>
  <si>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</si>
  <si>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</si>
  <si>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</si>
  <si>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</si>
  <si>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</si>
  <si>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</si>
  <si>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</si>
  <si>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</si>
  <si>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</si>
  <si>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</si>
  <si>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</si>
  <si>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</si>
  <si>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</si>
  <si>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</si>
  <si>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</si>
  <si>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</si>
  <si>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</si>
  <si>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</si>
  <si>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</si>
  <si>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</si>
  <si>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</si>
  <si>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</si>
  <si>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</si>
  <si>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</si>
  <si>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</si>
  <si>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</si>
  <si>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</si>
  <si>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</si>
  <si>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</si>
  <si>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</si>
  <si>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</si>
  <si>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</si>
  <si>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</si>
  <si>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</si>
  <si>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</si>
  <si>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</si>
  <si>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</si>
  <si>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</si>
  <si>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</si>
  <si>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</si>
  <si>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</si>
  <si>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</si>
  <si>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</si>
  <si>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</si>
  <si>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</si>
  <si>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</si>
  <si>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</si>
  <si>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</si>
  <si>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</si>
  <si>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</si>
  <si>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</si>
  <si>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</si>
  <si>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</si>
  <si>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</si>
  <si>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</si>
  <si>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</si>
  <si>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</si>
  <si>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</si>
  <si>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</si>
  <si>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</si>
  <si>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</si>
  <si>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</si>
  <si>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</si>
  <si>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</si>
  <si>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</si>
  <si>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</si>
  <si>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</si>
  <si>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</si>
  <si>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</si>
  <si>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</si>
  <si>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</si>
  <si>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</si>
  <si>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</si>
  <si>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</si>
  <si>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</si>
  <si>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</si>
  <si>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</si>
  <si>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</si>
  <si>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</si>
  <si>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</si>
  <si>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</si>
  <si>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</si>
  <si>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</si>
  <si>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</si>
  <si>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</si>
  <si>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</si>
  <si>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</si>
  <si>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</si>
  <si>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</si>
  <si>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</si>
  <si>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</si>
  <si>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</si>
  <si>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</si>
  <si>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</si>
  <si>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</si>
  <si>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</si>
  <si>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</si>
  <si>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</si>
  <si>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</si>
  <si>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</si>
  <si>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</si>
  <si>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</si>
  <si>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</si>
  <si>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</si>
  <si>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</si>
  <si>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</si>
  <si>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</si>
  <si>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</si>
  <si>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</si>
  <si>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</si>
  <si>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</si>
  <si>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</si>
  <si>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</si>
  <si>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</si>
  <si>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</si>
  <si>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</si>
  <si>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</si>
  <si>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</si>
  <si>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</si>
  <si>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</si>
  <si>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</si>
  <si>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</si>
  <si>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</si>
  <si>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</si>
  <si>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</si>
  <si>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</si>
  <si>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</si>
  <si>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</si>
  <si>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</si>
  <si>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</si>
  <si>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</si>
  <si>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</si>
  <si>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</si>
  <si>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</si>
  <si>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</si>
  <si>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</si>
  <si>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</si>
  <si>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</si>
  <si>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</si>
  <si>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</si>
  <si>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</si>
  <si>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</si>
  <si>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</si>
  <si>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</si>
  <si>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</si>
  <si>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</si>
  <si>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</si>
  <si>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</si>
  <si>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</si>
  <si>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</si>
  <si>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</si>
  <si>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</si>
  <si>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</si>
  <si>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</si>
  <si>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</si>
  <si>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</si>
  <si>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</si>
  <si>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</si>
  <si>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</si>
  <si>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</si>
  <si>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</si>
  <si>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</si>
  <si>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</si>
  <si>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</si>
  <si>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</si>
  <si>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</si>
  <si>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</si>
  <si>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</si>
  <si>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</si>
  <si>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</si>
  <si>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</si>
  <si>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</si>
  <si>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</si>
  <si>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</si>
  <si>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</si>
  <si>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</si>
  <si>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</si>
  <si>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</si>
  <si>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</si>
  <si>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</si>
  <si>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</si>
  <si>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</si>
  <si>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</si>
  <si>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</si>
  <si>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</si>
  <si>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</si>
  <si>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</si>
  <si>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</si>
  <si>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</si>
  <si>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</si>
  <si>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</si>
  <si>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</si>
  <si>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</si>
  <si>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</si>
  <si>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</si>
  <si>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</si>
  <si>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</si>
  <si>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</si>
  <si>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</si>
  <si>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</si>
  <si>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</si>
  <si>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</si>
  <si>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</si>
  <si>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</si>
  <si>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</si>
  <si>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</si>
  <si>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</si>
  <si>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</si>
  <si>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</si>
  <si>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</si>
  <si>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</si>
  <si>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</si>
  <si>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</si>
  <si>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</si>
  <si>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</si>
  <si>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</si>
  <si>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</si>
  <si>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</si>
  <si>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</si>
  <si>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</si>
  <si>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</si>
  <si>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</si>
  <si>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</si>
  <si>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</si>
  <si>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</si>
  <si>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</si>
  <si>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</si>
  <si>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</si>
  <si>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</si>
  <si>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</si>
  <si>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</si>
  <si>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</si>
  <si>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</si>
  <si>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</si>
  <si>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</si>
  <si>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</si>
  <si>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</si>
  <si>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</si>
  <si>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</si>
  <si>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</si>
  <si>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</si>
  <si>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</si>
  <si>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</si>
  <si>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</si>
  <si>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</si>
  <si>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</si>
  <si>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</si>
  <si>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</si>
  <si>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</si>
  <si>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</si>
  <si>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</si>
  <si>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</si>
  <si>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</si>
  <si>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</si>
  <si>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</si>
  <si>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</si>
  <si>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</si>
  <si>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</si>
  <si>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</si>
  <si>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</si>
  <si>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</si>
  <si>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</si>
  <si>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</si>
  <si>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</si>
  <si>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</si>
  <si>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</si>
  <si>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</si>
  <si>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</si>
  <si>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</si>
  <si>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</si>
  <si>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</si>
  <si>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</si>
  <si>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</si>
  <si>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</si>
  <si>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</si>
  <si>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</si>
  <si>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</si>
  <si>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</si>
  <si>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</si>
  <si>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</si>
  <si>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</si>
  <si>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</si>
  <si>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</si>
  <si>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</si>
  <si>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</si>
  <si>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</si>
  <si>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</si>
  <si>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</si>
  <si>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</si>
  <si>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</si>
  <si>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</si>
  <si>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</si>
  <si>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</si>
  <si>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</si>
  <si>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</si>
  <si>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</si>
  <si>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</si>
  <si>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</si>
  <si>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</si>
  <si>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</si>
  <si>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</si>
  <si>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</si>
  <si>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</si>
  <si>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</si>
  <si>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</si>
  <si>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</si>
  <si>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</si>
  <si>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</si>
  <si>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</si>
  <si>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</si>
  <si>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</si>
  <si>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</si>
  <si>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</si>
  <si>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</si>
  <si>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</si>
  <si>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</si>
  <si>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</si>
  <si>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</si>
  <si>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</si>
  <si>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</si>
  <si>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</si>
  <si>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</si>
  <si>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</si>
  <si>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</si>
  <si>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</si>
  <si>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</si>
  <si>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</si>
  <si>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</si>
  <si>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</si>
  <si>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</si>
  <si>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</si>
  <si>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</si>
  <si>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</si>
  <si>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</si>
  <si>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</si>
  <si>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</si>
  <si>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</si>
  <si>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</si>
  <si>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</si>
  <si>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</si>
  <si>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</si>
  <si>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</si>
  <si>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</si>
  <si>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</si>
  <si>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</si>
  <si>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</si>
  <si>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</si>
  <si>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</si>
  <si>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</si>
  <si>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</si>
  <si>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</si>
  <si>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</si>
  <si>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</si>
  <si>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</si>
  <si>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</si>
  <si>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</si>
  <si>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</si>
  <si>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</si>
  <si>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</si>
  <si>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</si>
  <si>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</si>
  <si>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</si>
  <si>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</si>
  <si>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</si>
  <si>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</si>
  <si>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</si>
  <si>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</si>
  <si>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</si>
  <si>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</si>
  <si>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</si>
  <si>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</si>
  <si>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</si>
  <si>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</si>
  <si>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</si>
  <si>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</si>
  <si>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</si>
  <si>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</si>
  <si>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</si>
  <si>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</si>
  <si>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</si>
  <si>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</si>
  <si>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</si>
  <si>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</si>
  <si>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</si>
  <si>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</si>
  <si>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</si>
  <si>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</si>
  <si>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</si>
  <si>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</si>
  <si>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</si>
  <si>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</si>
  <si>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</si>
  <si>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</si>
  <si>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</si>
  <si>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</si>
  <si>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</si>
  <si>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</si>
  <si>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</si>
  <si>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</si>
  <si>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</si>
  <si>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</si>
  <si>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</si>
  <si>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</si>
  <si>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</si>
  <si>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</si>
  <si>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</si>
  <si>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</si>
  <si>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</si>
  <si>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</si>
  <si>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</si>
  <si>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</si>
  <si>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</si>
  <si>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</si>
  <si>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</si>
  <si>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</si>
  <si>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</si>
  <si>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</si>
  <si>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</si>
  <si>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</si>
  <si>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</si>
  <si>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</si>
  <si>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</si>
  <si>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</si>
  <si>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</si>
  <si>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</si>
  <si>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</si>
  <si>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</si>
  <si>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</si>
  <si>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</si>
  <si>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</si>
  <si>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</si>
  <si>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</si>
  <si>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</si>
  <si>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</si>
  <si>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</si>
  <si>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</si>
  <si>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</si>
  <si>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</si>
  <si>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</si>
  <si>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</si>
  <si>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</si>
  <si>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</si>
  <si>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</si>
  <si>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</si>
  <si>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</si>
  <si>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</si>
  <si>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</si>
  <si>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</si>
  <si>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</si>
  <si>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</si>
  <si>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</si>
  <si>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</si>
  <si>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</si>
  <si>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</si>
  <si>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</si>
  <si>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</si>
  <si>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</si>
  <si>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</si>
  <si>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</si>
  <si>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</si>
  <si>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</si>
  <si>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</si>
  <si>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</si>
  <si>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</si>
  <si>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</si>
  <si>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</si>
  <si>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</si>
  <si>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</si>
  <si>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</si>
  <si>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</si>
  <si>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</si>
  <si>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</si>
  <si>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</si>
  <si>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</si>
  <si>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</si>
  <si>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</si>
  <si>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</si>
  <si>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</si>
  <si>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</si>
  <si>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</si>
  <si>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</si>
  <si>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</si>
  <si>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</si>
  <si>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</si>
  <si>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</si>
  <si>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</si>
  <si>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</si>
  <si>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</si>
  <si>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</si>
  <si>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</si>
  <si>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</si>
  <si>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</si>
  <si>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</si>
  <si>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</si>
  <si>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</si>
  <si>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</si>
  <si>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</si>
  <si>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</si>
  <si>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</si>
  <si>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</si>
  <si>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</si>
  <si>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</si>
  <si>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</si>
  <si>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</si>
  <si>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</si>
  <si>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</si>
  <si>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</si>
  <si>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</si>
  <si>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</si>
  <si>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</si>
  <si>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</si>
  <si>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</si>
  <si>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</si>
  <si>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</si>
  <si>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</si>
  <si>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</si>
  <si>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</si>
  <si>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</si>
  <si>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</si>
  <si>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</si>
  <si>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</si>
  <si>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</si>
  <si>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</si>
  <si>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</si>
  <si>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</si>
  <si>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</si>
  <si>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</si>
  <si>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</si>
  <si>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</si>
  <si>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</si>
  <si>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</si>
  <si>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</si>
  <si>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</si>
  <si>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</si>
  <si>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</si>
  <si>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</si>
  <si>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</si>
  <si>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</si>
  <si>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</si>
  <si>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</si>
  <si>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</si>
  <si>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</si>
  <si>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</si>
  <si>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</si>
  <si>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</si>
  <si>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</si>
  <si>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</si>
  <si>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</si>
  <si>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</si>
  <si>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</si>
  <si>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</si>
  <si>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</si>
  <si>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</si>
  <si>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</si>
  <si>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</si>
  <si>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</si>
  <si>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</si>
  <si>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</si>
  <si>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</si>
  <si>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</si>
  <si>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</si>
  <si>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</si>
  <si>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</si>
  <si>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</si>
  <si>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</si>
  <si>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</si>
  <si>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</si>
  <si>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</si>
  <si>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</si>
  <si>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</si>
  <si>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</si>
  <si>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</si>
  <si>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</si>
  <si>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</si>
  <si>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</si>
  <si>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</si>
  <si>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</si>
  <si>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</si>
  <si>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</si>
  <si>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</si>
  <si>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</si>
  <si>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</si>
  <si>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</si>
  <si>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</si>
  <si>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</si>
  <si>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</si>
  <si>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</si>
  <si>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</si>
  <si>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</si>
  <si>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</si>
  <si>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</si>
  <si>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</si>
  <si>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</si>
  <si>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</si>
  <si>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</si>
  <si>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</si>
  <si>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</si>
  <si>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</si>
  <si>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</si>
  <si>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</si>
  <si>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</si>
  <si>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</si>
  <si>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</si>
  <si>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</si>
  <si>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</si>
  <si>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</si>
  <si>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</si>
  <si>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</si>
  <si>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</si>
  <si>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</si>
  <si>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</si>
  <si>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</si>
  <si>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</si>
  <si>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</si>
  <si>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</si>
  <si>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</si>
  <si>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</si>
  <si>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</si>
  <si>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</si>
  <si>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</si>
  <si>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</si>
  <si>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</si>
  <si>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</si>
  <si>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</si>
  <si>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</si>
  <si>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</si>
  <si>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</si>
  <si>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</si>
  <si>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</si>
  <si>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</si>
  <si>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</si>
  <si>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</si>
  <si>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</si>
  <si>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</si>
  <si>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</si>
  <si>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</si>
  <si>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</si>
  <si>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</si>
  <si>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</si>
  <si>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</si>
  <si>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</si>
  <si>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</si>
  <si>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</si>
  <si>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</si>
  <si>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</si>
  <si>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</si>
  <si>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</si>
  <si>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</si>
  <si>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</si>
  <si>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</si>
  <si>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</si>
  <si>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</si>
  <si>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</si>
  <si>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</si>
  <si>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</si>
  <si>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</si>
  <si>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</si>
  <si>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</si>
  <si>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</si>
  <si>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</si>
  <si>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</si>
  <si>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</si>
  <si>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</si>
  <si>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</si>
  <si>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</si>
  <si>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</si>
  <si>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</si>
  <si>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</si>
  <si>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</si>
  <si>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</si>
  <si>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</si>
  <si>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</si>
  <si>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</si>
  <si>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</si>
  <si>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</si>
  <si>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</si>
  <si>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</si>
  <si>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</si>
  <si>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</si>
  <si>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</si>
  <si>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</si>
  <si>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</si>
  <si>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</si>
  <si>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</si>
  <si>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</si>
  <si>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</si>
  <si>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</si>
  <si>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</si>
  <si>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</si>
  <si>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</si>
  <si>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</si>
  <si>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</si>
  <si>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</si>
  <si>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</si>
  <si>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</si>
  <si>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</si>
  <si>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</si>
  <si>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</si>
  <si>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</si>
  <si>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</si>
  <si>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</si>
  <si>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</si>
  <si>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</si>
  <si>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</si>
  <si>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</si>
  <si>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</si>
  <si>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</si>
  <si>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</si>
  <si>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</si>
  <si>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</si>
  <si>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</si>
  <si>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</si>
  <si>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</si>
  <si>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</si>
  <si>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</si>
  <si>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</si>
  <si>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</si>
  <si>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</si>
  <si>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</si>
  <si>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</si>
  <si>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</si>
  <si>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</si>
  <si>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</si>
  <si>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</si>
  <si>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</si>
  <si>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</si>
  <si>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</si>
  <si>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</si>
  <si>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</si>
  <si>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</si>
  <si>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</si>
  <si>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</si>
  <si>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</si>
  <si>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</si>
  <si>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</si>
  <si>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</si>
  <si>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</si>
  <si>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</si>
  <si>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</si>
  <si>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</si>
  <si>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</si>
  <si>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</si>
  <si>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</si>
  <si>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</si>
  <si>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</si>
  <si>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</si>
  <si>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</si>
  <si>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</si>
  <si>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</si>
  <si>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</si>
  <si>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</si>
  <si>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</si>
  <si>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</si>
  <si>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</si>
  <si>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</si>
  <si>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</si>
  <si>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</si>
  <si>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</si>
  <si>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</si>
  <si>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</si>
  <si>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</si>
  <si>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</si>
  <si>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</si>
  <si>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</si>
  <si>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</si>
  <si>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</si>
  <si>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</si>
  <si>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</si>
  <si>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</si>
  <si>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</si>
  <si>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</si>
  <si>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</si>
  <si>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</si>
  <si>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</si>
  <si>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</si>
  <si>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</si>
  <si>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</si>
  <si>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</si>
  <si>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</si>
  <si>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</si>
  <si>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</si>
  <si>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</si>
  <si>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</si>
  <si>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</si>
  <si>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</si>
  <si>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</si>
  <si>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</si>
  <si>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</si>
  <si>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</si>
  <si>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</si>
  <si>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</si>
  <si>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</si>
  <si>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</si>
  <si>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</si>
  <si>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</si>
  <si>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</si>
  <si>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</si>
  <si>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</si>
  <si>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</si>
  <si>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</si>
  <si>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</si>
  <si>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</si>
  <si>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</si>
  <si>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</si>
  <si>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</si>
  <si>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</si>
  <si>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</si>
  <si>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</si>
  <si>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</si>
  <si>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</si>
  <si>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</si>
  <si>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</si>
  <si>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</si>
  <si>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</si>
  <si>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</si>
  <si>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</si>
  <si>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</si>
  <si>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</si>
  <si>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</si>
  <si>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</si>
  <si>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</si>
  <si>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</si>
  <si>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</si>
  <si>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</si>
  <si>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</si>
  <si>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</si>
  <si>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</si>
  <si>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</si>
  <si>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</si>
  <si>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</si>
  <si>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</si>
  <si>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</si>
  <si>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</si>
  <si>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</si>
  <si>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</si>
  <si>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</si>
  <si>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</si>
  <si>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</si>
  <si>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</si>
  <si>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</si>
  <si>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</si>
  <si>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</si>
  <si>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</si>
  <si>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</si>
  <si>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</si>
  <si>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</si>
  <si>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</si>
  <si>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</si>
  <si>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</si>
  <si>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</si>
  <si>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</si>
  <si>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</si>
  <si>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</si>
  <si>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</si>
  <si>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</si>
  <si>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</si>
  <si>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</si>
  <si>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</si>
  <si>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</si>
  <si>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</si>
  <si>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</si>
  <si>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</si>
  <si>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</si>
  <si>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</si>
  <si>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</si>
  <si>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</si>
  <si>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</si>
  <si>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</si>
  <si>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</si>
  <si>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</si>
  <si>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</si>
  <si>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</si>
  <si>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</si>
  <si>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</si>
  <si>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</si>
  <si>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</si>
  <si>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</si>
  <si>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</si>
  <si>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</si>
  <si>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</si>
  <si>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</si>
  <si>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</si>
  <si>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</si>
  <si>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</si>
  <si>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</si>
  <si>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</si>
  <si>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</si>
  <si>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</si>
  <si>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</si>
  <si>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</si>
  <si>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</si>
  <si>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</si>
  <si>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</si>
  <si>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</si>
  <si>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</si>
  <si>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</si>
  <si>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</si>
  <si>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</si>
  <si>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</si>
  <si>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</si>
  <si>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</si>
  <si>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</si>
  <si>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</si>
  <si>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</si>
  <si>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</si>
  <si>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</si>
  <si>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</si>
  <si>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</si>
  <si>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</si>
  <si>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</si>
  <si>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</si>
  <si>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</si>
  <si>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</si>
  <si>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</si>
  <si>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</si>
  <si>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</si>
  <si>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</si>
  <si>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</si>
  <si>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</si>
  <si>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</si>
  <si>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</si>
  <si>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</si>
  <si>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</si>
  <si>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</si>
  <si>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</si>
  <si>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</si>
  <si>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</si>
  <si>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</si>
  <si>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</si>
  <si>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</si>
  <si>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</si>
  <si>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</si>
  <si>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</si>
  <si>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</si>
  <si>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</si>
  <si>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</si>
  <si>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</si>
  <si>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</si>
  <si>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</si>
  <si>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</si>
  <si>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</si>
  <si>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</si>
  <si>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</si>
  <si>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</si>
  <si>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</si>
  <si>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</si>
  <si>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</si>
  <si>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</si>
  <si>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</si>
  <si>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</si>
  <si>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</si>
  <si>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</si>
  <si>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</si>
  <si>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</si>
  <si>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</si>
  <si>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</si>
  <si>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</si>
  <si>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</si>
  <si>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</si>
  <si>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</si>
  <si>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</si>
  <si>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</si>
  <si>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</si>
  <si>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</si>
  <si>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</si>
  <si>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</si>
  <si>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</si>
  <si>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</si>
  <si>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</si>
  <si>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</si>
  <si>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</si>
  <si>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</si>
  <si>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</si>
  <si>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</si>
  <si>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</si>
  <si>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</si>
  <si>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</si>
  <si>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</si>
  <si>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</si>
  <si>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</si>
  <si>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</si>
  <si>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</si>
  <si>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</si>
  <si>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</si>
  <si>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</si>
  <si>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</si>
  <si>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</si>
  <si>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</si>
  <si>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</si>
  <si>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</si>
  <si>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</si>
  <si>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</si>
  <si>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</si>
  <si>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</si>
  <si>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</si>
  <si>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</si>
  <si>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</si>
  <si>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</si>
  <si>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</si>
  <si>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</si>
  <si>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</si>
  <si>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</si>
  <si>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</si>
  <si>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</si>
  <si>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</si>
  <si>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</si>
  <si>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</si>
  <si>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</si>
  <si>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</si>
  <si>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</si>
  <si>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</si>
  <si>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</si>
  <si>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</si>
  <si>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</si>
  <si>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</si>
  <si>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</si>
  <si>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</si>
  <si>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</si>
  <si>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</si>
  <si>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</si>
  <si>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</si>
  <si>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</si>
  <si>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</si>
  <si>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</si>
  <si>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</si>
  <si>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</si>
  <si>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</si>
  <si>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</si>
  <si>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</si>
  <si>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</si>
  <si>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</si>
  <si>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</si>
  <si>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</si>
  <si>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</si>
  <si>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</si>
  <si>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</si>
  <si>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</si>
  <si>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</si>
  <si>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</si>
  <si>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</si>
  <si>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</si>
  <si>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</si>
  <si>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</si>
  <si>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</si>
  <si>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</si>
  <si>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</si>
  <si>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</si>
  <si>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</si>
  <si>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</si>
  <si>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</si>
  <si>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</si>
  <si>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</si>
  <si>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</si>
  <si>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</si>
  <si>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</si>
  <si>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</si>
  <si>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</si>
  <si>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</si>
  <si>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</si>
  <si>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</si>
  <si>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</si>
  <si>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</si>
  <si>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</si>
  <si>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</si>
  <si>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</si>
  <si>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</si>
  <si>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</si>
  <si>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</si>
  <si>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</si>
  <si>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</si>
  <si>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</si>
  <si>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</si>
  <si>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</si>
  <si>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</si>
  <si>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</si>
  <si>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</si>
  <si>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</si>
  <si>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</si>
  <si>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</si>
  <si>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</si>
  <si>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</si>
  <si>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</si>
  <si>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</si>
  <si>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</si>
  <si>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</si>
  <si>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</si>
  <si>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</si>
  <si>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</si>
  <si>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</si>
  <si>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</si>
  <si>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</si>
  <si>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</si>
  <si>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</si>
  <si>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</si>
  <si>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</si>
  <si>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</si>
  <si>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</si>
  <si>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</si>
  <si>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</si>
  <si>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</si>
  <si>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</si>
  <si>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</si>
  <si>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</si>
  <si>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</si>
  <si>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</si>
  <si>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</si>
  <si>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</si>
  <si>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</si>
  <si>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</si>
  <si>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</si>
  <si>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</si>
  <si>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</si>
  <si>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</si>
  <si>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</si>
  <si>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</si>
  <si>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</si>
  <si>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</si>
  <si>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</si>
  <si>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</si>
  <si>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</si>
  <si>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</si>
  <si>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</si>
  <si>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</si>
  <si>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</si>
  <si>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</si>
  <si>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</si>
  <si>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</si>
  <si>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</si>
  <si>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</si>
  <si>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</si>
  <si>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</si>
  <si>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</si>
  <si>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</si>
  <si>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</si>
  <si>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</si>
  <si>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</si>
  <si>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</si>
  <si>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</si>
  <si>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</si>
  <si>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</si>
  <si>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</si>
  <si>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</si>
  <si>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</si>
  <si>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</si>
  <si>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</si>
  <si>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</si>
  <si>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</si>
  <si>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</si>
  <si>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</si>
  <si>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</si>
  <si>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</si>
  <si>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</si>
  <si>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</si>
  <si>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</si>
  <si>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</si>
  <si>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</si>
  <si>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</si>
  <si>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</si>
  <si>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</si>
  <si>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</si>
  <si>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</si>
  <si>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</si>
  <si>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</si>
  <si>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</si>
  <si>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</si>
  <si>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</si>
  <si>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</si>
  <si>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</si>
  <si>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</si>
  <si>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</si>
  <si>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</si>
  <si>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</si>
  <si>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</si>
  <si>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</si>
  <si>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</si>
  <si>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</si>
  <si>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</si>
  <si>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</si>
  <si>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</si>
  <si>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</si>
  <si>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</si>
  <si>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</si>
  <si>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</si>
  <si>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</si>
  <si>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</si>
  <si>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</si>
  <si>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</si>
  <si>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</si>
  <si>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</si>
  <si>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</si>
  <si>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</si>
  <si>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</si>
  <si>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</si>
  <si>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</si>
  <si>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</si>
  <si>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</si>
  <si>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</si>
  <si>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</si>
  <si>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</si>
  <si>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</si>
  <si>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</si>
  <si>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</si>
  <si>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</si>
  <si>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</si>
  <si>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</si>
  <si>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</si>
  <si>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</si>
  <si>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</si>
  <si>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</si>
  <si>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</si>
  <si>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</si>
  <si>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</si>
  <si>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</si>
  <si>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</si>
  <si>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</si>
  <si>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</si>
  <si>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</si>
  <si>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</si>
  <si>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</si>
  <si>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</si>
  <si>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</si>
  <si>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</si>
  <si>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</si>
  <si>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</si>
  <si>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</si>
  <si>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</si>
  <si>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</si>
  <si>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</si>
  <si>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</si>
  <si>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</si>
  <si>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</si>
  <si>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</si>
  <si>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</si>
  <si>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</si>
  <si>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</si>
  <si>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</si>
  <si>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</si>
  <si>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</si>
  <si>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</si>
  <si>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</si>
  <si>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</si>
  <si>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</si>
  <si>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</si>
  <si>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</si>
  <si>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</si>
  <si>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</si>
  <si>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</si>
  <si>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</si>
  <si>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</si>
  <si>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</si>
  <si>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</si>
  <si>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</si>
  <si>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</si>
  <si>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</si>
  <si>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</si>
  <si>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</si>
  <si>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</si>
  <si>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</si>
  <si>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</si>
  <si>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</si>
  <si>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</si>
  <si>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</si>
  <si>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</si>
  <si>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</si>
  <si>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</si>
  <si>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</si>
  <si>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</si>
  <si>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</si>
  <si>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</si>
  <si>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</si>
  <si>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</si>
  <si>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</si>
  <si>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</si>
  <si>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</si>
  <si>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</si>
  <si>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</si>
  <si>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</si>
  <si>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</si>
  <si>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</si>
  <si>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</si>
  <si>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</si>
  <si>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</si>
  <si>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</si>
  <si>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</si>
  <si>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</si>
  <si>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</si>
  <si>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</si>
  <si>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</si>
  <si>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</si>
  <si>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</si>
  <si>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</si>
  <si>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</si>
  <si>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</si>
  <si>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</si>
  <si>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</si>
  <si>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</si>
  <si>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</si>
  <si>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</si>
  <si>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</si>
  <si>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</si>
  <si>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</si>
  <si>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</si>
  <si>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</si>
  <si>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</si>
  <si>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</si>
  <si>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</si>
  <si>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</si>
  <si>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</si>
  <si>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</si>
  <si>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</si>
  <si>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</si>
  <si>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</si>
  <si>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</si>
  <si>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</si>
  <si>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</si>
  <si>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</si>
  <si>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</si>
  <si>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</si>
  <si>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</si>
  <si>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</si>
  <si>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</si>
  <si>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</si>
  <si>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</si>
  <si>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</si>
  <si>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</si>
  <si>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</si>
  <si>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</si>
  <si>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</si>
  <si>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</si>
  <si>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</si>
  <si>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</si>
  <si>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</si>
  <si>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</si>
  <si>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</si>
  <si>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</si>
  <si>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</si>
  <si>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</si>
  <si>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</si>
  <si>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</si>
  <si>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</si>
  <si>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</si>
  <si>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</si>
  <si>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</si>
  <si>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</si>
  <si>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</si>
  <si>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</si>
  <si>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</si>
  <si>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</si>
  <si>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</si>
  <si>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</si>
  <si>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</si>
  <si>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</si>
  <si>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</si>
  <si>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</si>
  <si>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</si>
  <si>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</si>
  <si>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</si>
  <si>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</si>
  <si>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</si>
  <si>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</si>
  <si>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</si>
  <si>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</si>
  <si>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</si>
  <si>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</si>
  <si>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</si>
  <si>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</si>
  <si>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</si>
  <si>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</si>
  <si>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</si>
  <si>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</si>
  <si>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</si>
  <si>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</si>
  <si>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</si>
  <si>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</si>
  <si>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</si>
  <si>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</si>
  <si>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</si>
  <si>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</si>
  <si>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</si>
  <si>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</si>
  <si>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</si>
  <si>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</si>
  <si>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</si>
  <si>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</si>
  <si>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</si>
  <si>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</si>
  <si>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</si>
  <si>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</si>
  <si>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</si>
  <si>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</si>
  <si>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</si>
  <si>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</si>
  <si>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</si>
  <si>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</si>
  <si>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</si>
  <si>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</si>
  <si>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</si>
  <si>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</si>
  <si>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</si>
  <si>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</si>
  <si>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</si>
  <si>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</si>
  <si>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</si>
  <si>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</si>
  <si>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</si>
  <si>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</si>
  <si>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</si>
  <si>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</si>
  <si>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</si>
  <si>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</si>
  <si>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</si>
  <si>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</si>
  <si>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</si>
  <si>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</si>
  <si>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</si>
  <si>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</si>
  <si>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</si>
  <si>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</si>
  <si>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</si>
  <si>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</si>
  <si>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</si>
  <si>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</si>
  <si>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</si>
  <si>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</si>
  <si>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</si>
  <si>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</si>
  <si>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</si>
  <si>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</si>
  <si>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</si>
  <si>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</si>
  <si>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</si>
  <si>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</si>
  <si>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</si>
  <si>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</si>
  <si>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</si>
  <si>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</si>
  <si>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</si>
  <si>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</si>
  <si>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</si>
  <si>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</si>
  <si>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</si>
  <si>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</si>
  <si>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</si>
  <si>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</si>
  <si>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</si>
  <si>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</si>
  <si>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</si>
  <si>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</si>
  <si>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</si>
  <si>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</si>
  <si>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</si>
  <si>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</si>
  <si>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</si>
  <si>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</si>
  <si>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</si>
  <si>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</si>
  <si>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</si>
  <si>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</si>
  <si>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</si>
  <si>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</si>
  <si>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</si>
  <si>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</si>
  <si>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</si>
  <si>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</si>
  <si>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</si>
  <si>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</si>
  <si>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</si>
  <si>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</si>
  <si>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</si>
  <si>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</si>
  <si>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</si>
  <si>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</si>
  <si>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</si>
  <si>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</si>
  <si>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</si>
  <si>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</si>
  <si>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</si>
  <si>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</si>
  <si>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</si>
  <si>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</si>
  <si>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</si>
  <si>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</si>
  <si>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</si>
  <si>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</si>
  <si>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</si>
  <si>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</si>
  <si>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</si>
  <si>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</si>
  <si>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</si>
  <si>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</si>
  <si>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</si>
  <si>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</si>
  <si>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</si>
  <si>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</si>
  <si>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</si>
  <si>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</si>
  <si>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</si>
  <si>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</si>
  <si>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</si>
  <si>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</si>
  <si>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</si>
  <si>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</si>
  <si>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</si>
  <si>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</si>
  <si>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</si>
  <si>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</si>
  <si>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</si>
  <si>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</si>
  <si>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</si>
  <si>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</si>
  <si>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</si>
  <si>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</si>
  <si>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</si>
  <si>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</si>
  <si>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</si>
  <si>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</si>
  <si>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</si>
  <si>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</si>
  <si>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</si>
  <si>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</si>
  <si>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</si>
  <si>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</si>
  <si>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</si>
  <si>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</si>
  <si>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</si>
  <si>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</si>
  <si>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</si>
  <si>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</si>
  <si>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</si>
  <si>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</si>
  <si>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</si>
  <si>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</si>
  <si>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</si>
  <si>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</si>
  <si>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</si>
  <si>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</si>
  <si>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</si>
  <si>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</si>
  <si>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</si>
  <si>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</si>
  <si>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</si>
  <si>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</si>
  <si>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</si>
  <si>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</si>
  <si>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</si>
  <si>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</si>
  <si>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</si>
  <si>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</si>
  <si>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</si>
  <si>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</si>
  <si>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</si>
  <si>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</si>
  <si>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</si>
  <si>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</si>
  <si>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</si>
  <si>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</si>
  <si>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</si>
  <si>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</si>
  <si>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</si>
  <si>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</si>
  <si>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</si>
  <si>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</si>
  <si>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</si>
  <si>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</si>
  <si>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</si>
  <si>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</si>
  <si>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</si>
  <si>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</si>
  <si>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</si>
  <si>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</si>
  <si>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</si>
  <si>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</si>
  <si>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</si>
  <si>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</si>
  <si>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</si>
  <si>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</si>
  <si>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</si>
  <si>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</si>
  <si>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</si>
  <si>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</si>
  <si>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</si>
  <si>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</si>
  <si>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</si>
  <si>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</si>
  <si>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</si>
  <si>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</si>
  <si>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</si>
  <si>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</si>
  <si>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</si>
  <si>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</si>
  <si>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</si>
  <si>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</si>
  <si>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</si>
  <si>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</si>
  <si>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</si>
  <si>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</si>
  <si>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</si>
  <si>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</si>
  <si>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</si>
  <si>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</si>
  <si>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</si>
  <si>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</si>
  <si>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</si>
  <si>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</si>
  <si>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</si>
  <si>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</si>
  <si>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</si>
  <si>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</si>
  <si>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</si>
  <si>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</si>
  <si>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</si>
  <si>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</si>
  <si>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</si>
  <si>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+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</si>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</sst>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ownloads/&#1047;&#1072;&#1082;&#1072;&#1079;&#1099;%20&#1053;&#1042;%2003.08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>
        <row r="1">
          <cell r="A1" t="str">
            <v>Заказ</v>
          </cell>
          <cell r="B1" t="str">
            <v>"Счет на" в заказе</v>
          </cell>
          <cell r="C1" t="str">
            <v>Краткое наименование</v>
          </cell>
          <cell r="D1" t="str">
            <v>Вес нетто</v>
          </cell>
        </row>
        <row r="2">
          <cell r="A2">
            <v>6283298</v>
          </cell>
          <cell r="B2" t="str">
            <v>Нв900</v>
          </cell>
          <cell r="C2" t="str">
            <v>НВ, ООО 9001015535</v>
          </cell>
          <cell r="D2">
            <v>1612.56</v>
          </cell>
        </row>
        <row r="3">
          <cell r="A3">
            <v>6284442</v>
          </cell>
          <cell r="B3" t="str">
            <v>Нв900</v>
          </cell>
          <cell r="C3" t="str">
            <v>НВ, ООО 9001015535</v>
          </cell>
          <cell r="D3">
            <v>3740.54</v>
          </cell>
        </row>
        <row r="4">
          <cell r="A4">
            <v>6284451</v>
          </cell>
          <cell r="B4" t="str">
            <v>Нв900</v>
          </cell>
          <cell r="C4" t="str">
            <v>НВ, ООО 9001015535</v>
          </cell>
          <cell r="D4">
            <v>10246</v>
          </cell>
        </row>
        <row r="5">
          <cell r="A5">
            <v>6284611</v>
          </cell>
          <cell r="B5" t="str">
            <v>Нв900</v>
          </cell>
          <cell r="C5" t="str">
            <v>НВ, ООО 9001015535</v>
          </cell>
          <cell r="D5">
            <v>14005.28</v>
          </cell>
        </row>
        <row r="6">
          <cell r="A6">
            <v>6284634</v>
          </cell>
          <cell r="B6" t="str">
            <v>Нв900</v>
          </cell>
          <cell r="C6" t="str">
            <v>НВ, ООО 9001015535</v>
          </cell>
          <cell r="D6">
            <v>9617.7000000000007</v>
          </cell>
        </row>
        <row r="7">
          <cell r="A7">
            <v>6284749</v>
          </cell>
          <cell r="B7" t="str">
            <v>Нв900</v>
          </cell>
          <cell r="C7" t="str">
            <v>НВ, ООО 9001015535</v>
          </cell>
          <cell r="D7">
            <v>4110</v>
          </cell>
        </row>
        <row r="8">
          <cell r="A8">
            <v>6284896</v>
          </cell>
          <cell r="B8" t="str">
            <v>Нв900</v>
          </cell>
          <cell r="C8" t="str">
            <v>НВ, ООО 9001015535</v>
          </cell>
          <cell r="D8">
            <v>3510</v>
          </cell>
        </row>
        <row r="9">
          <cell r="D9">
            <v>2866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99"/>
  <sheetViews>
    <sheetView tabSelected="1" zoomScale="80" zoomScaleNormal="80" workbookViewId="0">
      <pane ySplit="2" topLeftCell="A6872" activePane="bottomLeft" state="frozen"/>
      <selection pane="bottomLeft" activeCell="O6891" sqref="O689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980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49" t="s">
        <v>0</v>
      </c>
      <c r="B1" s="949"/>
      <c r="C1" s="949"/>
      <c r="D1" s="949"/>
      <c r="E1" s="949"/>
      <c r="F1" s="949"/>
      <c r="G1" s="949"/>
      <c r="H1" s="949"/>
      <c r="I1" s="949"/>
      <c r="J1" s="949"/>
      <c r="K1" s="8"/>
      <c r="L1" s="9"/>
      <c r="M1" s="9"/>
      <c r="N1" s="9"/>
      <c r="O1" s="979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979" t="s">
        <v>1864</v>
      </c>
      <c r="P2" s="18" t="s">
        <v>1863</v>
      </c>
      <c r="Q2" s="18" t="s">
        <v>1863</v>
      </c>
      <c r="R2" s="18" t="s">
        <v>1863</v>
      </c>
    </row>
    <row r="3" spans="1:18" ht="19.5" hidden="1" customHeight="1" thickBot="1" x14ac:dyDescent="0.3">
      <c r="A3" s="950">
        <v>1</v>
      </c>
      <c r="B3" s="95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50"/>
      <c r="B4" s="95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46">
        <v>3</v>
      </c>
      <c r="B6" s="94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46"/>
      <c r="B7" s="94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46"/>
      <c r="B8" s="94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46">
        <v>5</v>
      </c>
      <c r="B10" s="94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46"/>
      <c r="B11" s="94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44">
        <v>8</v>
      </c>
      <c r="B14" s="94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44"/>
      <c r="B15" s="94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46">
        <v>11</v>
      </c>
      <c r="B18" s="94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46"/>
      <c r="B19" s="94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46"/>
      <c r="B20" s="94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46"/>
      <c r="B21" s="94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46">
        <v>13</v>
      </c>
      <c r="B23" s="94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46"/>
      <c r="B24" s="94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44">
        <v>14</v>
      </c>
      <c r="B25" s="94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44"/>
      <c r="B26" s="94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46">
        <v>15</v>
      </c>
      <c r="B27" s="94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46"/>
      <c r="B28" s="94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46"/>
      <c r="B29" s="94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46"/>
      <c r="B30" s="94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44">
        <v>16</v>
      </c>
      <c r="B31" s="94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44"/>
      <c r="B32" s="94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44"/>
      <c r="B33" s="94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44"/>
      <c r="B34" s="94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46">
        <v>17</v>
      </c>
      <c r="B35" s="94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46"/>
      <c r="B36" s="94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46">
        <v>21</v>
      </c>
      <c r="B40" s="94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46"/>
      <c r="B41" s="94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46">
        <v>23</v>
      </c>
      <c r="B43" s="94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46"/>
      <c r="B44" s="94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46"/>
      <c r="B45" s="94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44">
        <v>24</v>
      </c>
      <c r="B46" s="94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44"/>
      <c r="B47" s="94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46">
        <v>25</v>
      </c>
      <c r="B48" s="94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46"/>
      <c r="B49" s="94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46"/>
      <c r="B50" s="94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44">
        <v>26</v>
      </c>
      <c r="B51" s="94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44"/>
      <c r="B52" s="94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46">
        <v>29</v>
      </c>
      <c r="B55" s="94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46"/>
      <c r="B56" s="94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44">
        <v>32</v>
      </c>
      <c r="B59" s="94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44"/>
      <c r="B60" s="94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44">
        <v>34</v>
      </c>
      <c r="B62" s="94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44"/>
      <c r="B63" s="94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44"/>
      <c r="B64" s="94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44"/>
      <c r="B65" s="94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44"/>
      <c r="B66" s="94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46">
        <v>35</v>
      </c>
      <c r="B67" s="94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46"/>
      <c r="B68" s="94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33">
        <v>40</v>
      </c>
      <c r="B73" s="94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33"/>
      <c r="B74" s="94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34">
        <v>41</v>
      </c>
      <c r="B75" s="94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34"/>
      <c r="B76" s="94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34"/>
      <c r="B77" s="94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33">
        <v>42</v>
      </c>
      <c r="B78" s="94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33"/>
      <c r="B79" s="94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34">
        <v>49</v>
      </c>
      <c r="B86" s="94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34"/>
      <c r="B87" s="94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34"/>
      <c r="B88" s="94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33">
        <v>50</v>
      </c>
      <c r="B89" s="94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33"/>
      <c r="B90" s="94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34">
        <v>51</v>
      </c>
      <c r="B91" s="94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34"/>
      <c r="B92" s="94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34">
        <v>53</v>
      </c>
      <c r="B94" s="94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34"/>
      <c r="B95" s="94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33">
        <v>54</v>
      </c>
      <c r="B96" s="94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33"/>
      <c r="B97" s="94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33"/>
      <c r="B98" s="94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33">
        <v>58</v>
      </c>
      <c r="B102" s="94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33"/>
      <c r="B103" s="94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33">
        <v>60</v>
      </c>
      <c r="B105" s="94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33"/>
      <c r="B106" s="94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33"/>
      <c r="B107" s="94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34">
        <v>61</v>
      </c>
      <c r="B108" s="94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34"/>
      <c r="B109" s="94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34"/>
      <c r="B110" s="94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33">
        <v>64</v>
      </c>
      <c r="B113" s="94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33"/>
      <c r="B114" s="94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33">
        <v>66</v>
      </c>
      <c r="B116" s="94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33"/>
      <c r="B117" s="94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34">
        <v>67</v>
      </c>
      <c r="B118" s="94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34"/>
      <c r="B119" s="94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34"/>
      <c r="B120" s="94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33">
        <v>68</v>
      </c>
      <c r="B121" s="94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33"/>
      <c r="B122" s="94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34">
        <v>69</v>
      </c>
      <c r="B123" s="94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34"/>
      <c r="B124" s="94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33">
        <v>72</v>
      </c>
      <c r="B127" s="944" t="s">
        <v>65</v>
      </c>
      <c r="C127" s="119" t="s">
        <v>26</v>
      </c>
      <c r="D127" s="120">
        <v>3.3</v>
      </c>
      <c r="E127" s="121"/>
      <c r="F127" s="122" t="s">
        <v>30</v>
      </c>
      <c r="G127" s="94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33"/>
      <c r="B128" s="944"/>
      <c r="C128" s="103" t="s">
        <v>26</v>
      </c>
      <c r="D128" s="88">
        <v>12.9</v>
      </c>
      <c r="E128" s="106"/>
      <c r="F128" s="107" t="s">
        <v>16</v>
      </c>
      <c r="G128" s="94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33">
        <v>76</v>
      </c>
      <c r="B132" s="94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33"/>
      <c r="B133" s="94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33"/>
      <c r="B134" s="94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33"/>
      <c r="B135" s="94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33">
        <v>78</v>
      </c>
      <c r="B137" s="95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33"/>
      <c r="B138" s="95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4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4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3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3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3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3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3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3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3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3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3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3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3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3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3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3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3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3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3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3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3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3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3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3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4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3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4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3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3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3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3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3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3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3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3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3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3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3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3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3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3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3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3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3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3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3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3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3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3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3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3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3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3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3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3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3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3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3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3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3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3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3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3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3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3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3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3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3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3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3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3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3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3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3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3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3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3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3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3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3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3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3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3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3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3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3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3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3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3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3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3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3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3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3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3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3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3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3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3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3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3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3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3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3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3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3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3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3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3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3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3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3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3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3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3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3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3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3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3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3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3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3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3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3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3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3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3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3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3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3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3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3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3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3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3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3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4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3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4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3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3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3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3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3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3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3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3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3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3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3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3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3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3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3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3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3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3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3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3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3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3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3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3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3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3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3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3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3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3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3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3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3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3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3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3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3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3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3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3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3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3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3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3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3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3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3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3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3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3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3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3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3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3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3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3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3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3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3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3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3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3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3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3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3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3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3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3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3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3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3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3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3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3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3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3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3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3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3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3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51" t="s">
        <v>133</v>
      </c>
      <c r="J420" s="951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3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3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3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3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3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3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3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3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3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3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3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3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3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3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3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3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3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3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3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3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3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3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3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3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3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5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3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5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3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3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3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3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3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3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3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3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3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3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3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3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3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3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3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3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3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3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3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3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3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3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3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3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3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3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3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3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3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3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3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3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3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3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3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3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3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3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3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5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3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5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3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5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3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5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3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5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3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3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3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3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3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3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3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3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3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3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3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3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3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3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3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3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3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3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3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3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3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3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3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3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3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3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3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3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3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3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3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3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3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3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3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3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3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3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3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3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5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3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5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3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3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3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3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3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3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3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3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3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3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3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3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3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3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3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3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3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3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3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3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3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3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3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3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3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3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3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3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3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3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3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3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3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3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3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3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3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3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3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3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3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3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3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3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3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3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3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3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3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3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3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3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3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3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3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3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3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3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3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3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3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3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3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3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3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3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3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3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3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3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3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3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3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3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3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3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3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3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3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3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3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3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3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3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3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5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3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5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3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3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3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3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3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3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3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3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3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3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3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3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3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3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3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3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3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3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3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3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3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3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3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3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3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3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3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3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3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3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3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3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4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4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4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3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3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3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4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4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3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3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3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4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4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3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3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3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3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3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3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3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3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3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3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3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3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3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3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3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3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3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3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3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3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3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3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5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3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5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3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3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3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3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3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3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3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3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3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3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3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3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3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3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3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3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4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4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4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4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4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4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3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3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3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3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3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3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3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3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3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3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3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3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3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3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3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3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3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3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3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3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3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3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3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3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3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3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3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3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3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3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3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3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3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3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3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3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3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3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3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3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3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3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3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3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3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3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3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5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3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5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3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3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3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3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3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3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3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3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3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3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3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3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3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3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3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3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3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3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3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3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3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3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3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3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3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3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3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3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3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3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3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3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3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3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3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3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3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3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3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3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3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3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3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3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3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3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3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3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3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3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3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3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3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3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3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3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3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3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3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3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3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3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3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3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3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3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3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3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3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3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3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3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3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3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3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3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3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3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3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3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3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3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3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3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3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3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3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3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3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3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3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3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3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5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3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5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3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3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3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3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3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3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3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3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3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3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3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3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3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3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3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3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3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3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3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3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3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4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4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3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3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3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3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3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3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3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3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3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3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3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3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3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3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3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3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3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3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3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3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3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3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3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3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3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3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3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3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3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3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3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3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3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3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3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3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3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3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3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3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3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3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3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3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3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3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3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3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3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3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3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3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3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3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3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3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3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3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3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3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3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3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3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3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3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3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3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3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3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3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3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3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3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3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3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3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3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3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3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3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3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3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3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3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3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3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3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3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3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3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3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3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3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3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3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3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3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3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3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3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3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3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3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3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3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3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3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3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3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3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5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3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5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3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3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3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3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3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3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3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3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3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3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3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3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3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3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3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3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3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3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3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3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3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3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3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3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3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3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5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3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5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3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3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3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3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3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3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3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3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3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3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3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3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3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3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3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3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3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3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3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3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3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3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3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3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3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3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3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3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3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3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3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5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3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5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3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3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3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3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3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3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3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3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3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3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3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3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3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3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3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3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3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3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3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3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3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3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3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3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3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3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5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3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5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3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3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3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3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3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3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3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3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3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3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3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3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3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3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3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3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3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3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3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3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3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3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3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3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3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3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3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3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3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3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3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3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3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3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3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3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5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3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5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3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3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3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3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3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3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3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3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3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3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3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3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3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3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3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3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3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3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3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3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3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3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3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3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3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3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3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3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3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3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3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3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3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3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3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3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3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3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3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3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3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3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3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3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3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3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3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3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3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3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3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3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3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3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3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3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3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3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3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5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3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5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3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3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3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3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3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3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3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3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3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3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3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3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3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3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3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3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3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3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3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3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3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3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3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3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3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3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3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3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3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3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3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3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3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3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3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3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3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3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3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3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3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3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3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3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3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3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3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3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3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3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3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3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3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3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3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3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3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3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3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3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3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3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3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3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3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3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3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3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3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3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3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3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3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3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3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3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3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3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3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3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3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3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3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3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3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3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3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3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3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3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3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3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3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3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3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3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3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3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3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3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3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3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3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3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3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3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3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3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3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3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3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3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5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3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5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3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3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3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3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3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3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3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3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3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3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3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3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3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3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3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3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3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3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3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3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3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3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3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3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3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3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3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3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3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3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3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3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3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3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3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3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3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3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3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3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3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3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3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3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3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3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3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3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3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3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3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3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3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3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3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3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3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3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3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3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3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3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3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3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3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3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3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3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3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3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3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5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3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5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3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3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3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3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3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3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3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3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3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3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3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3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3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3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3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3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3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3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3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3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3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3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3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3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3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3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3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3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3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3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3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3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3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3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3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3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3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3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3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3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3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5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3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5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3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3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3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3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3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3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3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3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3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3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3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3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3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3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3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3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3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3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3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3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3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3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3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3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3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3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3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3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3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3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3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3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3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3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3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3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3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3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3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3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3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3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3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3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3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3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3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3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3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3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3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3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3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3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3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3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3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3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3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3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3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3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3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3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3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3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3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5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3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5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3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3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3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3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3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3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3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3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3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3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3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3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3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3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3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3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3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3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3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3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3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3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3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3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3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3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3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3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3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3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3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3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3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3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3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3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3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3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3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3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3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3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3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3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3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3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3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3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3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3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3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3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3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3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3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3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3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3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3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3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3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3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3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3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3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3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3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3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3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3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3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3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3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3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3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3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3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3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3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3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3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3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3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3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3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3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3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3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3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3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3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3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3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3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3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3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3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3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3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3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3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5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3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5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3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3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3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3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3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3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3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3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3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3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3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3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3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3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3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3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3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3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3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3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3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3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3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3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3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3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3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3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3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3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3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3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3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3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3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3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3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3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3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3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3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3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3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3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3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3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3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3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3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3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3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3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3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3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3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3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3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3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3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3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3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3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3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3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3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3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3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3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3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3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3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3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3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3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3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3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3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3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3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3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3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5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3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5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3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3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3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3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3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3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3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3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3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3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3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3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3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3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3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3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3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3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3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3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3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3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3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3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3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3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3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3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3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3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3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3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3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3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3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3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3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3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3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3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3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3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3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3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3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3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3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3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3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3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3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3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3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3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3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3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3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3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3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3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3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5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59" t="s">
        <v>467</v>
      </c>
      <c r="H2160" s="414" t="s">
        <v>515</v>
      </c>
      <c r="I2160" s="415" t="s">
        <v>516</v>
      </c>
      <c r="J2160" s="96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5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59"/>
      <c r="H2161" s="421" t="s">
        <v>515</v>
      </c>
      <c r="I2161" s="422" t="s">
        <v>516</v>
      </c>
      <c r="J2161" s="96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5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59"/>
      <c r="H2162" s="429" t="s">
        <v>515</v>
      </c>
      <c r="I2162" s="430" t="s">
        <v>516</v>
      </c>
      <c r="J2162" s="96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5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59" t="s">
        <v>467</v>
      </c>
      <c r="H2165" s="414" t="s">
        <v>516</v>
      </c>
      <c r="I2165" s="415" t="s">
        <v>516</v>
      </c>
      <c r="J2165" s="96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5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59"/>
      <c r="H2166" s="429" t="s">
        <v>516</v>
      </c>
      <c r="I2166" s="430" t="s">
        <v>516</v>
      </c>
      <c r="J2166" s="96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3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3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3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3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3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3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3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3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3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3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3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3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3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3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3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3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3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3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3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5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3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5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3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6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3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6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3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3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3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3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3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3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3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3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3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3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3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3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3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3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3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3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3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3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3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3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3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3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3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3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3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3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3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3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3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3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3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3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3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3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3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3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3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3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3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3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3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3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3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3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3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3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3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3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3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3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3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3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3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3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3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3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3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3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3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3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3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3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3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3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3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3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3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3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3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3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3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3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3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3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3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3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3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3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3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3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3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3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3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3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3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3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3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3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3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3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3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3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3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3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3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3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3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3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3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3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3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3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3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3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3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3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3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3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3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3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3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3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3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3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3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3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3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3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3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3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3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3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3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3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3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3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3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3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3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3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3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3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3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3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3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3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3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3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3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3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3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3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3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3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3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3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3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3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3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3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3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3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3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3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3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3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3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3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3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3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3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3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3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3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3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3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3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3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3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3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3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3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3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3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3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3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3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3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3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3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3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3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3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3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3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3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3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3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3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3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3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3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3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3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3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5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3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5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3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5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3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3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3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3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3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3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3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3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3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3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3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5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3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5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3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3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3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3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3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3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3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3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3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3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3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3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6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6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6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6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3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3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3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3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3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3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3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3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3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3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3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3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3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3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3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3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3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3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3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3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3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3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3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3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6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3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6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3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3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3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5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3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5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3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3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3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3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3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3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3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3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3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3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3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3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3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3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3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3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3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3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3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3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3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3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3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5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3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5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3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3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3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3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3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3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3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3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3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3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3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3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3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3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3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3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3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3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3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3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3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3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3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3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6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6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3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3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3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3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3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3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3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3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3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3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3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3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3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3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3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3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3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3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3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3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3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3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3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3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3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3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3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3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3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3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3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3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3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3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3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3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3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3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3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3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3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3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5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3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5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3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5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3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3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3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3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3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3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3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3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3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3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3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3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3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3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3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3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3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3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3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3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3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3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3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3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3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3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3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3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3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3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3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3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3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3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3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3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3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3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3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3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3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3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3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3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3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3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3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3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3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6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3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6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3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3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3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3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3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3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3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3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3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3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3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3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3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3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3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3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3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3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3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3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3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3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3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3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3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3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3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3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3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3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3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3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3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5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3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5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3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3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3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3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3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3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3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3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3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3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3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3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3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3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3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3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3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3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3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3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3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3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3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3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3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3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3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3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3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3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3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3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3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3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3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3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3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3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3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3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3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3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3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3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3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3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3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3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3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3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3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3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3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3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3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3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3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3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3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3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3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3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3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3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3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3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3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3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3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3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3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3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3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3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3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3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3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3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3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3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3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3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3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3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3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3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3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3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3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3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5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3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5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3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5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3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3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3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3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3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3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3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3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3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3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3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3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3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3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3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3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3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3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3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3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5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3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5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3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5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3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5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3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3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3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3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3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3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3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3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5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3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5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3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5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3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3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3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3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3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3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3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3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3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3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3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3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3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3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3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3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3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3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3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3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3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5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3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3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3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3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3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3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3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3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3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3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3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3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3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3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3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3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3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3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3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3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3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3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3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3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3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3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3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3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3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3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3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3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3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3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3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3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3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3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3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3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3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3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3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3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3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3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3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3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3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3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3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3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3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3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3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3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3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3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3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3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3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3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3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3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3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3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3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3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3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3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3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3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3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3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3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3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3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3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3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3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3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3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3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3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3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3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3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3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3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3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3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3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3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3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3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3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3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3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3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3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3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3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3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3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3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3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3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3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3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6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3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6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3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6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3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6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3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6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3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6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3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3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3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3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3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3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3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3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3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3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3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3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3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3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3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3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3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3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3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3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3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3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3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3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3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3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3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3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3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3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3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3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3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3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3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3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3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3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3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3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3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3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3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3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3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3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3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3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3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3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3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3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3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3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3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3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3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3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3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3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3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3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3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3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3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3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3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3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3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3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3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3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3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3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3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3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3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3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3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3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3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3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3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3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3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3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3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3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3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3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3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3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3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3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3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3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3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3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3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3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3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3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3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3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3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3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3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3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3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3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3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3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3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3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3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3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3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3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3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3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3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3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3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3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3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3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3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3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3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3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3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3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3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3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3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3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3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3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3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3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3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3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3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3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3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3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3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3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3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3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3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3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3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3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3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3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3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3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3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3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3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3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3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3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3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3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3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3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3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3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3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3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3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3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3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3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6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3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6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3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6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3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3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3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3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3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3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3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3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3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3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3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3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3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3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3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3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3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3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3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3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3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5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3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5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3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3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3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3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3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3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3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3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3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3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3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3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3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3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3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3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3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3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3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3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3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3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3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3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5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3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5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3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3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3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3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3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3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3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3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3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3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3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3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3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3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3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3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5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3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5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90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0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1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1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0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6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0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6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0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6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0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1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1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0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1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1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1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6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0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6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0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6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0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1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1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1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1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90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2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6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6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0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6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0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2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6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6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0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1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1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6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0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0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1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1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6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0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1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1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0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1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1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1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1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0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6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0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6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0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6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0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6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0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6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0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0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6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0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6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0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1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6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0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1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6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0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1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1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1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1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1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0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6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0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2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6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6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0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6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0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6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0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1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1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6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90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6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0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1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6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0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6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90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2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6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6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0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1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1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1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1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0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6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0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6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0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2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6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6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0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1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6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0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1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6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0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1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6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0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1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1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1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0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6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0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1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6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0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1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1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0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1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0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1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1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1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1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1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0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6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0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1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6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0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1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6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0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1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6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0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1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90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6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0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1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1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6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0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6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0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6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0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6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0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1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1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1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1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0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6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0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1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6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0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6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0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6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0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6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0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6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0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1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0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1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6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0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6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0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6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0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6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0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6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0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1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1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1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1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1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1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0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6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0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6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0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1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1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6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0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1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1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1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1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6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0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6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0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1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1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6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0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1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1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1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1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1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0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6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0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6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0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1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6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0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6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0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1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6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0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6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0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2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6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6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0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6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0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6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0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0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6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0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6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0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1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6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0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6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0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6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0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6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0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6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0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1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6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0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6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0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0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1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0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1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1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1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1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0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6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0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0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2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6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6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0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1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1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1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1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1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6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0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1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1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1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0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1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6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0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6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0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6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0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1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6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0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6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2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7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7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0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1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1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1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1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6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0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6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0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1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6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0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6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0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6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0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6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0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1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0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0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1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0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0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0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0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0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2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0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2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0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1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1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1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0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0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0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0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1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0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0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0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1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90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2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91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0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2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0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0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0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1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0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0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1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0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1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1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1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1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0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0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1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0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0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1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1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0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0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0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1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1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0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0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1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1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0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0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1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1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1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1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0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0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1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0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0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0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0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0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0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1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0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0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0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0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1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0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0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1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1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1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0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0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0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0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0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0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0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0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1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0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1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1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0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0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1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90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0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1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0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0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1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0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0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1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1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0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90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2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91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91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0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2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0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1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0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0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1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0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0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0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1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1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90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2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0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2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0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0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1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0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0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0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0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0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1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0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0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1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1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1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1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0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1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0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1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1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0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0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0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0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0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1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0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0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90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2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0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2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0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1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0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1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1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1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1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0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0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0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1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0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0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0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1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0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1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0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0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1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0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1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0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0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0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0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0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1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0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0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1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1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0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2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1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2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0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1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0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0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0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1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1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0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0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0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0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1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1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0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0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0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0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0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0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0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0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1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0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1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1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0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0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1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1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0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0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0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0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0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1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0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1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0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0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1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0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0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1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0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0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0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1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1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0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2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1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0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0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0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0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0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0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0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0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1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0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0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0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0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1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0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0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1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0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0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0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0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0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1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0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0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1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0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0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0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0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0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0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0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0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1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0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1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0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0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1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0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0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0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1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0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90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91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0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1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0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0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0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0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0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0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1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0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0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1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0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1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1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0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90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0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0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0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1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0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0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0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1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1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0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1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0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0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0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1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0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1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0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0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0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1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0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0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0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0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0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0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1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0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0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1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0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0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1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1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0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0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0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0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0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90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0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1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0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1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0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0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1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0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1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0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0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0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0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0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0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0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2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1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1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0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2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0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1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0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0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2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0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2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0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0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0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1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0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0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0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0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1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0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1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1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0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0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0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0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0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0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0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0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0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90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0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1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0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1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0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90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2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0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2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0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0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0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0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1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1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1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0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0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0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0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0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2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1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0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2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0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0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0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0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0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1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1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90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2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0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2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0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0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0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0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0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1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0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0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1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1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0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90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0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1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1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0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0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0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1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0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0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1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1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0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0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0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0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0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90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0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1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0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1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0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90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0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0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0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1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0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0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1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0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0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0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1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1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0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0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0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90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2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0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2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0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1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0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0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0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0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0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90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0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0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0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0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2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0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2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0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0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1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0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0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0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1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0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0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2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0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2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0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0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1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1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0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0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1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0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1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0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90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2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0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2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0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2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0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2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0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0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1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0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1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0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0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0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0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90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2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0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2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0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1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1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0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90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2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0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2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0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0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1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0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0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1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0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2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0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2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1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1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1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1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0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0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0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0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1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1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1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0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0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0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1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0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0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0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0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0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2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1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0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2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0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0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2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0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2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0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1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1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0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0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1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0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0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1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0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1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1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0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0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0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0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0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1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0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0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0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1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0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1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1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0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0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90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0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1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0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0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1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0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1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0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0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0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1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1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0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0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0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0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1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0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1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1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0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1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0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0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0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0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0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0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0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1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1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0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0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0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90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0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1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0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0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0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0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2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0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2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0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1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0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0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1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1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0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1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0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0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0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0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1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0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1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0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0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0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1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0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0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0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0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0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0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0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0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1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0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0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0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0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0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2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1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0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1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0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0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0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1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1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0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1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0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0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1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0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0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1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0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0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1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1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0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0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0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0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0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1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1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1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0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0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0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1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1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0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0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1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1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0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0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0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1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0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0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1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0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1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0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0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0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2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0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2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0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2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1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1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1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0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0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0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0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0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0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0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0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1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1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0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1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0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0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91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0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1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0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0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1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0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0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0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0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0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0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0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0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0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0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0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0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0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0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0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0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0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1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0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0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0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0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0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1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1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0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0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0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1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0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0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1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0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0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1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0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1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0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0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0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2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0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2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0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1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0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0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0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0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0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0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0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0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0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0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2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0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2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0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1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1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1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0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0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1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0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0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2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0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2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0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2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1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1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1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0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2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0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1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0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1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1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1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0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90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0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0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0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1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0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0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0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1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0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0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0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0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0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0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1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1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0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0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0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1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0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0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0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0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2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0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2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0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1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0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0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0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1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1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0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0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0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0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90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2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0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2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0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1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1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1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1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2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0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0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1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91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2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1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2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0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1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2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1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2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2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0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3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3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3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2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2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0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0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0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1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1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1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1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0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0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0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0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0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0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0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1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0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0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0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0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0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1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0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0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1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0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1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1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0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0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1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0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0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1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1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0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0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1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0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0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0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2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0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2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0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1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2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2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0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0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0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0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0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0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0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0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0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0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0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0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0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0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0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0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0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0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0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0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0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0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0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0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0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0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0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0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0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0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0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1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1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0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1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1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0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0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0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0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0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0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0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0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0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0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0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0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0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0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0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0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2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7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0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0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0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0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0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0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0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0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1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0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0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1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0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1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0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0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0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0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0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0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0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0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0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0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0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0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0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0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1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0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0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0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0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0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0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0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0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0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0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0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0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0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0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90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0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90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2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1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2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0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0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1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1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0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0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0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0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0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1835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1857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1802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1803</v>
      </c>
    </row>
    <row r="6808" spans="1:16" ht="57" hidden="1" thickBot="1" x14ac:dyDescent="0.3">
      <c r="A6808" s="90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1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1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96" t="s">
        <v>1786</v>
      </c>
    </row>
    <row r="6811" spans="1:16" ht="19.5" hidden="1" thickBot="1" x14ac:dyDescent="0.3">
      <c r="A6811" s="91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96" t="s">
        <v>1787</v>
      </c>
    </row>
    <row r="6812" spans="1:16" ht="19.5" hidden="1" thickBot="1" x14ac:dyDescent="0.3">
      <c r="A6812" s="90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1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1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0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1805</v>
      </c>
    </row>
    <row r="6817" spans="1:16" ht="19.5" hidden="1" thickBot="1" x14ac:dyDescent="0.3">
      <c r="A6817" s="90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1859</v>
      </c>
    </row>
    <row r="6818" spans="1:16" ht="19.5" hidden="1" thickBot="1" x14ac:dyDescent="0.3">
      <c r="A6818" s="91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1858</v>
      </c>
    </row>
    <row r="6819" spans="1:16" ht="19.5" hidden="1" thickBot="1" x14ac:dyDescent="0.3">
      <c r="A6819" s="91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1860</v>
      </c>
    </row>
    <row r="6820" spans="1:16" ht="19.5" hidden="1" thickBot="1" x14ac:dyDescent="0.3">
      <c r="A6820" s="91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1810</v>
      </c>
    </row>
    <row r="6821" spans="1:16" ht="19.5" hidden="1" thickBot="1" x14ac:dyDescent="0.3">
      <c r="A6821" s="90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0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1812</v>
      </c>
    </row>
    <row r="6823" spans="1:16" ht="19.5" hidden="1" thickBot="1" x14ac:dyDescent="0.3">
      <c r="A6823" s="91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1813</v>
      </c>
    </row>
    <row r="6824" spans="1:16" ht="19.5" hidden="1" thickBot="1" x14ac:dyDescent="0.3">
      <c r="A6824" s="91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1814</v>
      </c>
    </row>
    <row r="6825" spans="1:16" ht="19.5" hidden="1" thickBot="1" x14ac:dyDescent="0.3">
      <c r="A6825" s="91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1815</v>
      </c>
    </row>
    <row r="6826" spans="1:16" ht="19.5" hidden="1" thickBot="1" x14ac:dyDescent="0.3">
      <c r="A6826" s="91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1818</v>
      </c>
    </row>
    <row r="6827" spans="1:16" ht="19.5" hidden="1" thickBot="1" x14ac:dyDescent="0.3">
      <c r="A6827" s="91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1817</v>
      </c>
    </row>
    <row r="6828" spans="1:16" ht="19.5" hidden="1" thickBot="1" x14ac:dyDescent="0.3">
      <c r="A6828" s="91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1816</v>
      </c>
    </row>
    <row r="6829" spans="1:16" ht="38.25" hidden="1" thickBot="1" x14ac:dyDescent="0.3">
      <c r="A6829" s="90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1828</v>
      </c>
    </row>
    <row r="6830" spans="1:16" ht="19.5" hidden="1" thickBot="1" x14ac:dyDescent="0.3">
      <c r="A6830" s="90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1829</v>
      </c>
    </row>
    <row r="6831" spans="1:16" ht="38.25" hidden="1" thickBot="1" x14ac:dyDescent="0.3">
      <c r="A6831" s="90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1826</v>
      </c>
    </row>
    <row r="6832" spans="1:16" ht="19.5" hidden="1" thickBot="1" x14ac:dyDescent="0.3">
      <c r="A6832" s="90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1827</v>
      </c>
    </row>
    <row r="6833" spans="1:16" ht="19.5" hidden="1" thickBot="1" x14ac:dyDescent="0.3">
      <c r="A6833" s="90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1823</v>
      </c>
    </row>
    <row r="6834" spans="1:16" ht="19.5" hidden="1" thickBot="1" x14ac:dyDescent="0.3">
      <c r="A6834" s="91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1824</v>
      </c>
    </row>
    <row r="6835" spans="1:16" ht="19.5" hidden="1" thickBot="1" x14ac:dyDescent="0.3">
      <c r="A6835" s="91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1825</v>
      </c>
    </row>
    <row r="6836" spans="1:16" ht="19.5" hidden="1" thickBot="1" x14ac:dyDescent="0.3">
      <c r="A6836" s="90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1820</v>
      </c>
    </row>
    <row r="6837" spans="1:16" ht="19.5" hidden="1" thickBot="1" x14ac:dyDescent="0.3">
      <c r="A6837" s="90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1819</v>
      </c>
    </row>
    <row r="6838" spans="1:16" ht="19.5" hidden="1" thickBot="1" x14ac:dyDescent="0.3">
      <c r="A6838" s="90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1834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1811</v>
      </c>
    </row>
    <row r="6840" spans="1:16" ht="19.5" hidden="1" thickBot="1" x14ac:dyDescent="0.3">
      <c r="A6840" s="90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1833</v>
      </c>
    </row>
    <row r="6841" spans="1:16" ht="19.5" hidden="1" thickBot="1" x14ac:dyDescent="0.3">
      <c r="A6841" s="90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1832</v>
      </c>
    </row>
    <row r="6842" spans="1:16" ht="19.5" hidden="1" thickBot="1" x14ac:dyDescent="0.3">
      <c r="A6842" s="90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1830</v>
      </c>
    </row>
    <row r="6843" spans="1:16" ht="19.5" hidden="1" thickBot="1" x14ac:dyDescent="0.3">
      <c r="A6843" s="90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1831</v>
      </c>
    </row>
    <row r="6844" spans="1:16" ht="19.5" hidden="1" thickBot="1" x14ac:dyDescent="0.3">
      <c r="A6844" s="90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1806</v>
      </c>
    </row>
    <row r="6845" spans="1:16" ht="19.5" hidden="1" thickBot="1" x14ac:dyDescent="0.3">
      <c r="A6845" s="91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1804</v>
      </c>
    </row>
    <row r="6846" spans="1:16" ht="19.5" hidden="1" thickBot="1" x14ac:dyDescent="0.3">
      <c r="A6846" s="91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1807</v>
      </c>
    </row>
    <row r="6847" spans="1:16" ht="19.5" hidden="1" thickBot="1" x14ac:dyDescent="0.3">
      <c r="A6847" s="90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1808</v>
      </c>
    </row>
    <row r="6848" spans="1:16" ht="19.5" hidden="1" thickBot="1" x14ac:dyDescent="0.3">
      <c r="A6848" s="90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1809</v>
      </c>
    </row>
    <row r="6849" spans="1:18" ht="19.5" hidden="1" thickBot="1" x14ac:dyDescent="0.3">
      <c r="A6849" s="90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1849</v>
      </c>
    </row>
    <row r="6850" spans="1:18" ht="19.5" hidden="1" thickBot="1" x14ac:dyDescent="0.3">
      <c r="A6850" s="90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1851</v>
      </c>
    </row>
    <row r="6851" spans="1:18" ht="19.5" hidden="1" thickBot="1" x14ac:dyDescent="0.3">
      <c r="A6851" s="90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1856</v>
      </c>
    </row>
    <row r="6852" spans="1:18" ht="19.5" hidden="1" thickBot="1" x14ac:dyDescent="0.3">
      <c r="A6852" s="904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1821</v>
      </c>
      <c r="Q6852" s="833">
        <f>E6852*1000</f>
        <v>15649</v>
      </c>
    </row>
    <row r="6853" spans="1:18" ht="19.5" hidden="1" thickBot="1" x14ac:dyDescent="0.3">
      <c r="A6853" s="90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1822</v>
      </c>
      <c r="Q6853" s="833">
        <f>E6853*1000</f>
        <v>1553</v>
      </c>
    </row>
    <row r="6854" spans="1:18" ht="19.5" hidden="1" thickBot="1" x14ac:dyDescent="0.3">
      <c r="A6854" s="90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1845</v>
      </c>
      <c r="Q6854" s="847" t="s">
        <v>1847</v>
      </c>
    </row>
    <row r="6855" spans="1:18" ht="19.5" hidden="1" thickBot="1" x14ac:dyDescent="0.3">
      <c r="A6855" s="90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1846</v>
      </c>
    </row>
    <row r="6856" spans="1:18" ht="19.5" hidden="1" thickBot="1" x14ac:dyDescent="0.3">
      <c r="A6856" s="904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1837</v>
      </c>
      <c r="Q6856" s="847" t="s">
        <v>1838</v>
      </c>
    </row>
    <row r="6857" spans="1:18" ht="19.5" hidden="1" thickBot="1" x14ac:dyDescent="0.3">
      <c r="A6857" s="90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1839</v>
      </c>
    </row>
    <row r="6858" spans="1:18" ht="19.5" hidden="1" thickBot="1" x14ac:dyDescent="0.3">
      <c r="A6858" s="90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1840</v>
      </c>
    </row>
    <row r="6859" spans="1:18" ht="19.5" hidden="1" thickBot="1" x14ac:dyDescent="0.3">
      <c r="A6859" s="90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1841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1843</v>
      </c>
    </row>
    <row r="6861" spans="1:18" ht="19.5" hidden="1" thickBot="1" x14ac:dyDescent="0.3">
      <c r="A6861" s="904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21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1852</v>
      </c>
      <c r="R6861" s="895"/>
    </row>
    <row r="6862" spans="1:18" ht="19.5" hidden="1" thickBot="1" x14ac:dyDescent="0.3">
      <c r="A6862" s="90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2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1853</v>
      </c>
      <c r="Q6862" s="847" t="s">
        <v>1855</v>
      </c>
      <c r="R6862" s="895"/>
    </row>
    <row r="6863" spans="1:18" ht="19.5" hidden="1" thickBot="1" x14ac:dyDescent="0.3">
      <c r="A6863" s="90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2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1854</v>
      </c>
      <c r="R6863" s="895"/>
    </row>
    <row r="6864" spans="1:18" ht="19.5" hidden="1" thickBot="1" x14ac:dyDescent="0.3">
      <c r="A6864" s="90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1850</v>
      </c>
      <c r="R6864" s="895"/>
    </row>
    <row r="6865" spans="1:18" ht="19.5" hidden="1" thickBot="1" x14ac:dyDescent="0.3">
      <c r="A6865" s="90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1848</v>
      </c>
    </row>
    <row r="6866" spans="1:18" x14ac:dyDescent="0.25">
      <c r="A6866" s="90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1861</v>
      </c>
    </row>
    <row r="6867" spans="1:18" ht="19.5" thickBot="1" x14ac:dyDescent="0.3">
      <c r="A6867" s="91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1862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1844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1842</v>
      </c>
    </row>
    <row r="6870" spans="1:18" x14ac:dyDescent="0.25">
      <c r="A6870" s="90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</f>
        <v>13.933999999999999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1869</v>
      </c>
      <c r="Q6870" s="847" t="s">
        <v>1872</v>
      </c>
    </row>
    <row r="6871" spans="1:18" ht="18.75" customHeight="1" x14ac:dyDescent="0.25">
      <c r="A6871" s="90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1870</v>
      </c>
    </row>
    <row r="6872" spans="1:18" ht="19.5" thickBot="1" x14ac:dyDescent="0.3">
      <c r="A6872" s="90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1871</v>
      </c>
    </row>
    <row r="6873" spans="1:18" x14ac:dyDescent="0.25">
      <c r="A6873" s="904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/>
      <c r="F6873" s="483" t="s">
        <v>16</v>
      </c>
      <c r="G6873" s="549"/>
      <c r="H6873" s="483" t="s">
        <v>1796</v>
      </c>
      <c r="I6873" s="484"/>
      <c r="J6873" s="485"/>
      <c r="K6873" s="479"/>
      <c r="L6873" s="483" t="s">
        <v>265</v>
      </c>
      <c r="M6873" s="483">
        <v>17665.38</v>
      </c>
      <c r="N6873" s="486">
        <v>0.41666666666666669</v>
      </c>
    </row>
    <row r="6874" spans="1:18" ht="18.75" customHeight="1" x14ac:dyDescent="0.25">
      <c r="A6874" s="905"/>
      <c r="B6874" s="792" t="s">
        <v>1796</v>
      </c>
      <c r="C6874" s="793" t="s">
        <v>26</v>
      </c>
      <c r="D6874" s="794">
        <v>0.54</v>
      </c>
      <c r="E6874" s="794"/>
      <c r="F6874" s="795" t="s">
        <v>16</v>
      </c>
      <c r="G6874" s="796"/>
      <c r="H6874" s="795" t="s">
        <v>1796</v>
      </c>
      <c r="I6874" s="795"/>
      <c r="J6874" s="797"/>
      <c r="K6874" s="898"/>
      <c r="L6874" s="795" t="s">
        <v>265</v>
      </c>
      <c r="M6874" s="795">
        <v>540</v>
      </c>
      <c r="N6874" s="502">
        <v>0.41666666666666669</v>
      </c>
      <c r="P6874" s="867" t="s">
        <v>1801</v>
      </c>
    </row>
    <row r="6875" spans="1:18" ht="19.5" thickBot="1" x14ac:dyDescent="0.3">
      <c r="A6875" s="906"/>
      <c r="B6875" s="805" t="s">
        <v>1795</v>
      </c>
      <c r="C6875" s="806" t="s">
        <v>26</v>
      </c>
      <c r="D6875" s="807">
        <v>3.1</v>
      </c>
      <c r="E6875" s="807"/>
      <c r="F6875" s="808" t="s">
        <v>16</v>
      </c>
      <c r="G6875" s="809" t="s">
        <v>76</v>
      </c>
      <c r="H6875" s="808" t="s">
        <v>1796</v>
      </c>
      <c r="I6875" s="808"/>
      <c r="J6875" s="810"/>
      <c r="K6875" s="887"/>
      <c r="L6875" s="808" t="s">
        <v>265</v>
      </c>
      <c r="M6875" s="808">
        <v>3105</v>
      </c>
      <c r="N6875" s="778">
        <v>0.41666666666666669</v>
      </c>
    </row>
    <row r="6876" spans="1:18" x14ac:dyDescent="0.25">
      <c r="A6876" s="90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/>
      <c r="F6876" s="567" t="s">
        <v>16</v>
      </c>
      <c r="G6876" s="913" t="s">
        <v>1633</v>
      </c>
      <c r="H6876" s="567" t="s">
        <v>1796</v>
      </c>
      <c r="I6876" s="569"/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>
        <v>6285226</v>
      </c>
      <c r="Q6876" s="847">
        <v>15635</v>
      </c>
      <c r="R6876" s="895"/>
    </row>
    <row r="6877" spans="1:18" ht="19.5" thickBot="1" x14ac:dyDescent="0.3">
      <c r="A6877" s="903"/>
      <c r="B6877" s="798" t="s">
        <v>1795</v>
      </c>
      <c r="C6877" s="799" t="s">
        <v>23</v>
      </c>
      <c r="D6877" s="800">
        <v>1</v>
      </c>
      <c r="E6877" s="800"/>
      <c r="F6877" s="801" t="s">
        <v>16</v>
      </c>
      <c r="G6877" s="913"/>
      <c r="H6877" s="801" t="s">
        <v>1796</v>
      </c>
      <c r="I6877" s="801"/>
      <c r="J6877" s="803"/>
      <c r="K6877" s="848"/>
      <c r="L6877" s="801" t="s">
        <v>28</v>
      </c>
      <c r="M6877" s="801">
        <v>1005</v>
      </c>
      <c r="N6877" s="804">
        <v>0.45833333333333331</v>
      </c>
      <c r="R6877" s="895"/>
    </row>
    <row r="6878" spans="1:18" x14ac:dyDescent="0.25">
      <c r="A6878" s="90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/>
      <c r="F6878" s="483" t="s">
        <v>16</v>
      </c>
      <c r="G6878" s="914" t="s">
        <v>1633</v>
      </c>
      <c r="H6878" s="483" t="s">
        <v>1796</v>
      </c>
      <c r="I6878" s="484"/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>
        <v>6284611</v>
      </c>
      <c r="Q6878" s="847">
        <f>VLOOKUP(P6878,[1]Лист1!$A:$D,4,0)</f>
        <v>14005.28</v>
      </c>
      <c r="R6878" s="895"/>
    </row>
    <row r="6879" spans="1:18" ht="19.5" thickBot="1" x14ac:dyDescent="0.3">
      <c r="A6879" s="911"/>
      <c r="B6879" s="805" t="s">
        <v>1795</v>
      </c>
      <c r="C6879" s="806" t="s">
        <v>47</v>
      </c>
      <c r="D6879" s="807">
        <v>2.6</v>
      </c>
      <c r="E6879" s="807"/>
      <c r="F6879" s="808" t="s">
        <v>16</v>
      </c>
      <c r="G6879" s="924"/>
      <c r="H6879" s="808" t="s">
        <v>1796</v>
      </c>
      <c r="I6879" s="808"/>
      <c r="J6879" s="810"/>
      <c r="K6879" s="887"/>
      <c r="L6879" s="808" t="s">
        <v>28</v>
      </c>
      <c r="M6879" s="808">
        <v>2610</v>
      </c>
      <c r="N6879" s="778">
        <v>0.5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1873</v>
      </c>
      <c r="Q6880" s="847" t="s">
        <v>1874</v>
      </c>
    </row>
    <row r="6881" spans="1:17" x14ac:dyDescent="0.25">
      <c r="A6881" s="90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1866</v>
      </c>
      <c r="Q6881" s="847" t="s">
        <v>1868</v>
      </c>
    </row>
    <row r="6882" spans="1:17" ht="19.5" thickBot="1" x14ac:dyDescent="0.3">
      <c r="A6882" s="91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1867</v>
      </c>
    </row>
    <row r="6883" spans="1:17" ht="19.5" thickBot="1" x14ac:dyDescent="0.3">
      <c r="A6883" s="899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900"/>
      <c r="H6883" s="556" t="s">
        <v>1836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/>
      <c r="F6884" s="518" t="s">
        <v>16</v>
      </c>
      <c r="G6884" s="519"/>
      <c r="H6884" s="518" t="s">
        <v>1865</v>
      </c>
      <c r="I6884" s="520"/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980" t="s">
        <v>1875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/>
      <c r="F6885" s="508" t="s">
        <v>16</v>
      </c>
      <c r="G6885" s="509"/>
      <c r="H6885" s="508" t="s">
        <v>1865</v>
      </c>
      <c r="I6885" s="510"/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980" t="s">
        <v>1876</v>
      </c>
    </row>
    <row r="6886" spans="1:17" ht="19.5" thickBot="1" x14ac:dyDescent="0.3">
      <c r="A6886" s="513">
        <f>MAX(A6824:A6885)+1</f>
        <v>4292</v>
      </c>
      <c r="B6886" s="514" t="s">
        <v>1796</v>
      </c>
      <c r="C6886" s="515" t="s">
        <v>32</v>
      </c>
      <c r="D6886" s="516">
        <v>18</v>
      </c>
      <c r="E6886" s="517"/>
      <c r="F6886" s="518" t="s">
        <v>16</v>
      </c>
      <c r="G6886" s="519"/>
      <c r="H6886" s="518" t="s">
        <v>1865</v>
      </c>
      <c r="I6886" s="520"/>
      <c r="J6886" s="521"/>
      <c r="K6886" s="514"/>
      <c r="L6886" s="518" t="s">
        <v>266</v>
      </c>
      <c r="M6886" s="518">
        <v>18013.8</v>
      </c>
      <c r="N6886" s="522">
        <v>0.5</v>
      </c>
      <c r="O6886" s="980" t="s">
        <v>1877</v>
      </c>
    </row>
    <row r="6887" spans="1:17" ht="19.5" thickBot="1" x14ac:dyDescent="0.3">
      <c r="A6887" s="503">
        <f t="shared" ref="A6887:A6899" si="207">MAX(A6828:A6886)+1</f>
        <v>4293</v>
      </c>
      <c r="B6887" s="504" t="s">
        <v>1796</v>
      </c>
      <c r="C6887" s="505" t="s">
        <v>848</v>
      </c>
      <c r="D6887" s="506">
        <v>17.988</v>
      </c>
      <c r="E6887" s="507"/>
      <c r="F6887" s="508" t="s">
        <v>16</v>
      </c>
      <c r="G6887" s="509"/>
      <c r="H6887" s="508" t="s">
        <v>1865</v>
      </c>
      <c r="I6887" s="510"/>
      <c r="J6887" s="511"/>
      <c r="K6887" s="504"/>
      <c r="L6887" s="508" t="s">
        <v>266</v>
      </c>
      <c r="M6887" s="508">
        <v>18081.12</v>
      </c>
      <c r="N6887" s="512">
        <v>0.54166666666666663</v>
      </c>
      <c r="O6887" s="980" t="s">
        <v>1878</v>
      </c>
    </row>
    <row r="6888" spans="1:17" ht="19.5" thickBot="1" x14ac:dyDescent="0.3">
      <c r="A6888" s="513">
        <f t="shared" si="207"/>
        <v>4294</v>
      </c>
      <c r="B6888" s="514" t="s">
        <v>1796</v>
      </c>
      <c r="C6888" s="515" t="s">
        <v>848</v>
      </c>
      <c r="D6888" s="516">
        <v>18.004999999999999</v>
      </c>
      <c r="E6888" s="517"/>
      <c r="F6888" s="518" t="s">
        <v>16</v>
      </c>
      <c r="G6888" s="519"/>
      <c r="H6888" s="518" t="s">
        <v>1865</v>
      </c>
      <c r="I6888" s="520"/>
      <c r="J6888" s="521"/>
      <c r="K6888" s="514"/>
      <c r="L6888" s="518" t="s">
        <v>266</v>
      </c>
      <c r="M6888" s="518">
        <v>18120.239999999994</v>
      </c>
      <c r="N6888" s="522">
        <v>0.58333333333333337</v>
      </c>
      <c r="O6888" s="980" t="s">
        <v>1879</v>
      </c>
    </row>
    <row r="6889" spans="1:17" ht="19.5" thickBot="1" x14ac:dyDescent="0.3">
      <c r="A6889" s="503">
        <f t="shared" si="207"/>
        <v>4295</v>
      </c>
      <c r="B6889" s="504" t="s">
        <v>1796</v>
      </c>
      <c r="C6889" s="505" t="s">
        <v>26</v>
      </c>
      <c r="D6889" s="506">
        <v>17.119</v>
      </c>
      <c r="E6889" s="507"/>
      <c r="F6889" s="508" t="s">
        <v>16</v>
      </c>
      <c r="G6889" s="509"/>
      <c r="H6889" s="508" t="s">
        <v>1865</v>
      </c>
      <c r="I6889" s="510"/>
      <c r="J6889" s="511"/>
      <c r="K6889" s="504"/>
      <c r="L6889" s="508" t="s">
        <v>265</v>
      </c>
      <c r="M6889" s="508">
        <v>17131.080000000002</v>
      </c>
      <c r="N6889" s="512">
        <v>0.625</v>
      </c>
      <c r="O6889" s="980">
        <v>41</v>
      </c>
    </row>
    <row r="6890" spans="1:17" x14ac:dyDescent="0.25">
      <c r="A6890" s="676">
        <f t="shared" si="207"/>
        <v>4296</v>
      </c>
      <c r="B6890" s="676"/>
      <c r="C6890" s="473"/>
      <c r="D6890" s="474"/>
      <c r="E6890" s="475"/>
      <c r="F6890" s="676"/>
      <c r="G6890" s="476"/>
      <c r="H6890" s="676"/>
      <c r="I6890" s="477"/>
      <c r="J6890" s="897"/>
      <c r="K6890" s="676"/>
      <c r="L6890" s="676"/>
      <c r="M6890" s="676"/>
      <c r="N6890" s="676"/>
    </row>
    <row r="6891" spans="1:17" x14ac:dyDescent="0.25">
      <c r="A6891" s="676">
        <f t="shared" si="207"/>
        <v>4297</v>
      </c>
      <c r="B6891" s="676"/>
      <c r="C6891" s="473"/>
      <c r="D6891" s="474"/>
      <c r="E6891" s="475"/>
      <c r="F6891" s="676"/>
      <c r="G6891" s="476"/>
      <c r="H6891" s="676"/>
      <c r="I6891" s="477"/>
      <c r="J6891" s="897"/>
      <c r="K6891" s="676"/>
      <c r="L6891" s="676"/>
      <c r="M6891" s="676"/>
      <c r="N6891" s="676"/>
    </row>
    <row r="6892" spans="1:17" x14ac:dyDescent="0.25">
      <c r="A6892" s="676">
        <f t="shared" si="207"/>
        <v>4298</v>
      </c>
      <c r="B6892" s="676"/>
      <c r="C6892" s="473"/>
      <c r="D6892" s="474"/>
      <c r="E6892" s="475"/>
      <c r="F6892" s="676"/>
      <c r="G6892" s="476"/>
      <c r="H6892" s="676"/>
      <c r="I6892" s="477"/>
      <c r="J6892" s="897"/>
      <c r="K6892" s="676"/>
      <c r="L6892" s="676"/>
      <c r="M6892" s="676"/>
      <c r="N6892" s="676"/>
    </row>
    <row r="6893" spans="1:17" x14ac:dyDescent="0.25">
      <c r="A6893" s="676">
        <f t="shared" si="207"/>
        <v>4299</v>
      </c>
      <c r="B6893" s="676"/>
      <c r="C6893" s="473"/>
      <c r="D6893" s="474"/>
      <c r="E6893" s="475"/>
      <c r="F6893" s="676"/>
      <c r="G6893" s="476"/>
      <c r="H6893" s="676"/>
      <c r="I6893" s="477"/>
      <c r="J6893" s="897"/>
      <c r="K6893" s="676"/>
      <c r="L6893" s="676"/>
      <c r="M6893" s="676"/>
      <c r="N6893" s="676"/>
    </row>
    <row r="6894" spans="1:17" x14ac:dyDescent="0.25">
      <c r="A6894" s="676">
        <f t="shared" si="207"/>
        <v>4300</v>
      </c>
      <c r="B6894" s="676"/>
      <c r="C6894" s="473"/>
      <c r="D6894" s="474"/>
      <c r="E6894" s="475"/>
      <c r="F6894" s="676"/>
      <c r="G6894" s="476"/>
      <c r="H6894" s="676"/>
      <c r="I6894" s="477"/>
      <c r="J6894" s="897"/>
      <c r="K6894" s="676"/>
      <c r="L6894" s="676"/>
      <c r="M6894" s="676"/>
      <c r="N6894" s="676"/>
    </row>
    <row r="6895" spans="1:17" x14ac:dyDescent="0.25">
      <c r="A6895" s="676">
        <f t="shared" si="207"/>
        <v>4301</v>
      </c>
      <c r="B6895" s="676"/>
      <c r="C6895" s="473"/>
      <c r="D6895" s="474"/>
      <c r="E6895" s="475"/>
      <c r="F6895" s="676"/>
      <c r="G6895" s="476"/>
      <c r="H6895" s="676"/>
      <c r="I6895" s="477"/>
      <c r="J6895" s="897"/>
      <c r="K6895" s="676"/>
      <c r="L6895" s="676"/>
      <c r="M6895" s="676"/>
      <c r="N6895" s="676"/>
    </row>
    <row r="6896" spans="1:17" x14ac:dyDescent="0.25">
      <c r="A6896" s="676">
        <f t="shared" si="207"/>
        <v>4302</v>
      </c>
      <c r="B6896" s="676"/>
      <c r="C6896" s="473"/>
      <c r="D6896" s="474"/>
      <c r="E6896" s="475"/>
      <c r="F6896" s="676"/>
      <c r="G6896" s="476"/>
      <c r="H6896" s="676"/>
      <c r="I6896" s="477"/>
      <c r="J6896" s="897"/>
      <c r="K6896" s="676"/>
      <c r="L6896" s="676"/>
      <c r="M6896" s="676"/>
      <c r="N6896" s="676"/>
    </row>
    <row r="6897" spans="1:14" x14ac:dyDescent="0.25">
      <c r="A6897" s="676">
        <f t="shared" si="207"/>
        <v>4303</v>
      </c>
      <c r="B6897" s="676"/>
      <c r="C6897" s="473"/>
      <c r="D6897" s="474"/>
      <c r="E6897" s="475"/>
      <c r="F6897" s="676"/>
      <c r="G6897" s="476"/>
      <c r="H6897" s="676"/>
      <c r="I6897" s="477"/>
      <c r="J6897" s="897"/>
      <c r="K6897" s="676"/>
      <c r="L6897" s="676"/>
      <c r="M6897" s="676"/>
      <c r="N6897" s="676"/>
    </row>
    <row r="6898" spans="1:14" x14ac:dyDescent="0.25">
      <c r="A6898" s="676">
        <f t="shared" si="207"/>
        <v>4304</v>
      </c>
      <c r="B6898" s="676"/>
      <c r="C6898" s="473"/>
      <c r="D6898" s="474"/>
      <c r="E6898" s="475"/>
      <c r="F6898" s="676"/>
      <c r="G6898" s="476"/>
      <c r="H6898" s="676"/>
      <c r="I6898" s="477"/>
      <c r="J6898" s="897"/>
      <c r="K6898" s="676"/>
      <c r="L6898" s="676"/>
      <c r="M6898" s="676"/>
      <c r="N6898" s="676"/>
    </row>
    <row r="6899" spans="1:14" x14ac:dyDescent="0.25">
      <c r="A6899" s="676">
        <f t="shared" si="207"/>
        <v>4305</v>
      </c>
      <c r="B6899" s="676"/>
      <c r="C6899" s="473"/>
      <c r="D6899" s="474"/>
      <c r="E6899" s="475"/>
      <c r="F6899" s="676"/>
      <c r="G6899" s="476"/>
      <c r="H6899" s="676"/>
      <c r="I6899" s="477"/>
      <c r="J6899" s="897"/>
      <c r="K6899" s="676"/>
      <c r="L6899" s="676"/>
      <c r="M6899" s="676"/>
      <c r="N6899" s="676"/>
    </row>
  </sheetData>
  <autoFilter ref="A2:R6899" xr:uid="{9E4C531E-AD50-422A-AC7C-8C5AF4C19268}">
    <filterColumn colId="10">
      <filters blank="1"/>
    </filterColumn>
  </autoFilter>
  <mergeCells count="1794">
    <mergeCell ref="A6876:A6877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A6881:A6882"/>
    <mergeCell ref="A6836:A6838"/>
    <mergeCell ref="A6789:A6790"/>
    <mergeCell ref="A6663:A6664"/>
    <mergeCell ref="A6644:A6647"/>
    <mergeCell ref="A6649:A6651"/>
    <mergeCell ref="A6654:A6655"/>
    <mergeCell ref="G6560:G6561"/>
    <mergeCell ref="A6817:A6821"/>
    <mergeCell ref="A6822:A6828"/>
    <mergeCell ref="A6829:A6832"/>
    <mergeCell ref="A6808:A6811"/>
    <mergeCell ref="A6797:A6800"/>
    <mergeCell ref="A6780:A6781"/>
    <mergeCell ref="A6782:A6784"/>
    <mergeCell ref="A6812:A6815"/>
    <mergeCell ref="A6854:A6855"/>
    <mergeCell ref="A6852:A6853"/>
    <mergeCell ref="A6611:A6612"/>
    <mergeCell ref="A6614:A6616"/>
    <mergeCell ref="A6617:A6618"/>
    <mergeCell ref="A6769:A6770"/>
    <mergeCell ref="A6771:A6774"/>
    <mergeCell ref="A6763:A6765"/>
    <mergeCell ref="A6713:A6714"/>
    <mergeCell ref="A6589:A6590"/>
    <mergeCell ref="A6750:A6752"/>
    <mergeCell ref="A6733:A6734"/>
    <mergeCell ref="A6756:A6758"/>
    <mergeCell ref="A6691:A6692"/>
    <mergeCell ref="A6693:A6694"/>
    <mergeCell ref="A6673:A6674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A5247:A5249"/>
    <mergeCell ref="A5497:A5498"/>
    <mergeCell ref="A5499:A5500"/>
    <mergeCell ref="A5302:A5304"/>
    <mergeCell ref="A5305:A5308"/>
    <mergeCell ref="A5577:A5578"/>
    <mergeCell ref="A6571:A6572"/>
    <mergeCell ref="A5573:A5574"/>
    <mergeCell ref="A6718:A6720"/>
    <mergeCell ref="A5272:A5273"/>
    <mergeCell ref="A5275:A5276"/>
    <mergeCell ref="A5531:A5532"/>
    <mergeCell ref="A6552:A6554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698:A6699"/>
    <mergeCell ref="A6695:A6697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A5282:A5283"/>
    <mergeCell ref="A5243:A5244"/>
    <mergeCell ref="A5262:A5263"/>
    <mergeCell ref="A5232:A5233"/>
    <mergeCell ref="A5298:A5299"/>
    <mergeCell ref="A5342:A5343"/>
    <mergeCell ref="A5348:A5350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299:A1300"/>
    <mergeCell ref="A1301:A1302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062:A1063"/>
    <mergeCell ref="A1065:A1067"/>
    <mergeCell ref="A1030:A1031"/>
    <mergeCell ref="A1223:A1224"/>
    <mergeCell ref="A1035:A1036"/>
    <mergeCell ref="A1041:A1042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G5116:G5117"/>
    <mergeCell ref="A5091:A5092"/>
    <mergeCell ref="G5140:G5141"/>
    <mergeCell ref="A5114:A5115"/>
    <mergeCell ref="A4825:A4826"/>
    <mergeCell ref="A5128:A5129"/>
    <mergeCell ref="A1121:A1122"/>
    <mergeCell ref="G1121:G1122"/>
    <mergeCell ref="A1092:A1093"/>
    <mergeCell ref="A1070:A1071"/>
    <mergeCell ref="A1072:A1074"/>
    <mergeCell ref="A948:A949"/>
    <mergeCell ref="A951:A954"/>
    <mergeCell ref="A897:A898"/>
    <mergeCell ref="A917:A918"/>
    <mergeCell ref="A923:A924"/>
    <mergeCell ref="A789:A790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549:A5550"/>
    <mergeCell ref="A5595:A5596"/>
    <mergeCell ref="A5146:A5147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A5172:A5175"/>
    <mergeCell ref="A5202:A5203"/>
    <mergeCell ref="A5286:A5289"/>
    <mergeCell ref="A5290:A5292"/>
    <mergeCell ref="A5501:A5502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A5199:A5200"/>
    <mergeCell ref="G5202:G5203"/>
    <mergeCell ref="G5232:G5233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G5623:G5624"/>
    <mergeCell ref="A5606:A5607"/>
    <mergeCell ref="A5378:A5379"/>
    <mergeCell ref="A5338:A5341"/>
    <mergeCell ref="A5511:A5512"/>
    <mergeCell ref="G5549:G5550"/>
    <mergeCell ref="G6721:G6722"/>
    <mergeCell ref="A6721:A6722"/>
    <mergeCell ref="A6723:A6724"/>
    <mergeCell ref="G6723:G6724"/>
    <mergeCell ref="A6725:A6726"/>
    <mergeCell ref="A6833:A6835"/>
    <mergeCell ref="A6754:A6755"/>
    <mergeCell ref="A6738:A6739"/>
    <mergeCell ref="A6766:A6767"/>
    <mergeCell ref="A6759:A6762"/>
    <mergeCell ref="G6080:G6081"/>
    <mergeCell ref="A5609:A5610"/>
    <mergeCell ref="A5612:A5615"/>
    <mergeCell ref="A5617:A5618"/>
    <mergeCell ref="A6592:A6593"/>
    <mergeCell ref="A6595:A6599"/>
    <mergeCell ref="A5523:A5525"/>
    <mergeCell ref="A6555:A6556"/>
    <mergeCell ref="A6559:A6561"/>
    <mergeCell ref="A6567:A6568"/>
    <mergeCell ref="G6718:G6720"/>
    <mergeCell ref="A5588:A5589"/>
    <mergeCell ref="A5590:A5592"/>
    <mergeCell ref="A5593:A5594"/>
    <mergeCell ref="A6775:A6777"/>
    <mergeCell ref="A6735:A6736"/>
    <mergeCell ref="A6791:A6793"/>
    <mergeCell ref="A6801:A6802"/>
    <mergeCell ref="A6785:A6786"/>
    <mergeCell ref="G6785:G6786"/>
    <mergeCell ref="A6787:A6788"/>
    <mergeCell ref="G6787:G6788"/>
    <mergeCell ref="A6870:A6872"/>
    <mergeCell ref="A6873:A6875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00:A670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2026-08-04T13:04:32Z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