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1C550C70-B30A-49C4-B8D9-8EA2AAE7289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Лист1!$A$2:$R$7395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s="1"/>
  <c r="A7325" i="1" l="1"/>
  <c r="A7328" i="1" s="1"/>
  <c r="A7330" i="1" s="1"/>
  <c r="A7332" i="1" s="1"/>
  <c r="A7335" i="1" l="1"/>
  <c r="A7337" i="1" s="1"/>
  <c r="A7338" i="1" s="1"/>
  <c r="A7341" i="1"/>
  <c r="A7343" i="1" s="1"/>
  <c r="A7344" i="1" l="1"/>
  <c r="A7346" i="1" l="1"/>
  <c r="A7347" i="1" l="1"/>
  <c r="A7348" i="1" l="1"/>
  <c r="A7349" i="1" s="1"/>
  <c r="A7350" i="1" s="1"/>
  <c r="A7354" i="1"/>
  <c r="A7355" i="1" s="1"/>
  <c r="A7356" i="1" s="1"/>
  <c r="A7358" i="1" s="1"/>
  <c r="A7360" i="1" s="1"/>
  <c r="A7361" i="1" s="1"/>
  <c r="A7362" i="1" s="1"/>
  <c r="A7363" i="1" s="1"/>
  <c r="A7364" i="1" l="1"/>
  <c r="A7367" i="1" s="1"/>
  <c r="A7371" i="1" l="1"/>
  <c r="A7372" i="1"/>
  <c r="A7375" i="1" l="1"/>
  <c r="A7376" i="1" s="1"/>
  <c r="A7378" i="1" l="1"/>
  <c r="A7380" i="1" l="1"/>
  <c r="A7382" i="1" s="1"/>
  <c r="A7383" i="1" l="1"/>
  <c r="A7384" i="1" s="1"/>
  <c r="A7385" i="1" l="1"/>
  <c r="A7386" i="1" s="1"/>
  <c r="A7387" i="1" l="1"/>
  <c r="A7389" i="1"/>
  <c r="A7390" i="1" s="1"/>
  <c r="A7392" i="1" s="1"/>
  <c r="A7393" i="1" s="1"/>
  <c r="A7394" i="1" s="1"/>
  <c r="A7396" i="1" s="1"/>
  <c r="A7397" i="1" s="1"/>
  <c r="A7398" i="1" s="1"/>
  <c r="A7399" i="1" s="1"/>
  <c r="A7400" i="1" l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</calcChain>
</file>

<file path=xl/sharedStrings.xml><?xml version="1.0" encoding="utf-8"?>
<sst xmlns="http://schemas.openxmlformats.org/spreadsheetml/2006/main" count="47897" uniqueCount="2915">
  <si>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</si>
  <si>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</si>
  <si>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</si>
  <si>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</si>
  <si>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</si>
  <si>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</si>
  <si>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</si>
  <si>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</si>
  <si>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</si>
  <si>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</si>
  <si>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</si>
  <si>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</si>
  <si>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</si>
  <si>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</si>
  <si>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</si>
  <si>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</si>
  <si>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</si>
  <si>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</si>
  <si>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</si>
  <si>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</si>
  <si>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</si>
  <si>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</si>
  <si>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</si>
  <si>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</si>
  <si>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</si>
  <si>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</si>
  <si>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</si>
  <si>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</si>
  <si>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</si>
  <si>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</si>
  <si>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</si>
  <si>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</si>
  <si>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</si>
  <si>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</si>
  <si>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</si>
  <si>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</si>
  <si>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</si>
  <si>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</si>
  <si>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</si>
  <si>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</si>
  <si>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</si>
  <si>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</si>
  <si>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</si>
  <si>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</si>
  <si>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</si>
  <si>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</si>
  <si>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</si>
  <si>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</si>
  <si>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</si>
  <si>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</si>
  <si>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</si>
  <si>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</si>
  <si>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</si>
  <si>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</si>
  <si>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</si>
  <si>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</si>
  <si>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</si>
  <si>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</si>
  <si>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</si>
  <si>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</si>
  <si>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</si>
  <si>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</si>
  <si>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</si>
  <si>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</si>
  <si>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</si>
  <si>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</si>
  <si>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</si>
  <si>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</si>
  <si>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</si>
  <si>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</si>
  <si>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</si>
  <si>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</si>
  <si>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</si>
  <si>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</si>
  <si>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</si>
  <si>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</si>
  <si>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</si>
  <si>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</si>
  <si>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</si>
  <si>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</si>
  <si>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</si>
  <si>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</si>
  <si>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</si>
  <si>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</si>
  <si>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</si>
  <si>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</si>
  <si>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</si>
  <si>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</si>
  <si>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</si>
  <si>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</si>
  <si>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</si>
  <si>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</si>
  <si>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</si>
  <si>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</si>
  <si>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</si>
  <si>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</si>
  <si>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</si>
  <si>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</si>
  <si>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</si>
  <si>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</si>
  <si>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</si>
  <si>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</si>
  <si>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</si>
  <si>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</si>
  <si>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</si>
  <si>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</si>
  <si>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</si>
  <si>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</si>
  <si>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</si>
  <si>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</si>
  <si>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</si>
  <si>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</si>
  <si>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</si>
  <si>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</si>
  <si>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</si>
  <si>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</si>
  <si>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</si>
  <si>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</si>
  <si>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</si>
  <si>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</si>
  <si>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</si>
  <si>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</si>
  <si>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</si>
  <si>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</si>
  <si>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</si>
  <si>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</si>
  <si>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</si>
  <si>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</si>
  <si>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</si>
  <si>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</si>
  <si>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</si>
  <si>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</si>
  <si>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</si>
  <si>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</si>
  <si>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</si>
  <si>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</si>
  <si>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</si>
  <si>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</si>
  <si>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</si>
  <si>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</si>
  <si>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</si>
  <si>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</si>
  <si>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</si>
  <si>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</si>
  <si>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</si>
  <si>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</si>
  <si>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</si>
  <si>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</si>
  <si>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</si>
  <si>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</si>
  <si>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</si>
  <si>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</si>
  <si>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</si>
  <si>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</si>
  <si>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</si>
  <si>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</si>
  <si>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</si>
  <si>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</si>
  <si>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</si>
  <si>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</si>
  <si>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</si>
  <si>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</si>
  <si>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</si>
  <si>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</si>
  <si>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</si>
  <si>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</si>
  <si>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</si>
  <si>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</si>
  <si>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</si>
  <si>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</si>
  <si>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</si>
  <si>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</si>
  <si>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</si>
  <si>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</si>
  <si>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</si>
  <si>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</si>
  <si>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</si>
  <si>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</si>
  <si>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</si>
  <si>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</si>
  <si>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</si>
  <si>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</si>
  <si>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</si>
  <si>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</si>
  <si>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</si>
  <si>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</si>
  <si>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</si>
  <si>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</si>
  <si>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</si>
  <si>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</si>
  <si>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</si>
  <si>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</si>
  <si>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</si>
  <si>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</si>
  <si>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</si>
  <si>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</si>
  <si>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</si>
  <si>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</si>
  <si>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</si>
  <si>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</si>
  <si>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</si>
  <si>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</si>
  <si>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</si>
  <si>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</si>
  <si>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</si>
  <si>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</si>
  <si>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</si>
  <si>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</si>
  <si>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</si>
  <si>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</si>
  <si>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</si>
  <si>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</si>
  <si>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</si>
  <si>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</si>
  <si>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</si>
  <si>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</si>
  <si>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</si>
  <si>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</si>
  <si>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</si>
  <si>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</si>
  <si>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</si>
  <si>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</si>
  <si>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</si>
  <si>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</si>
  <si>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</si>
  <si>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</si>
  <si>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</si>
  <si>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</si>
  <si>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</si>
  <si>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</si>
  <si>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</si>
  <si>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</si>
  <si>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</si>
  <si>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</si>
  <si>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</si>
  <si>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</si>
  <si>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</si>
  <si>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</si>
  <si>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</si>
  <si>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</si>
  <si>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</si>
  <si>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</si>
  <si>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</si>
  <si>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</si>
  <si>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</si>
  <si>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</si>
  <si>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</si>
  <si>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</si>
  <si>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</si>
  <si>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</si>
  <si>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</si>
  <si>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</si>
  <si>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</si>
  <si>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</si>
  <si>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</si>
  <si>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</si>
  <si>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</si>
  <si>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</si>
  <si>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</si>
  <si>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</si>
  <si>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</si>
  <si>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</si>
  <si>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</si>
  <si>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</si>
  <si>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</si>
  <si>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</si>
  <si>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</si>
  <si>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</si>
  <si>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</si>
  <si>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</si>
  <si>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</si>
  <si>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</si>
  <si>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</si>
  <si>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</si>
  <si>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</si>
  <si>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</si>
  <si>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</si>
  <si>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</si>
  <si>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</si>
  <si>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</si>
  <si>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</si>
  <si>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</si>
  <si>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</si>
  <si>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</si>
  <si>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</si>
  <si>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</si>
  <si>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</si>
  <si>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</si>
  <si>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</si>
  <si>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</si>
  <si>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</si>
  <si>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</si>
  <si>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</si>
  <si>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</si>
  <si>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</si>
  <si>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</si>
  <si>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</si>
  <si>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</si>
  <si>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</si>
  <si>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</si>
  <si>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</si>
  <si>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</si>
  <si>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</si>
  <si>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</si>
  <si>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</si>
  <si>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</si>
  <si>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</si>
  <si>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</si>
  <si>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</si>
  <si>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</si>
  <si>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</si>
  <si>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</si>
  <si>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</si>
  <si>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</si>
  <si>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</si>
  <si>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</si>
  <si>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</si>
  <si>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</si>
  <si>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</si>
  <si>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</si>
  <si>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</si>
  <si>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</si>
  <si>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</si>
  <si>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</si>
  <si>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</si>
  <si>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</si>
  <si>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</si>
  <si>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</si>
  <si>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</si>
  <si>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</si>
  <si>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</si>
  <si>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</si>
  <si>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</si>
  <si>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</si>
  <si>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</si>
  <si>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</si>
  <si>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</si>
  <si>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</si>
  <si>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</si>
  <si>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</si>
  <si>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</si>
  <si>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</si>
  <si>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</si>
  <si>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</si>
  <si>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</si>
  <si>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</si>
  <si>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</si>
  <si>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</si>
  <si>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</si>
  <si>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</si>
  <si>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</si>
  <si>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</si>
  <si>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</si>
  <si>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</si>
  <si>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</si>
  <si>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</si>
  <si>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</si>
  <si>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</si>
  <si>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</si>
  <si>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</si>
  <si>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</si>
  <si>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</si>
  <si>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</si>
  <si>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</si>
  <si>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</si>
  <si>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</si>
  <si>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</si>
  <si>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</si>
  <si>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</si>
  <si>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</si>
  <si>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</si>
  <si>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</si>
  <si>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</si>
  <si>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</si>
  <si>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</si>
  <si>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</si>
  <si>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</si>
  <si>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</si>
  <si>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</si>
  <si>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</si>
  <si>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</si>
  <si>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</si>
  <si>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</si>
  <si>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</si>
  <si>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</si>
  <si>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</si>
  <si>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</si>
  <si>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</si>
  <si>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</si>
  <si>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</si>
  <si>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</si>
  <si>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</si>
  <si>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</si>
  <si>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</si>
  <si>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</si>
  <si>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</si>
  <si>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</si>
  <si>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</si>
  <si>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</si>
  <si>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</si>
  <si>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</si>
  <si>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</si>
  <si>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</si>
  <si>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</si>
  <si>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</si>
  <si>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</si>
  <si>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</si>
  <si>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</si>
  <si>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</si>
  <si>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</si>
  <si>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</si>
  <si>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</si>
  <si>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</si>
  <si>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</si>
  <si>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</si>
  <si>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</si>
  <si>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</si>
  <si>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</si>
  <si>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</si>
  <si>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</si>
  <si>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</si>
  <si>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</si>
  <si>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</si>
  <si>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</si>
  <si>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</si>
  <si>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</si>
  <si>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</si>
  <si>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</si>
  <si>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</si>
  <si>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</si>
  <si>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</si>
  <si>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</si>
  <si>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</si>
  <si>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</si>
  <si>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</si>
  <si>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</si>
  <si>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</si>
  <si>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</si>
  <si>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</si>
  <si>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</si>
  <si>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</si>
  <si>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</si>
  <si>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</si>
  <si>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</si>
  <si>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</si>
  <si>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</si>
  <si>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</si>
  <si>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</si>
  <si>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</si>
  <si>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</si>
  <si>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</si>
  <si>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</si>
  <si>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</si>
  <si>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</si>
  <si>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</si>
  <si>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</si>
  <si>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</si>
  <si>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</si>
  <si>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</si>
  <si>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</si>
  <si>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</si>
  <si>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</si>
  <si>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</si>
  <si>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</si>
  <si>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</si>
  <si>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</si>
  <si>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</si>
  <si>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</si>
  <si>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</si>
  <si>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</si>
  <si>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</si>
  <si>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</si>
  <si>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</si>
  <si>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</si>
  <si>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</si>
  <si>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</si>
  <si>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</si>
  <si>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</si>
  <si>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</si>
  <si>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</si>
  <si>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</si>
  <si>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</si>
  <si>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</si>
  <si>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</si>
  <si>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</si>
  <si>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</si>
  <si>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</si>
  <si>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</si>
  <si>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</si>
  <si>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</si>
  <si>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</si>
  <si>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</si>
  <si>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</si>
  <si>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</si>
  <si>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</si>
  <si>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</si>
  <si>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</si>
  <si>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</si>
  <si>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</si>
  <si>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</si>
  <si>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</si>
  <si>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</si>
  <si>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</si>
  <si>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</si>
  <si>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</si>
  <si>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</si>
  <si>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</si>
  <si>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</si>
  <si>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</si>
  <si>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</si>
  <si>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</si>
  <si>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</si>
  <si>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</si>
  <si>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</si>
  <si>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</si>
  <si>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</si>
  <si>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</si>
  <si>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</si>
  <si>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</si>
  <si>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</si>
  <si>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</si>
  <si>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</si>
  <si>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</si>
  <si>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</si>
  <si>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</si>
  <si>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</si>
  <si>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</si>
  <si>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</si>
  <si>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</si>
  <si>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</si>
  <si>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</si>
  <si>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</si>
  <si>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</si>
  <si>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</si>
  <si>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</si>
  <si>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</si>
  <si>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</si>
  <si>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</si>
  <si>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</si>
  <si>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</si>
  <si>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</si>
  <si>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</si>
  <si>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</si>
  <si>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</si>
  <si>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</si>
  <si>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</si>
  <si>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</si>
  <si>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</si>
  <si>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</si>
  <si>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</si>
  <si>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</si>
  <si>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</si>
  <si>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</si>
  <si>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</si>
  <si>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</si>
  <si>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</si>
  <si>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</si>
  <si>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</si>
  <si>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</si>
  <si>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</si>
  <si>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</si>
  <si>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</si>
  <si>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</si>
  <si>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</si>
  <si>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</si>
  <si>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</si>
  <si>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</si>
  <si>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</si>
  <si>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</si>
  <si>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</si>
  <si>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</si>
  <si>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</si>
  <si>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</si>
  <si>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</si>
  <si>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</si>
  <si>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</si>
  <si>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</si>
  <si>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</si>
  <si>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</si>
  <si>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</si>
  <si>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</si>
  <si>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</si>
  <si>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</si>
  <si>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</si>
  <si>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</si>
  <si>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</si>
  <si>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</si>
  <si>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</si>
  <si>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</si>
  <si>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</si>
  <si>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</si>
  <si>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</si>
  <si>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</si>
  <si>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</si>
  <si>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</si>
  <si>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</si>
  <si>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</si>
  <si>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</si>
  <si>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</si>
  <si>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</si>
  <si>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</si>
  <si>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</si>
  <si>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</si>
  <si>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</si>
  <si>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</si>
  <si>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</si>
  <si>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</si>
  <si>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</si>
  <si>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</si>
  <si>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</si>
  <si>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</si>
  <si>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</si>
  <si>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</si>
  <si>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</si>
  <si>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</si>
  <si>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</si>
  <si>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</si>
  <si>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</si>
  <si>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</si>
  <si>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</si>
  <si>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</si>
  <si>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</si>
  <si>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</si>
  <si>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</si>
  <si>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</si>
  <si>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</si>
  <si>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</si>
  <si>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</si>
  <si>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</si>
  <si>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</si>
  <si>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</si>
  <si>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</si>
  <si>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</si>
  <si>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</si>
  <si>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</si>
  <si>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</si>
  <si>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</si>
  <si>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</si>
  <si>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</si>
  <si>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</si>
  <si>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</si>
  <si>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</si>
  <si>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</si>
  <si>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</si>
  <si>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</si>
  <si>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</si>
  <si>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</si>
  <si>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</si>
  <si>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</si>
  <si>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</si>
  <si>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</si>
  <si>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</si>
  <si>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</si>
  <si>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</si>
  <si>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</si>
  <si>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</si>
  <si>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</si>
  <si>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</si>
  <si>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</si>
  <si>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</si>
  <si>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</si>
  <si>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</si>
  <si>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</si>
  <si>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</si>
  <si>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</si>
  <si>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</si>
  <si>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</si>
  <si>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</si>
  <si>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</si>
  <si>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</si>
  <si>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</si>
  <si>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</si>
  <si>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</si>
  <si>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</si>
  <si>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</si>
  <si>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</si>
  <si>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</si>
  <si>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</si>
  <si>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</si>
  <si>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</si>
  <si>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</si>
  <si>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</si>
  <si>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</si>
  <si>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</si>
  <si>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</si>
  <si>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</si>
  <si>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</si>
  <si>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</si>
  <si>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</si>
  <si>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</si>
  <si>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</si>
  <si>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</si>
  <si>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</si>
  <si>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</si>
  <si>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</si>
  <si>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</si>
  <si>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</si>
  <si>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</si>
  <si>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</si>
  <si>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</si>
  <si>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</si>
  <si>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</si>
  <si>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</si>
  <si>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</si>
  <si>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</si>
  <si>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</si>
  <si>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</si>
  <si>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</si>
  <si>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</si>
  <si>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</si>
  <si>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</si>
  <si>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</si>
  <si>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</si>
  <si>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</si>
  <si>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</si>
  <si>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</si>
  <si>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</si>
  <si>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</si>
  <si>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</si>
  <si>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</si>
  <si>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</si>
  <si>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</si>
  <si>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</si>
  <si>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</si>
  <si>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</si>
  <si>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</si>
  <si>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</si>
  <si>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</si>
  <si>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</si>
  <si>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</si>
  <si>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</si>
  <si>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</si>
  <si>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</si>
  <si>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</si>
  <si>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</si>
  <si>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</si>
  <si>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</si>
  <si>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</si>
  <si>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</si>
  <si>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</si>
  <si>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</si>
  <si>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</si>
  <si>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</si>
  <si>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</si>
  <si>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</si>
  <si>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</si>
  <si>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</si>
  <si>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</si>
  <si>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</si>
  <si>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</si>
  <si>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</si>
  <si>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</si>
  <si>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</si>
  <si>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</si>
  <si>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</si>
  <si>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</si>
  <si>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</si>
  <si>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</si>
  <si>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</si>
  <si>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</si>
  <si>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</si>
  <si>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</si>
  <si>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</si>
  <si>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</si>
  <si>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</si>
  <si>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</si>
  <si>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</si>
  <si>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</si>
  <si>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</si>
  <si>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</si>
  <si>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</si>
  <si>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</si>
  <si>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</si>
  <si>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</si>
  <si>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</si>
  <si>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</si>
  <si>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</si>
  <si>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</si>
  <si>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</si>
  <si>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</si>
  <si>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</si>
  <si>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</si>
  <si>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</si>
  <si>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</si>
  <si>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</si>
  <si>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</si>
  <si>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</si>
  <si>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</si>
  <si>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</si>
  <si>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</si>
  <si>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</si>
  <si>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</si>
  <si>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</si>
  <si>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</si>
  <si>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</si>
  <si>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</si>
  <si>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</si>
  <si>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</si>
  <si>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</si>
  <si>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</si>
  <si>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</si>
  <si>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</si>
  <si>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</si>
  <si>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</si>
  <si>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</si>
  <si>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</si>
  <si>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</si>
  <si>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</si>
  <si>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</si>
  <si>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</si>
  <si>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</si>
  <si>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</si>
  <si>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</si>
  <si>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</si>
  <si>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</si>
  <si>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</si>
  <si>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</si>
  <si>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</si>
  <si>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</si>
  <si>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</si>
  <si>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</si>
  <si>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</si>
  <si>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</si>
  <si>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</si>
  <si>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</si>
  <si>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</si>
  <si>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</si>
  <si>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</si>
  <si>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</si>
  <si>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</si>
  <si>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</si>
  <si>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</si>
  <si>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</si>
  <si>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</si>
  <si>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</si>
  <si>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</si>
  <si>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</si>
  <si>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</si>
  <si>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</si>
  <si>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</si>
  <si>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</si>
  <si>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</si>
  <si>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</si>
  <si>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</si>
  <si>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</si>
  <si>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</si>
  <si>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</si>
  <si>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</si>
  <si>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</si>
  <si>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</si>
  <si>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</si>
  <si>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</si>
  <si>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</si>
  <si>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</si>
  <si>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</si>
  <si>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</si>
  <si>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</si>
  <si>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</si>
  <si>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</si>
  <si>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</si>
  <si>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</si>
  <si>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</si>
  <si>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</si>
  <si>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</si>
  <si>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</si>
  <si>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</si>
  <si>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</si>
  <si>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</si>
  <si>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</si>
  <si>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</si>
  <si>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</si>
  <si>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</si>
  <si>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</si>
  <si>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</si>
  <si>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</si>
  <si>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</si>
  <si>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</si>
  <si>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</si>
  <si>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</si>
  <si>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</si>
  <si>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</si>
  <si>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</si>
  <si>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</si>
  <si>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</si>
  <si>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</si>
  <si>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</si>
  <si>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</si>
  <si>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</si>
  <si>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</si>
  <si>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</si>
  <si>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</si>
  <si>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</si>
  <si>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</si>
  <si>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</si>
  <si>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</si>
  <si>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</si>
  <si>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</si>
  <si>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</si>
  <si>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</si>
  <si>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</si>
  <si>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</si>
  <si>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</si>
  <si>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</si>
  <si>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</si>
  <si>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</si>
  <si>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</si>
  <si>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</si>
  <si>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</si>
  <si>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</si>
  <si>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</si>
  <si>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</si>
  <si>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</si>
  <si>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</si>
  <si>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</si>
  <si>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</si>
  <si>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</si>
  <si>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</si>
  <si>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</si>
  <si>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</si>
  <si>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</si>
  <si>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</si>
  <si>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</si>
  <si>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</si>
  <si>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</si>
  <si>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</si>
  <si>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</si>
  <si>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</si>
  <si>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</si>
  <si>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</si>
  <si>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</si>
  <si>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</si>
  <si>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</si>
  <si>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</si>
  <si>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</si>
  <si>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</si>
  <si>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</si>
  <si>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</si>
  <si>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</si>
  <si>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</si>
  <si>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</si>
  <si>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</si>
  <si>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</si>
  <si>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</si>
  <si>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</si>
  <si>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</si>
  <si>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</si>
  <si>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</si>
  <si>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</si>
  <si>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</si>
  <si>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</si>
  <si>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</si>
  <si>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</si>
  <si>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</si>
  <si>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</si>
  <si>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</si>
  <si>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</si>
  <si>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</si>
  <si>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</si>
  <si>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</si>
  <si>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</si>
  <si>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</si>
  <si>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</si>
  <si>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</si>
  <si>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</si>
  <si>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</si>
  <si>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</si>
  <si>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</si>
  <si>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</si>
  <si>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</si>
  <si>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</si>
  <si>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</si>
  <si>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</si>
  <si>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</si>
  <si>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</si>
  <si>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</si>
  <si>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</si>
  <si>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</si>
  <si>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</si>
  <si>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</si>
  <si>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</si>
  <si>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</si>
  <si>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</si>
  <si>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</si>
  <si>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</si>
  <si>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</si>
  <si>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</si>
  <si>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</si>
  <si>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</si>
  <si>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</si>
  <si>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</si>
  <si>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</si>
  <si>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</si>
  <si>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</si>
  <si>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</si>
  <si>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</si>
  <si>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</si>
  <si>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</si>
  <si>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</si>
  <si>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</si>
  <si>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</si>
  <si>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</si>
  <si>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</si>
  <si>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</si>
  <si>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</si>
  <si>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</si>
  <si>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</si>
  <si>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</si>
  <si>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</si>
  <si>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</si>
  <si>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</si>
  <si>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</si>
  <si>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</si>
  <si>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</si>
  <si>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</si>
  <si>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</si>
  <si>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</si>
  <si>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</si>
  <si>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</si>
  <si>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</si>
  <si>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</si>
  <si>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</si>
  <si>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</si>
  <si>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</si>
  <si>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</si>
  <si>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</si>
  <si>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</si>
  <si>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</si>
  <si>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</si>
  <si>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</si>
  <si>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</si>
  <si>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</si>
  <si>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</si>
  <si>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</si>
  <si>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</si>
  <si>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</si>
  <si>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</si>
  <si>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</si>
  <si>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</si>
  <si>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</si>
  <si>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</si>
  <si>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</si>
  <si>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</si>
  <si>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</si>
  <si>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</si>
  <si>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</si>
  <si>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</si>
  <si>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</si>
  <si>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</si>
  <si>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</si>
  <si>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</si>
  <si>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</si>
  <si>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</si>
  <si>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</si>
  <si>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</si>
  <si>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</si>
  <si>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</si>
  <si>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</si>
  <si>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</si>
  <si>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</si>
  <si>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</si>
  <si>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</si>
  <si>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</si>
  <si>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</si>
  <si>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</si>
  <si>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</si>
  <si>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</si>
  <si>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</si>
  <si>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</si>
  <si>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</si>
  <si>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</si>
  <si>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</si>
  <si>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</si>
  <si>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</si>
  <si>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</si>
  <si>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</si>
  <si>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</si>
  <si>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</si>
  <si>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</si>
  <si>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</si>
  <si>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</si>
  <si>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</si>
  <si>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</si>
  <si>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</si>
  <si>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</si>
  <si>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</si>
  <si>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</si>
  <si>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</si>
  <si>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</si>
  <si>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</si>
  <si>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</si>
  <si>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</si>
  <si>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</si>
  <si>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</si>
  <si>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</si>
  <si>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</si>
  <si>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</si>
  <si>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</si>
  <si>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</si>
  <si>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</si>
  <si>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</si>
  <si>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</si>
  <si>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</si>
  <si>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</si>
  <si>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</si>
  <si>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</si>
  <si>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</si>
  <si>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</si>
  <si>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</si>
  <si>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</si>
  <si>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</si>
  <si>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</si>
  <si>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</si>
  <si>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</si>
  <si>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</si>
  <si>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</si>
  <si>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</si>
  <si>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</si>
  <si>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</si>
  <si>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</si>
  <si>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</si>
  <si>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</si>
  <si>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</si>
  <si>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</si>
  <si>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</si>
  <si>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</si>
  <si>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</si>
  <si>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</si>
  <si>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</si>
  <si>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</si>
  <si>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</si>
  <si>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</si>
  <si>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</si>
  <si>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</si>
  <si>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</si>
  <si>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</si>
  <si>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</si>
  <si>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</si>
  <si>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</si>
  <si>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</si>
  <si>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</si>
  <si>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</si>
  <si>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</si>
  <si>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</si>
  <si>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</si>
  <si>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</si>
  <si>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</si>
  <si>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</si>
  <si>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</si>
  <si>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</si>
  <si>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</si>
  <si>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</si>
  <si>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</si>
  <si>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</si>
  <si>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</si>
  <si>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</si>
  <si>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</si>
  <si>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</si>
  <si>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</si>
  <si>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</si>
  <si>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</si>
  <si>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</si>
  <si>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</si>
  <si>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</si>
  <si>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</si>
  <si>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</si>
  <si>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</si>
  <si>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</si>
  <si>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</si>
  <si>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</si>
  <si>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</si>
  <si>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</si>
  <si>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</si>
  <si>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</si>
  <si>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</si>
  <si>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</si>
  <si>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</si>
  <si>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</si>
  <si>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</si>
  <si>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</si>
  <si>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</si>
  <si>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</si>
  <si>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</si>
  <si>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</si>
  <si>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</si>
  <si>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</si>
  <si>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</si>
  <si>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</si>
  <si>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</si>
  <si>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</si>
  <si>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</si>
  <si>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</si>
  <si>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</si>
  <si>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</si>
  <si>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</si>
  <si>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</si>
  <si>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</si>
  <si>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</si>
  <si>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</si>
  <si>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</si>
  <si>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</si>
  <si>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</si>
  <si>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</si>
  <si>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</si>
  <si>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</si>
  <si>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</si>
  <si>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</si>
  <si>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</si>
  <si>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</si>
  <si>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</si>
  <si>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</si>
  <si>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</si>
  <si>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</si>
  <si>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</si>
  <si>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</si>
  <si>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</si>
  <si>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</si>
  <si>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</si>
  <si>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</si>
  <si>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</si>
  <si>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</si>
  <si>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</si>
  <si>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</si>
  <si>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</si>
  <si>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</si>
  <si>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</si>
  <si>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</si>
  <si>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</si>
  <si>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</si>
  <si>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</si>
  <si>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</si>
  <si>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</si>
  <si>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</si>
  <si>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</si>
  <si>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</si>
  <si>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</si>
  <si>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</si>
  <si>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</si>
  <si>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</si>
  <si>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</si>
  <si>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</si>
  <si>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</si>
  <si>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</si>
  <si>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</si>
  <si>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</si>
  <si>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</si>
  <si>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</si>
  <si>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</si>
  <si>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</si>
  <si>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</si>
  <si>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</si>
  <si>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</si>
  <si>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</si>
  <si>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</si>
  <si>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</si>
  <si>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</si>
  <si>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</si>
  <si>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</si>
  <si>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</si>
  <si>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</si>
  <si>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</si>
  <si>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</si>
  <si>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</si>
  <si>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</si>
  <si>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</si>
  <si>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</si>
  <si>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</si>
  <si>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</si>
  <si>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</si>
  <si>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</si>
  <si>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</si>
  <si>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</si>
  <si>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</si>
  <si>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</si>
  <si>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</si>
  <si>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</si>
  <si>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</si>
  <si>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</si>
  <si>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</si>
  <si>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</si>
  <si>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</si>
  <si>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</si>
  <si>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</si>
  <si>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</si>
  <si>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</si>
  <si>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</si>
  <si>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</si>
  <si>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</si>
  <si>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</si>
  <si>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</si>
  <si>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</si>
  <si>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</si>
  <si>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</si>
  <si>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</si>
  <si>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</si>
  <si>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</si>
  <si>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</si>
  <si>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</si>
  <si>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</si>
  <si>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</si>
  <si>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</si>
  <si>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</si>
  <si>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</si>
  <si>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</si>
  <si>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</si>
  <si>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</si>
  <si>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</si>
  <si>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</si>
  <si>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</si>
  <si>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</si>
  <si>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</si>
  <si>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</si>
  <si>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</si>
  <si>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</si>
  <si>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</si>
  <si>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</si>
  <si>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</si>
  <si>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</si>
  <si>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</si>
  <si>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</si>
  <si>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</si>
  <si>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</si>
  <si>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</si>
  <si>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</si>
  <si>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</si>
  <si>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</si>
  <si>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</si>
  <si>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</si>
  <si>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</si>
  <si>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</si>
  <si>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</si>
  <si>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</si>
  <si>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</si>
  <si>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</si>
  <si>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</si>
  <si>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</si>
  <si>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</si>
  <si>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</si>
  <si>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</si>
  <si>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</si>
  <si>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</si>
  <si>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</si>
  <si>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</si>
  <si>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</si>
  <si>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</si>
  <si>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</si>
  <si>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</si>
  <si>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</si>
  <si>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</si>
  <si>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</si>
  <si>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</si>
  <si>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</si>
  <si>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</si>
  <si>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</si>
  <si>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</si>
  <si>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</si>
  <si>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</si>
  <si>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</si>
  <si>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</si>
  <si>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</si>
  <si>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</si>
  <si>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</si>
  <si>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</si>
  <si>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</si>
  <si>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</si>
  <si>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</si>
  <si>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</si>
  <si>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</si>
  <si>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</si>
  <si>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</si>
  <si>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</si>
  <si>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</si>
  <si>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</si>
  <si>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</si>
  <si>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</si>
  <si>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</si>
  <si>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</si>
  <si>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</si>
  <si>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</si>
  <si>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</si>
  <si>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</si>
  <si>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</si>
  <si>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</si>
  <si>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</si>
  <si>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</si>
  <si>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</si>
  <si>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</si>
  <si>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</si>
  <si>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</si>
  <si>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</si>
  <si>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</si>
  <si>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</si>
  <si>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</si>
  <si>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</si>
  <si>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</si>
  <si>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</si>
  <si>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</si>
  <si>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</si>
  <si>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</si>
  <si>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</si>
  <si>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</si>
  <si>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</si>
  <si>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</si>
  <si>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</si>
  <si>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</si>
  <si>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</si>
  <si>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</si>
  <si>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</si>
  <si>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</si>
  <si>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</si>
  <si>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</si>
  <si>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</si>
  <si>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</si>
  <si>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</si>
  <si>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</si>
  <si>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</si>
  <si>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</si>
  <si>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</si>
  <si>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</si>
  <si>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</si>
  <si>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</si>
  <si>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</si>
  <si>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</si>
  <si>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</si>
  <si>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</si>
  <si>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</si>
  <si>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</si>
  <si>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</si>
  <si>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</si>
  <si>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</si>
  <si>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</si>
  <si>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</si>
  <si>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</si>
  <si>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</si>
  <si>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</si>
  <si>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</si>
  <si>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</si>
  <si>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</si>
  <si>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</si>
  <si>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</si>
  <si>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</si>
  <si>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</si>
  <si>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</si>
  <si>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</si>
  <si>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</si>
  <si>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</si>
  <si>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</si>
  <si>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</si>
  <si>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</si>
  <si>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</si>
  <si>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</si>
  <si>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</si>
  <si>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</si>
  <si>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</si>
  <si>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</si>
  <si>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</si>
  <si>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</si>
  <si>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</si>
  <si>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</si>
  <si>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</si>
  <si>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</si>
  <si>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</si>
  <si>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</si>
  <si>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</si>
  <si>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</si>
  <si>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</si>
  <si>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</si>
  <si>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</si>
  <si>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</si>
  <si>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</si>
  <si>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</si>
  <si>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</si>
  <si>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</si>
  <si>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</si>
  <si>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</si>
  <si>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</si>
  <si>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</si>
  <si>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</si>
  <si>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</si>
  <si>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</si>
  <si>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</si>
  <si>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</si>
  <si>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</si>
  <si>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</si>
  <si>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</si>
  <si>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</si>
  <si>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</si>
  <si>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</si>
  <si>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</si>
  <si>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</si>
  <si>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</si>
  <si>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</si>
  <si>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</si>
  <si>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</si>
  <si>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</si>
  <si>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</si>
  <si>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</si>
  <si>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</si>
  <si>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</si>
  <si>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</si>
  <si>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</si>
  <si>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</si>
  <si>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</si>
  <si>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</si>
  <si>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</si>
  <si>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</si>
  <si>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</si>
  <si>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</si>
  <si>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</si>
  <si>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</si>
  <si>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</si>
  <si>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</si>
  <si>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</si>
  <si>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</si>
  <si>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</si>
  <si>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</si>
  <si>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</si>
  <si>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</si>
  <si>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</si>
  <si>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</si>
  <si>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</si>
  <si>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</si>
  <si>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</si>
  <si>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</si>
  <si>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</si>
  <si>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</si>
  <si>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</si>
  <si>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</si>
  <si>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</si>
  <si>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</si>
  <si>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</si>
  <si>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</si>
  <si>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</si>
  <si>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</si>
  <si>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</si>
  <si>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</si>
  <si>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</si>
  <si>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</si>
  <si>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</si>
  <si>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</si>
  <si>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</si>
  <si>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</si>
  <si>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</si>
  <si>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</si>
  <si>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</si>
  <si>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</si>
  <si>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</si>
  <si>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</si>
  <si>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</si>
  <si>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</si>
  <si>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</si>
  <si>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</si>
  <si>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</si>
  <si>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</si>
  <si>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</si>
  <si>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</si>
  <si>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</si>
  <si>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</si>
  <si>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</si>
  <si>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</si>
  <si>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</si>
  <si>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</si>
  <si>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</si>
  <si>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</si>
  <si>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</si>
  <si>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</si>
  <si>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</si>
  <si>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</si>
  <si>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</si>
  <si>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</si>
  <si>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</si>
  <si>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</si>
  <si>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</si>
  <si>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</si>
  <si>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</si>
  <si>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</si>
  <si>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</si>
  <si>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</si>
  <si>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</si>
  <si>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</si>
  <si>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</si>
  <si>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</si>
  <si>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</si>
  <si>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</si>
  <si>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</si>
  <si>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</si>
  <si>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</si>
  <si>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</si>
  <si>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</si>
  <si>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</si>
  <si>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</si>
  <si>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</si>
  <si>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</si>
  <si>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</si>
  <si>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</si>
  <si>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</si>
  <si>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</si>
  <si>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</si>
  <si>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</si>
  <si>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</si>
  <si>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</si>
  <si>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</si>
  <si>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</si>
  <si>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</si>
  <si>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</si>
  <si>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</si>
  <si>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</si>
  <si>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</si>
  <si>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</si>
  <si>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</si>
  <si>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</si>
  <si>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</si>
  <si>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</si>
  <si>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</si>
  <si>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</si>
  <si>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</si>
  <si>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</si>
  <si>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</si>
  <si>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</si>
  <si>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</si>
  <si>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</si>
  <si>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</si>
  <si>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</si>
  <si>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</si>
  <si>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</si>
  <si>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</si>
  <si>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</si>
  <si>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</si>
  <si>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</si>
  <si>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</si>
  <si>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</si>
  <si>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</si>
  <si>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</si>
  <si>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</si>
  <si>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</si>
  <si>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</si>
  <si>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</si>
  <si>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</si>
  <si>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</si>
  <si>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</si>
  <si>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</si>
  <si>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</si>
  <si>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</si>
  <si>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</si>
  <si>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</si>
  <si>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</si>
  <si>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</si>
  <si>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</si>
  <si>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</si>
  <si>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</si>
  <si>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</si>
  <si>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</si>
  <si>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</si>
  <si>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</si>
  <si>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</si>
  <si>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</si>
  <si>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</si>
  <si>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</si>
  <si>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</si>
  <si>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</si>
  <si>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</si>
  <si>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</si>
  <si>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</si>
  <si>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</si>
  <si>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</si>
  <si>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</si>
  <si>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</si>
  <si>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</si>
  <si>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</si>
  <si>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</si>
  <si>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</si>
  <si>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</si>
  <si>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</si>
  <si>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</si>
  <si>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</si>
  <si>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</si>
  <si>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</si>
  <si>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</si>
  <si>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</si>
  <si>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</si>
  <si>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</si>
  <si>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</si>
  <si>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</si>
  <si>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</si>
  <si>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</si>
  <si>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</si>
  <si>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</si>
  <si>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</si>
  <si>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</si>
  <si>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</si>
  <si>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</si>
  <si>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</si>
  <si>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</si>
  <si>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</si>
  <si>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</si>
  <si>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</si>
  <si>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</si>
  <si>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</si>
  <si>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</si>
  <si>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</si>
  <si>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</si>
  <si>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</si>
  <si>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</si>
  <si>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</si>
  <si>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</si>
  <si>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</si>
  <si>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</si>
  <si>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</si>
  <si>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</si>
  <si>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</si>
  <si>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</si>
  <si>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</si>
  <si>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</si>
  <si>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</si>
  <si>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</si>
  <si>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</si>
  <si>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</si>
  <si>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</si>
  <si>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</si>
  <si>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</si>
  <si>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</si>
  <si>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</si>
  <si>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</si>
  <si>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</si>
  <si>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</si>
  <si>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</si>
  <si>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</si>
  <si>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</si>
  <si>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</si>
  <si>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</si>
  <si>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</si>
  <si>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</si>
  <si>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</si>
  <si>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</si>
  <si>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</si>
  <si>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</si>
  <si>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</si>
  <si>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</si>
  <si>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</si>
  <si>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</si>
  <si>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</si>
  <si>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</si>
  <si>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</si>
  <si>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</si>
  <si>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</si>
  <si>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</si>
  <si>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</si>
  <si>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</si>
  <si>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</si>
  <si>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</si>
  <si>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</si>
  <si>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</si>
  <si>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</si>
  <si>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</si>
  <si>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</si>
  <si>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</si>
  <si>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</si>
  <si>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</si>
  <si>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</si>
  <si>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</si>
  <si>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</si>
  <si>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</si>
  <si>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</si>
  <si>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</si>
  <si>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</si>
  <si>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</si>
  <si>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</si>
  <si>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</si>
  <si>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</si>
  <si>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</si>
  <si>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</si>
  <si>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</si>
  <si>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</si>
  <si>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</si>
  <si>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</si>
  <si>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</si>
  <si>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</si>
  <si>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</si>
  <si>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</si>
  <si>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</si>
  <si>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</si>
  <si>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</si>
  <si>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</si>
  <si>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</si>
  <si>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</si>
  <si>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</si>
  <si>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</si>
  <si>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</si>
  <si>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</si>
  <si>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</si>
  <si>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</si>
  <si>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</si>
  <si>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</si>
  <si>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</si>
  <si>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</si>
  <si>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</si>
  <si>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</si>
  <si>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</si>
  <si>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</si>
  <si>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</si>
  <si>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</si>
  <si>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</si>
  <si>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</si>
  <si>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</si>
  <si>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</si>
  <si>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</si>
  <si>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</si>
  <si>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</si>
  <si>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</si>
  <si>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</si>
  <si>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</si>
  <si>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</si>
  <si>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</si>
  <si>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</si>
  <si>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</si>
  <si>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</si>
  <si>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</si>
  <si>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</si>
  <si>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</si>
  <si>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</si>
  <si>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</si>
  <si>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</si>
  <si>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</si>
  <si>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</si>
  <si>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</si>
  <si>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</si>
  <si>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</si>
  <si>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</si>
  <si>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</si>
  <si>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</si>
  <si>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</si>
  <si>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</si>
  <si>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</si>
  <si>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</si>
  <si>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</si>
  <si>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</si>
  <si>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</si>
  <si>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</si>
  <si>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</si>
  <si>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</si>
  <si>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</si>
  <si>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</si>
  <si>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</si>
  <si>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</si>
  <si>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</si>
  <si>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</si>
  <si>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</si>
  <si>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</si>
  <si>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</si>
  <si>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</si>
  <si>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</si>
  <si>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</si>
  <si>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</si>
  <si>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</si>
  <si>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</si>
  <si>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</si>
  <si>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</si>
  <si>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</si>
  <si>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</si>
  <si>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</si>
  <si>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</si>
  <si>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</si>
  <si>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</si>
  <si>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</si>
  <si>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</si>
  <si>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</si>
  <si>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</si>
  <si>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</si>
  <si>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</si>
  <si>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</si>
  <si>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</si>
  <si>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</si>
  <si>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</si>
  <si>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</si>
  <si>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</si>
  <si>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</si>
  <si>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</si>
  <si>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</si>
  <si>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</si>
  <si>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</si>
  <si>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</si>
  <si>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</si>
  <si>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</si>
  <si>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</si>
  <si>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</si>
  <si>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</si>
  <si>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</si>
  <si>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</si>
  <si>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</si>
  <si>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</si>
  <si>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</si>
  <si>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</si>
  <si>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</si>
  <si>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</si>
  <si>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</si>
  <si>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</si>
  <si>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</si>
  <si>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</si>
  <si>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</si>
  <si>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</si>
  <si>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</si>
  <si>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</si>
  <si>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</si>
  <si>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</si>
  <si>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</si>
  <si>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</si>
  <si>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</si>
  <si>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</si>
  <si>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</si>
  <si>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</si>
  <si>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</si>
  <si>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</si>
  <si>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</si>
  <si>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</si>
  <si>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</si>
  <si>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</si>
  <si>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</si>
  <si>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</si>
  <si>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</si>
  <si>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</si>
  <si>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</si>
  <si>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</si>
  <si>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</si>
  <si>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</si>
  <si>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</si>
  <si>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</si>
  <si>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</si>
  <si>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</si>
  <si>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</si>
  <si>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</si>
  <si>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</si>
  <si>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</si>
  <si>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</si>
  <si>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</si>
  <si>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</si>
  <si>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</si>
  <si>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</si>
  <si>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</si>
  <si>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</si>
  <si>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</si>
  <si>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</si>
  <si>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</si>
  <si>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</si>
  <si>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</si>
  <si>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</si>
  <si>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</si>
  <si>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</si>
  <si>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</si>
  <si>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</si>
  <si>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</si>
  <si>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</si>
  <si>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</si>
  <si>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</si>
  <si>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</si>
  <si>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</si>
  <si>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</si>
  <si>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</si>
  <si>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</si>
  <si>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</si>
  <si>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</si>
  <si>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</si>
  <si>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</si>
  <si>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</si>
  <si>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</si>
  <si>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</si>
  <si>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</si>
  <si>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</si>
  <si>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</si>
  <si>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</si>
  <si>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</si>
  <si>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</si>
  <si>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</si>
  <si>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</si>
  <si>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</si>
  <si>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</si>
  <si>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</si>
  <si>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</si>
  <si>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</si>
  <si>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</si>
  <si>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</si>
  <si>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</si>
  <si>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</si>
  <si>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</si>
  <si>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</si>
  <si>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</si>
  <si>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</si>
  <si>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</si>
  <si>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</si>
  <si>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</si>
  <si>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</si>
  <si>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</si>
  <si>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</si>
  <si>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</si>
  <si>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</si>
  <si>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</si>
  <si>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</si>
  <si>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</si>
  <si>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</si>
  <si>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</si>
  <si>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</si>
  <si>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</si>
  <si>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</si>
  <si>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</si>
  <si>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</si>
  <si>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</si>
  <si>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</si>
  <si>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</si>
  <si>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</si>
  <si>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</si>
  <si>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</si>
  <si>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</si>
  <si>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</si>
  <si>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</si>
  <si>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</si>
  <si>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</si>
  <si>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</si>
  <si>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</si>
  <si>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</si>
  <si>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</si>
  <si>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</si>
  <si>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</si>
  <si>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</si>
  <si>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</si>
  <si>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</si>
  <si>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</si>
  <si>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</si>
  <si>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</si>
  <si>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</si>
  <si>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</si>
  <si>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</si>
  <si>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</si>
  <si>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</si>
  <si>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</si>
  <si>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</si>
  <si>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</si>
  <si>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</si>
  <si>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</si>
  <si>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</si>
  <si>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</si>
  <si>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</si>
  <si>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</si>
  <si>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</si>
  <si>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</si>
  <si>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</si>
  <si>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</si>
  <si>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</si>
  <si>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</si>
  <si>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</si>
  <si>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</si>
  <si>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</si>
  <si>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</si>
  <si>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</si>
  <si>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</si>
  <si>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</si>
  <si>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</si>
  <si>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</si>
  <si>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</si>
  <si>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</si>
  <si>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</si>
  <si>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</si>
  <si>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</si>
  <si>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</si>
  <si>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</si>
  <si>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</si>
  <si>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</si>
  <si>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</si>
  <si>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</si>
  <si>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</si>
  <si>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</si>
  <si>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</si>
  <si>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</si>
  <si>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</si>
  <si>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</si>
  <si>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</si>
  <si>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</si>
  <si>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</si>
  <si>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</si>
  <si>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</si>
  <si>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</si>
  <si>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</si>
  <si>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</si>
  <si>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</si>
  <si>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</si>
  <si>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</si>
  <si>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</si>
  <si>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</si>
  <si>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</si>
  <si>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</si>
  <si>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</si>
  <si>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</si>
  <si>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</si>
  <si>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</si>
  <si>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</si>
  <si>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</si>
  <si>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</si>
  <si>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</si>
  <si>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</si>
  <si>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</si>
  <si>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</si>
  <si>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</si>
  <si>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</si>
  <si>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</si>
  <si>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</si>
  <si>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</si>
  <si>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</si>
  <si>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</si>
  <si>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</si>
  <si>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</si>
  <si>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</si>
  <si>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</si>
  <si>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</si>
  <si>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</si>
  <si>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</si>
  <si>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</si>
  <si>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</si>
  <si>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</si>
  <si>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</si>
  <si>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</si>
  <si>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</si>
  <si>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</si>
  <si>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</si>
  <si>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</si>
  <si>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</si>
  <si>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</si>
  <si>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</si>
  <si>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</si>
  <si>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</si>
  <si>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</si>
  <si>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</si>
  <si>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</si>
  <si>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</si>
  <si>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</si>
  <si>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</si>
  <si>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</si>
  <si>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</si>
  <si>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</si>
  <si>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</si>
  <si>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</si>
  <si>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</si>
  <si>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</si>
  <si>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</si>
  <si>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</si>
  <si>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</si>
  <si>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</si>
  <si>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</si>
  <si>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</si>
  <si>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</si>
  <si>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</si>
  <si>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</si>
  <si>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</si>
  <si>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</si>
  <si>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</si>
  <si>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</si>
  <si>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</si>
  <si>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</si>
  <si>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</si>
  <si>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</si>
  <si>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</si>
  <si>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</si>
  <si>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</si>
  <si>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</si>
  <si>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</si>
  <si>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</si>
  <si>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</si>
  <si>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</si>
  <si>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</si>
  <si>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</si>
  <si>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</si>
  <si>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</si>
  <si>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</si>
  <si>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</si>
  <si>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</si>
  <si>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</si>
  <si>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</si>
  <si>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</si>
  <si>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</si>
  <si>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</si>
  <si>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</si>
  <si>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</si>
  <si>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</si>
  <si>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</si>
  <si>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</si>
  <si>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</si>
  <si>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</si>
  <si>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</si>
  <si>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</si>
  <si>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</si>
  <si>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</si>
  <si>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</si>
  <si>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</si>
  <si>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</si>
  <si>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</si>
  <si>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</si>
  <si>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</si>
  <si>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</si>
  <si>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</si>
  <si>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</si>
  <si>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</si>
  <si>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</si>
  <si>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</si>
  <si>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</si>
  <si>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</si>
  <si>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</si>
  <si>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</si>
  <si>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</si>
  <si>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</si>
  <si>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</si>
  <si>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</si>
  <si>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</si>
  <si>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</si>
  <si>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</si>
  <si>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</si>
  <si>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</si>
  <si>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</si>
  <si>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</si>
  <si>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</si>
  <si>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</si>
  <si>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</si>
  <si>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</si>
  <si>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</si>
  <si>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</si>
  <si>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</si>
  <si>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</si>
  <si>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</si>
  <si>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</si>
  <si>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</si>
  <si>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</si>
  <si>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</si>
  <si>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</si>
  <si>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</si>
  <si>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</si>
  <si>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</si>
  <si>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</si>
  <si>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</si>
  <si>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</si>
  <si>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</si>
  <si>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</si>
  <si>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</si>
  <si>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</si>
  <si>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</si>
  <si>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</si>
  <si>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</si>
  <si>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</si>
  <si>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</si>
  <si>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</si>
  <si>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</si>
  <si>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</si>
  <si>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</si>
  <si>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</si>
  <si>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</si>
  <si>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</si>
  <si>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</si>
  <si>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</si>
  <si>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</si>
  <si>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</si>
  <si>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</si>
  <si>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</si>
  <si>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</si>
  <si>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</si>
  <si>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</si>
  <si>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</si>
  <si>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</si>
  <si>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</si>
  <si>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</si>
  <si>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</si>
  <si>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</si>
  <si>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</si>
  <si>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</si>
  <si>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</si>
  <si>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</si>
  <si>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</si>
  <si>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</si>
  <si>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</si>
  <si>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</si>
  <si>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</si>
  <si>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</si>
  <si>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</si>
  <si>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</si>
  <si>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</si>
  <si>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</si>
  <si>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</si>
  <si>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</si>
  <si>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</si>
  <si>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</si>
  <si>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</si>
  <si>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</si>
  <si>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</si>
  <si>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</si>
  <si>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</si>
  <si>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</si>
  <si>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</si>
  <si>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</si>
  <si>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</si>
  <si>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</si>
  <si>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</si>
  <si>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</si>
  <si>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</si>
  <si>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</si>
  <si>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</si>
  <si>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</si>
  <si>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</si>
  <si>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</si>
  <si>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</si>
  <si>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</si>
  <si>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</si>
  <si>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</si>
  <si>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</si>
  <si>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</si>
  <si>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</si>
  <si>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</si>
  <si>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</si>
  <si>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</si>
  <si>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</si>
  <si>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</si>
  <si>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</si>
  <si>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</si>
  <si>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</si>
  <si>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</si>
  <si>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</si>
  <si>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</si>
  <si>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</si>
  <si>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</si>
  <si>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</si>
  <si>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</si>
  <si>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</si>
  <si>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</si>
  <si>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</si>
  <si>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</si>
  <si>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</si>
  <si>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</si>
  <si>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</si>
  <si>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</si>
  <si>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</si>
  <si>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</si>
  <si>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</si>
  <si>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</si>
  <si>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</si>
  <si>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</si>
  <si>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</si>
  <si>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</si>
  <si>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</si>
  <si>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</si>
  <si>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</si>
  <si>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</si>
  <si>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</si>
  <si>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</si>
  <si>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</si>
  <si>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</si>
  <si>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</si>
  <si>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</si>
  <si>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</si>
  <si>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</si>
  <si>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</si>
  <si>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</si>
  <si>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</si>
  <si>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</si>
  <si>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</si>
  <si>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</si>
  <si>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</si>
  <si>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</si>
  <si>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</si>
  <si>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</si>
  <si>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</si>
  <si>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</si>
  <si>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</si>
  <si>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</si>
  <si>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</si>
  <si>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</si>
  <si>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</si>
  <si>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</si>
  <si>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</si>
  <si>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</si>
  <si>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</si>
  <si>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</si>
  <si>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</si>
  <si>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</si>
  <si>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</si>
  <si>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</si>
  <si>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</si>
  <si>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</si>
  <si>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</si>
  <si>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</si>
  <si>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</si>
  <si>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</si>
  <si>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</si>
  <si>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</si>
  <si>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</si>
  <si>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</si>
  <si>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</si>
  <si>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</si>
  <si>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</si>
  <si>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</si>
  <si>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</si>
  <si>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</si>
  <si>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</si>
  <si>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</si>
  <si>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</si>
  <si>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</si>
  <si>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</si>
  <si>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</si>
  <si>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</si>
  <si>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</si>
  <si>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</si>
  <si>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</si>
  <si>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</si>
  <si>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</si>
  <si>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</si>
  <si>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</si>
  <si>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</si>
  <si>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</si>
  <si>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</si>
  <si>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</si>
  <si>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</si>
  <si>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</si>
  <si>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</si>
  <si>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</si>
  <si>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</si>
  <si>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</si>
  <si>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</si>
  <si>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</si>
  <si>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</si>
  <si>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</si>
  <si>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</si>
  <si>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</si>
  <si>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</si>
  <si>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</si>
  <si>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</si>
  <si>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</si>
  <si>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</si>
  <si>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</si>
  <si>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</si>
  <si>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</si>
  <si>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</si>
  <si>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</si>
  <si>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</si>
  <si>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</si>
  <si>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</si>
  <si>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</si>
  <si>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</si>
  <si>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</si>
  <si>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</si>
  <si>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</si>
  <si>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</si>
  <si>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</si>
  <si>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</si>
  <si>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</si>
  <si>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</si>
  <si>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</si>
  <si>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</si>
  <si>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</si>
  <si>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</si>
  <si>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</si>
  <si>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</si>
  <si>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</si>
  <si>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</si>
  <si>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</si>
  <si>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</si>
  <si>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</si>
  <si>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</si>
  <si>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</si>
  <si>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</si>
  <si>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</si>
  <si>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</si>
  <si>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</si>
  <si>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</si>
  <si>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</si>
  <si>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</si>
  <si>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</si>
  <si>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</si>
  <si>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</si>
  <si>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</si>
  <si>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</si>
  <si>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</si>
  <si>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</si>
  <si>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</si>
  <si>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</si>
  <si>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</si>
  <si>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</si>
  <si>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</si>
  <si>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</si>
  <si>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</si>
  <si>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</si>
  <si>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</si>
  <si>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</si>
  <si>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</si>
  <si>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</si>
  <si>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</si>
  <si>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</si>
  <si>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</si>
  <si>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</si>
  <si>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</si>
  <si>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</si>
  <si>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</si>
  <si>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</si>
  <si>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</si>
  <si>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</si>
  <si>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</si>
  <si>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</si>
  <si>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</si>
  <si>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</si>
  <si>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</si>
  <si>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</si>
  <si>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</si>
  <si>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</si>
  <si>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</si>
  <si>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</si>
  <si>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</si>
  <si>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</si>
  <si>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</si>
  <si>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</si>
  <si>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</si>
  <si>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</si>
  <si>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</si>
  <si>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</si>
  <si>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</si>
  <si>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</si>
  <si>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</si>
  <si>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</si>
  <si>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</si>
  <si>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</si>
  <si>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</si>
  <si>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</si>
  <si>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</si>
  <si>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</si>
  <si>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</si>
  <si>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</si>
  <si>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</si>
  <si>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</si>
  <si>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</si>
  <si>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</si>
  <si>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</si>
  <si>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</si>
  <si>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</si>
  <si>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</si>
  <si>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</si>
  <si>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</si>
  <si>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</si>
  <si>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</si>
  <si>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</si>
  <si>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</si>
  <si>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</si>
  <si>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</si>
  <si>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</si>
  <si>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</si>
  <si>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</si>
  <si>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</si>
  <si>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</si>
  <si>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</si>
  <si>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</si>
  <si>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</si>
  <si>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</si>
  <si>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</si>
  <si>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</si>
  <si>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</si>
  <si>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</si>
  <si>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</si>
  <si>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</si>
  <si>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</si>
  <si>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</si>
  <si>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</si>
  <si>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</si>
  <si>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</si>
  <si>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</si>
  <si>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</si>
  <si>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</si>
  <si>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</si>
  <si>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</si>
  <si>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</si>
  <si>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</si>
  <si>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</si>
  <si>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</si>
  <si>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</si>
  <si>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</si>
  <si>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</si>
  <si>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</si>
  <si>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</si>
  <si>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</si>
  <si>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</si>
  <si>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</si>
  <si>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</si>
  <si>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</si>
  <si>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</si>
  <si>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</si>
  <si>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</si>
  <si>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</si>
  <si>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</si>
  <si>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</si>
  <si>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</si>
  <si>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</si>
  <si>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</si>
  <si>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</si>
  <si>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</si>
  <si>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</si>
  <si>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</si>
  <si>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</si>
  <si>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</si>
  <si>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</si>
  <si>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</si>
  <si>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</si>
  <si>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</si>
  <si>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</si>
  <si>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</si>
  <si>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</si>
  <si>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</si>
  <si>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</si>
  <si>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</si>
  <si>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</si>
  <si>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</si>
  <si>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</si>
  <si>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</si>
  <si>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</si>
  <si>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</si>
  <si>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</si>
  <si>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</si>
  <si>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</si>
  <si>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</si>
  <si>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</si>
  <si>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</si>
  <si>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</si>
  <si>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</si>
  <si>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</si>
  <si>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</si>
  <si>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</si>
  <si>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</si>
  <si>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</si>
  <si>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</si>
  <si>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</si>
  <si>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</si>
  <si>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</si>
  <si>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</si>
  <si>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</si>
  <si>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</si>
  <si>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</si>
  <si>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</si>
  <si>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</si>
  <si>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</si>
  <si>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</si>
  <si>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</si>
  <si>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</si>
  <si>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</si>
  <si>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</si>
  <si>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</si>
  <si>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</si>
  <si>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</si>
  <si>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</si>
  <si>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</si>
  <si>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</si>
  <si>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</si>
  <si>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</si>
  <si>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</si>
  <si>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</si>
  <si>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</si>
  <si>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</si>
  <si>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</si>
  <si>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</si>
  <si>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</si>
  <si>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</si>
  <si>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</si>
  <si>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</si>
  <si>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</si>
  <si>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</si>
  <si>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</si>
  <si>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</si>
  <si>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</si>
  <si>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</si>
  <si>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</si>
  <si>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</si>
  <si>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</si>
  <si>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</si>
  <si>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</si>
  <si>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</si>
  <si>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</si>
  <si>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</si>
  <si>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</si>
  <si>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</si>
  <si>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</si>
  <si>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</si>
  <si>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</si>
  <si>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</si>
  <si>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</si>
  <si>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</si>
  <si>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</si>
  <si>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</si>
  <si>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</si>
  <si>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</si>
  <si>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</si>
  <si>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</si>
  <si>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</si>
  <si>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</si>
  <si>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</si>
  <si>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</si>
  <si>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</si>
  <si>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</si>
  <si>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</si>
  <si>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</si>
  <si>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</si>
  <si>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</si>
  <si>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</si>
  <si>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</si>
  <si>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</si>
  <si>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</si>
  <si>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</si>
  <si>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</si>
  <si>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</si>
  <si>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</si>
  <si>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</si>
  <si>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</si>
  <si>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</si>
  <si>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</si>
  <si>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</si>
  <si>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</si>
  <si>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</si>
  <si>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</si>
  <si>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</si>
  <si>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</si>
  <si>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</si>
  <si>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</si>
  <si>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</si>
  <si>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</si>
  <si>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</si>
  <si>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</si>
  <si>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</si>
  <si>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</si>
  <si>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</si>
  <si>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</si>
  <si>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</si>
  <si>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</si>
  <si>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</si>
  <si>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</si>
  <si>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</si>
  <si>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</si>
  <si>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</si>
  <si>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</si>
  <si>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</si>
  <si>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</si>
  <si>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</si>
  <si>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</si>
  <si>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</si>
  <si>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</si>
  <si>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</si>
  <si>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</si>
  <si>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</si>
  <si>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</si>
  <si>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</si>
  <si>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</si>
  <si>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</si>
  <si>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</si>
  <si>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</si>
  <si>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</si>
  <si>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</si>
  <si>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</si>
  <si>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</si>
  <si>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</si>
  <si>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</si>
  <si>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</si>
  <si>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</si>
  <si>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</si>
  <si>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</si>
  <si>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</si>
  <si>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</si>
  <si>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</si>
  <si>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</si>
  <si>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</si>
  <si>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</si>
  <si>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</si>
  <si>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</si>
  <si>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</si>
  <si>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</si>
  <si>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</si>
  <si>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</si>
  <si>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</si>
  <si>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</si>
  <si>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</si>
  <si>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</si>
  <si>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</si>
  <si>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</si>
  <si>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</si>
  <si>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</si>
  <si>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</si>
  <si>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</si>
  <si>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</si>
  <si>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</si>
  <si>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</si>
  <si>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</si>
  <si>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</si>
  <si>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</si>
  <si>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</si>
  <si>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</si>
  <si>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</si>
  <si>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</si>
  <si>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</si>
  <si>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</si>
  <si>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</si>
  <si>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</si>
  <si>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</si>
  <si>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</si>
  <si>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</si>
  <si>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</si>
  <si>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</si>
  <si>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</si>
  <si>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</si>
  <si>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</si>
  <si>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</si>
  <si>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</si>
  <si>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</si>
  <si>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</si>
  <si>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</si>
  <si>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</si>
  <si>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</si>
  <si>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</si>
  <si>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</si>
  <si>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</si>
  <si>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</si>
  <si>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</si>
  <si>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</si>
  <si>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</si>
  <si>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</si>
  <si>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</si>
  <si>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</si>
  <si>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</si>
  <si>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</si>
  <si>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</si>
  <si>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</si>
  <si>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</si>
  <si>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</si>
  <si>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</si>
  <si>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</si>
  <si>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</si>
  <si>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</si>
  <si>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</si>
  <si>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</si>
  <si>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</si>
  <si>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</si>
  <si>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</si>
  <si>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</si>
  <si>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</si>
  <si>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</si>
  <si>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</si>
  <si>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</si>
  <si>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</si>
  <si>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</si>
  <si>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</si>
  <si>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</si>
  <si>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</si>
  <si>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</si>
  <si>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</si>
  <si>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</si>
  <si>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</si>
  <si>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</si>
  <si>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</si>
  <si>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</si>
  <si>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</si>
  <si>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</si>
  <si>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</si>
  <si>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</si>
  <si>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</si>
  <si>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</si>
  <si>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</si>
  <si>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</si>
  <si>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</si>
  <si>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</si>
  <si>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</si>
  <si>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</si>
  <si>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</si>
  <si>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</si>
  <si>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</si>
  <si>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</si>
  <si>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</si>
  <si>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</si>
  <si>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</si>
  <si>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</si>
  <si>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</si>
  <si>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</si>
  <si>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</si>
  <si>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</si>
  <si>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</si>
  <si>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</si>
  <si>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</si>
  <si>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</si>
  <si>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</si>
  <si>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</si>
  <si>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</si>
  <si>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</si>
  <si>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</si>
  <si>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</si>
  <si>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</si>
  <si>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</si>
  <si>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</si>
  <si>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</si>
  <si>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</si>
  <si>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</si>
  <si>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</si>
  <si>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</si>
  <si>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</si>
  <si>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</si>
  <si>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</si>
  <si>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</si>
  <si>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</si>
  <si>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</si>
  <si>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</si>
  <si>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</si>
  <si>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</si>
  <si>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</si>
  <si>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</si>
  <si>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</si>
  <si>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</si>
  <si>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</si>
  <si>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Когда сбрасывал заказы Лыгину пропустил Малахутина. Сегодня его сбросим на 27,09,26. По этому ПРС, Бутырина и Донецк нужно будет забирать тоже 27,09,26.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</si>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</sst>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  <font>
      <sz val="12"/>
      <color rgb="FFFFFFFF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61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8" fillId="0" borderId="0" xfId="0" applyFont="1"/>
    <xf numFmtId="49" fontId="16" fillId="16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7" fillId="16" borderId="10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413"/>
  <sheetViews>
    <sheetView tabSelected="1" zoomScale="70" zoomScaleNormal="70" workbookViewId="0">
      <pane ySplit="2" topLeftCell="A7378" activePane="bottomLeft" state="frozen"/>
      <selection pane="bottomLeft" activeCell="P7398" sqref="P739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116" t="s">
        <v>0</v>
      </c>
      <c r="B1" s="1116"/>
      <c r="C1" s="1116"/>
      <c r="D1" s="1116"/>
      <c r="E1" s="1116"/>
      <c r="F1" s="1116"/>
      <c r="G1" s="1116"/>
      <c r="H1" s="1116"/>
      <c r="I1" s="1116"/>
      <c r="J1" s="1116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17">
        <v>1</v>
      </c>
      <c r="B3" s="1117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17"/>
      <c r="B4" s="1117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13">
        <v>3</v>
      </c>
      <c r="B6" s="111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13"/>
      <c r="B7" s="111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13"/>
      <c r="B8" s="111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13">
        <v>5</v>
      </c>
      <c r="B10" s="111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13"/>
      <c r="B11" s="111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11">
        <v>8</v>
      </c>
      <c r="B14" s="1111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11"/>
      <c r="B15" s="1111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13">
        <v>11</v>
      </c>
      <c r="B18" s="111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13"/>
      <c r="B19" s="111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13"/>
      <c r="B20" s="111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13"/>
      <c r="B21" s="111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13">
        <v>13</v>
      </c>
      <c r="B23" s="111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13"/>
      <c r="B24" s="111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11">
        <v>14</v>
      </c>
      <c r="B25" s="1111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11"/>
      <c r="B26" s="1111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13">
        <v>15</v>
      </c>
      <c r="B27" s="111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13"/>
      <c r="B28" s="111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13"/>
      <c r="B29" s="111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13"/>
      <c r="B30" s="111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11">
        <v>16</v>
      </c>
      <c r="B31" s="1111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11"/>
      <c r="B32" s="1111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11"/>
      <c r="B33" s="1111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11"/>
      <c r="B34" s="1111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13">
        <v>17</v>
      </c>
      <c r="B35" s="111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13"/>
      <c r="B36" s="111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13">
        <v>21</v>
      </c>
      <c r="B40" s="111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13"/>
      <c r="B41" s="111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13">
        <v>23</v>
      </c>
      <c r="B43" s="111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13"/>
      <c r="B44" s="111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13"/>
      <c r="B45" s="111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11">
        <v>24</v>
      </c>
      <c r="B46" s="1111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11"/>
      <c r="B47" s="1111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13">
        <v>25</v>
      </c>
      <c r="B48" s="111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13"/>
      <c r="B49" s="111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13"/>
      <c r="B50" s="111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11">
        <v>26</v>
      </c>
      <c r="B51" s="1111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11"/>
      <c r="B52" s="1111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13">
        <v>29</v>
      </c>
      <c r="B55" s="111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13"/>
      <c r="B56" s="111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11">
        <v>32</v>
      </c>
      <c r="B59" s="1111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11"/>
      <c r="B60" s="1111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11">
        <v>34</v>
      </c>
      <c r="B62" s="1111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11"/>
      <c r="B63" s="1111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11"/>
      <c r="B64" s="1111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11"/>
      <c r="B65" s="1111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11"/>
      <c r="B66" s="1111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13">
        <v>35</v>
      </c>
      <c r="B67" s="111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13"/>
      <c r="B68" s="111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8">
        <v>40</v>
      </c>
      <c r="B73" s="1111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8"/>
      <c r="B74" s="1111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97">
        <v>41</v>
      </c>
      <c r="B75" s="111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97"/>
      <c r="B76" s="111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97"/>
      <c r="B77" s="111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8">
        <v>42</v>
      </c>
      <c r="B78" s="1111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8"/>
      <c r="B79" s="1111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97">
        <v>49</v>
      </c>
      <c r="B86" s="111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97"/>
      <c r="B87" s="111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97"/>
      <c r="B88" s="111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8">
        <v>50</v>
      </c>
      <c r="B89" s="1111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8"/>
      <c r="B90" s="1111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97">
        <v>51</v>
      </c>
      <c r="B91" s="111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97"/>
      <c r="B92" s="111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97">
        <v>53</v>
      </c>
      <c r="B94" s="111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97"/>
      <c r="B95" s="111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8">
        <v>54</v>
      </c>
      <c r="B96" s="1111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8"/>
      <c r="B97" s="1111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8"/>
      <c r="B98" s="1111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8">
        <v>58</v>
      </c>
      <c r="B102" s="1111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8"/>
      <c r="B103" s="1111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8">
        <v>60</v>
      </c>
      <c r="B105" s="1111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8"/>
      <c r="B106" s="1111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8"/>
      <c r="B107" s="1111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97">
        <v>61</v>
      </c>
      <c r="B108" s="111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97"/>
      <c r="B109" s="111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97"/>
      <c r="B110" s="111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8">
        <v>64</v>
      </c>
      <c r="B113" s="1111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8"/>
      <c r="B114" s="1111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8">
        <v>66</v>
      </c>
      <c r="B116" s="1111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8"/>
      <c r="B117" s="1111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97">
        <v>67</v>
      </c>
      <c r="B118" s="111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97"/>
      <c r="B119" s="111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97"/>
      <c r="B120" s="111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8">
        <v>68</v>
      </c>
      <c r="B121" s="1111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8"/>
      <c r="B122" s="1111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97">
        <v>69</v>
      </c>
      <c r="B123" s="111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97"/>
      <c r="B124" s="111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8">
        <v>72</v>
      </c>
      <c r="B127" s="1111" t="s">
        <v>65</v>
      </c>
      <c r="C127" s="119" t="s">
        <v>26</v>
      </c>
      <c r="D127" s="120">
        <v>3.3</v>
      </c>
      <c r="E127" s="121"/>
      <c r="F127" s="122" t="s">
        <v>30</v>
      </c>
      <c r="G127" s="111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8"/>
      <c r="B128" s="1111"/>
      <c r="C128" s="103" t="s">
        <v>26</v>
      </c>
      <c r="D128" s="88">
        <v>12.9</v>
      </c>
      <c r="E128" s="106"/>
      <c r="F128" s="107" t="s">
        <v>16</v>
      </c>
      <c r="G128" s="111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8">
        <v>76</v>
      </c>
      <c r="B132" s="111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8"/>
      <c r="B133" s="111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8"/>
      <c r="B134" s="111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8"/>
      <c r="B135" s="111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8">
        <v>78</v>
      </c>
      <c r="B137" s="1119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8"/>
      <c r="B138" s="1119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14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14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9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9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9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9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9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9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9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9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9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9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9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15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9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15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9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9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9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9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9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9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9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9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9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9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9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9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9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9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9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9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9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9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1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1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9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9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9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9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9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9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9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9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9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9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9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9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2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2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9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9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1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1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9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9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9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9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9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9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9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9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9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9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9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9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9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15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9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15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9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9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9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9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9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9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9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9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9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9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9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9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9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9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9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9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9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9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9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9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9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9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9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9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9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9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01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9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01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9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9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9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9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9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9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9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9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9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9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9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9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9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9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9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9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01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9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01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8" t="s">
        <v>133</v>
      </c>
      <c r="J420" s="111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9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9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9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9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9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9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9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9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9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9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9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9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9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0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0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9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9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9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9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9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9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9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9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9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9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9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01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9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01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9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22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9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22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22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22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22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9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9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9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9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9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9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9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9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9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9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9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9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9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9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9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9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9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9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9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9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9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0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0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9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9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9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9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9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9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9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9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9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9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9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9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9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9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9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9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01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9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01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9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9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9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9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9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9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9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9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9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9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9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9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9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9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9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9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9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9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9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9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01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9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01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9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9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21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9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21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9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9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9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9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9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9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9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9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9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9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9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9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9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01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9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01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0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0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0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9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9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9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0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0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9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9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9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0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0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9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9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9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9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9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9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9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9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9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9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23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23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9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9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9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9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9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9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9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0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0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0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0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0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0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9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01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9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01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9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9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9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9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9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9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9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9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06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06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9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9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9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9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9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9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9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9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9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9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9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9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9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9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0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0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9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9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9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9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9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9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9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9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9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9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9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9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9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9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9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9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9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9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9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9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9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9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9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9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9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9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9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9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9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9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9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9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9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9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9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9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9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9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9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9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9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9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9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9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9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9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9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9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9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9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0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0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9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9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9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9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9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9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9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9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9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9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9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9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9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0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0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9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9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9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9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9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9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9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9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9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9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9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01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9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01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9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9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9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9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9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9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9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9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9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9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9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9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9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9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9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9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01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9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01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9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9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9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9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9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9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9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9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9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9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9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9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9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9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9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9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9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9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9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9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0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0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9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9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9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9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9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9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9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9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9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9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9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9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9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9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9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9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9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9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9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0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0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9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9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9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9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9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9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9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9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9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9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9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9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9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9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0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0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9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9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9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9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9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9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9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9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9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9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9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0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0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9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9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9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9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9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9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9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9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9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9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9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9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9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9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9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9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9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9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9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9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9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9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9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0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0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9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9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9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9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9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9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9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9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9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9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9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01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9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01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9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9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9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9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9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9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9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9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9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9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9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9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9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9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9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9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9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9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9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9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03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9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03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9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9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9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9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9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9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9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9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9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9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9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9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01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9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01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9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9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9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9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9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9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9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9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9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01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9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01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9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01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9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01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9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9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9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9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9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9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9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01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9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01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9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9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9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9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9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9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9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9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9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9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9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9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01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9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01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9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9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9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9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9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9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9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9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9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9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9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9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9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9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9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0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0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9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9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9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9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9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9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9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9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9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9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9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9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9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01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9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01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9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9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9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9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9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9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9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9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9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9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9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9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9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9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9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9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9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9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9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9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9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0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0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9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9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9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9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9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9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9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9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9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9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9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9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9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9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9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9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9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01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9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01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9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9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9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0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0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9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9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9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9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9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9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9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9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9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9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01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9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01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9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9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9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9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9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9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9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9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9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01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9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01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9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01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9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9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9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9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9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9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9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0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0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9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9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9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9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9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9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9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9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9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9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9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9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9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9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9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9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9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9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01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9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01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9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9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9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9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9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9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9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9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9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9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9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9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9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9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9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01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9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01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9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9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9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9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9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9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9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9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9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9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9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9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9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9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9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01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9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01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9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9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9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9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9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9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9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9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9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9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9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9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0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0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9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9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9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9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9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9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9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9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9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9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9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9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9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9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01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9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01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9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9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9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9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9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01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9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01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9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9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9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9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9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9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9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9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9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9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9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0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0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9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9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9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9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9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9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9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9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9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9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9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9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9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9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9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9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9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9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9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9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9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9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9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2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25" t="s">
        <v>467</v>
      </c>
      <c r="H2160" s="414" t="s">
        <v>515</v>
      </c>
      <c r="I2160" s="415" t="s">
        <v>516</v>
      </c>
      <c r="J2160" s="1126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2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25"/>
      <c r="H2161" s="421" t="s">
        <v>515</v>
      </c>
      <c r="I2161" s="422" t="s">
        <v>516</v>
      </c>
      <c r="J2161" s="1126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2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25"/>
      <c r="H2162" s="429" t="s">
        <v>515</v>
      </c>
      <c r="I2162" s="430" t="s">
        <v>516</v>
      </c>
      <c r="J2162" s="1126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2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25" t="s">
        <v>467</v>
      </c>
      <c r="H2165" s="414" t="s">
        <v>516</v>
      </c>
      <c r="I2165" s="415" t="s">
        <v>516</v>
      </c>
      <c r="J2165" s="1126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2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25"/>
      <c r="H2166" s="429" t="s">
        <v>516</v>
      </c>
      <c r="I2166" s="430" t="s">
        <v>516</v>
      </c>
      <c r="J2166" s="1126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9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9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9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9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9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9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01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9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01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9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9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9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0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0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9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27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9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27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2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2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9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9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9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9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9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9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9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9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9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9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9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9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9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9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9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9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9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9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9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9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9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9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9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9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9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9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9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9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9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9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9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9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9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9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9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9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9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9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9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9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5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9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9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9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9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9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9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9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9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9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9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9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9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9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9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9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9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9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9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9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9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9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9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9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9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9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9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9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9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9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9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9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9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9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9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9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9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9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9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9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9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9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9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0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0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0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9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9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0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0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9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9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9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9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9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9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9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9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2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2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2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2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9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01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9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01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9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9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9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9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30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30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0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0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9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9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9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9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9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9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9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9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9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9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9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9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9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0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0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9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9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9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9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9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9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9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3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3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9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9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9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9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9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9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9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9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9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9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9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9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9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9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0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0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0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9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9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9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9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9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9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9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9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9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9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9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9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9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9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9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9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9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9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32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32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9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9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9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01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9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01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9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9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9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9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9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9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9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9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5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9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9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0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0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9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9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9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9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9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9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9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9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9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01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9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01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9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9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9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01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9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01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9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9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5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9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9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9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9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01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01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9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9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9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9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9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9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9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9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9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9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0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0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0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9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9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9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9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9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9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9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9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9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9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9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0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0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0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0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0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0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0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9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9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9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9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9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9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9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9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9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9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9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0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0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9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9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9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9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9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9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9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9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9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9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9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9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9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9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9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9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9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9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9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9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9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9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9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9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0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9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01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9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01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9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01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9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9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9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9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9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9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9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9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9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9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9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9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9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9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30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30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30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30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30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30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9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9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9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9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9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9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9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9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9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9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9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9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9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9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9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9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9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9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9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9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9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9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9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9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9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9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9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9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9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9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9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9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01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01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9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9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9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01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9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01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9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9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9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01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9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01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9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9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9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9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9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9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9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9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9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30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30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30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9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9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9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9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9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9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5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9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9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0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0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9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9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9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9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9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9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9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5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9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9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0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0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9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9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9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9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0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0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73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5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7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8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73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5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7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8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7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8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7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8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6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3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73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3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73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5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3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35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73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7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7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7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6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6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6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6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3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73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3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6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3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73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7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7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7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7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7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6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86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3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3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73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3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6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86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3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3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73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7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7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3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73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7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6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6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6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3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6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6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6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73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7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7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7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7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7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6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3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73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5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3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35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73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5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3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35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73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3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6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3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73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7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73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3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6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3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73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7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3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6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6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3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6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6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6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6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6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6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73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3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6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86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3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3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73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3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6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3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73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7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7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3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73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5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3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35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6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6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3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73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3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6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86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3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3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73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7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7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7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7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7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6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3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6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3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6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86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3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3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73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7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3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6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6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3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73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7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3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6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6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6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6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6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3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73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7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3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73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7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7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7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6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6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6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6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6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6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6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6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73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3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73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5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7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8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3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35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7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7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3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6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6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3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7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7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7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7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5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3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35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6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6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6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3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73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3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73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3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6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3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6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6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6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6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6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73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3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73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7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3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6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3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73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3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6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3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73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5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3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35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6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6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73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7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3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6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3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73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3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6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3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73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3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73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7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6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6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6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6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6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6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73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3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73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3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6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6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6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3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73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7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7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7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7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3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73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3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6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6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6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3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6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6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6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6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6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6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73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3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73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5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3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35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6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6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3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73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7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7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3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6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6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3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73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5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7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8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3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35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6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86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3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3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73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3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6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3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73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7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7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7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7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7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6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3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73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3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6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6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3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73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7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7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3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6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3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73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5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3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35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73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3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6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6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3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6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3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73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7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6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6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6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6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6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6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6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73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3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73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7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6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86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3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3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73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7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7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7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7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7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3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6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6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6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6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73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7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3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73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3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6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3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73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7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3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73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3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95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3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3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73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7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7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7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7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3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6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3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73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7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3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6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3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73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3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73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3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6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6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6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73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7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7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6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6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73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5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7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6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73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7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6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86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6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8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73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7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7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7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7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6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6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73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7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73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7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7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6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6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73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7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7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6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86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6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4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6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8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6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6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6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6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6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73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7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7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6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6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6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6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6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73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7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6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6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6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73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7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7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7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6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6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73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7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7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7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73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7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6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6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6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73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7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6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6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6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6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6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73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7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6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6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6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73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7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6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6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73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7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73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7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7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73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7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6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6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6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6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6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73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7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7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7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7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73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7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6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6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6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6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6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6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73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7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7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6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6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6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6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73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7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7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73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5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7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6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6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6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6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6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6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6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73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7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7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7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73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7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6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86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6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4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6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4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6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8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73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7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7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73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7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6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6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6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73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7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6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6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6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6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86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6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8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73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7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6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6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6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6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6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73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7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6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6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73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7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6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6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6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6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6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73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7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7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73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5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7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8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7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8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7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6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6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6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73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7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73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7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6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6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6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73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7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6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86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6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8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6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6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6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6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6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6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6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6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73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7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6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6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6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73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7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73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7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7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6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6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6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73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7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7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6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6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6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6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6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73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7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6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6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6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7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7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7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7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6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86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6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8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7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7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7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6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6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73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7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7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7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6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6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73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7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6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6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6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6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73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7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6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6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6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6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7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7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6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6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73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7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7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7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73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7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73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7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7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7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6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6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6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6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73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7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7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6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6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6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6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6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6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6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6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6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73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7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73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7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7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7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6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86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6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4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73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7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6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6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73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7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6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6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73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7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73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7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7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6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6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73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7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6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6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6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73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7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7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6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6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73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7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73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7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6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6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6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73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7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7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73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7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73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7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6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6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73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7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6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6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73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7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7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6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6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6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6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6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6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73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7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6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6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6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73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5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7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8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7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6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6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6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6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6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6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6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6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73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7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7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73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7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6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6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73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7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7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7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73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7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73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5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7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6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6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6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6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6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6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6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73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7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7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7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6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6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73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7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73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7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73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7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7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6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6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6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73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7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6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6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6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73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7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6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6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73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7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6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6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6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78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7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6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6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73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7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6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6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6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6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73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7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6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6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73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7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73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5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7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6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73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7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7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6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6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6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73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7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7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6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6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6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6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73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7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6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6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73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7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6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86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6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4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6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4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6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8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6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6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6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6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86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6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8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73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7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73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7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7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6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6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6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73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5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7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6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73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7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6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6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6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6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6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6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73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5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7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8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6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6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6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6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73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7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6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6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73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5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7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6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73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7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7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6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6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6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6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86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6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8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73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7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73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7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73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7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6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6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6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6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73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7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6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6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73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7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6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86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6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4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6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8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73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7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73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5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7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6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6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6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73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7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7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7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6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86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6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8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73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7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6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6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73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7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6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6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73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5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7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6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6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6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6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73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7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73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5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7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6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6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6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6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6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73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7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6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6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6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73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7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7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7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6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6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73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7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6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6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73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5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7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6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6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6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6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6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6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73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5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7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8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6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6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6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6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6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73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7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7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73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7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73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7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6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6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6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6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73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5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7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6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73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7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6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86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6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8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73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7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7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6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6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73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7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6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6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73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5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7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6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6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6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73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7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6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86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6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8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73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7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6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6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6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73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7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6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6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6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6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86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6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8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73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7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6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6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6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73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7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73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7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7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6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6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6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6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86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6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8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6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86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6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8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73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7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73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7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7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6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6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6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73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7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6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6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6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86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6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8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6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6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6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73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7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6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86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6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8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73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7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6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6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6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73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5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7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8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7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8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6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86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6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8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78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7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7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7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78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7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73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7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6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6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73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5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7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39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7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7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7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6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6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73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7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7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6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6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73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7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73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7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6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86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6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4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6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8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73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7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6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86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6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8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6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6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6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6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6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6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6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73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7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7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73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5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7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8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7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8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7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8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6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6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73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5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7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6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73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7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6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6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6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73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5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7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6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6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6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73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7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7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7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6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6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73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5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7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6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6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6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6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6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6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73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7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7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6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6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6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6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6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6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6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6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6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6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73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7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7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7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6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6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6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73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7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6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6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73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7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73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5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7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8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6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6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6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6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73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5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7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6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73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7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73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5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7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6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73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7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7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6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6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73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7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6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86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6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8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6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6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6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73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7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7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7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6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6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6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73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7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73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5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7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6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6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6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73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7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7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6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6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73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7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7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6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6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73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7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6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6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73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7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73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7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6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6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6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73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7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6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6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6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86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6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4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73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7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7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6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6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73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7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7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7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6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6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6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6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6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7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7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6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6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6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73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7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7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7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6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6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73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7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73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7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73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5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7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8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7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8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7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8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7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8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6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6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6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6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6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6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6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6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6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6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73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7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6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6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6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73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7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7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73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7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7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6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6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6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86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6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8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6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86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6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4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6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4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6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4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73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7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6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6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73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7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73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7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6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6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6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6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6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6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78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7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6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6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78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8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7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8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6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6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73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5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7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6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6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6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73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5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7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8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6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6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73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7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6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6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73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7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6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6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73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5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7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6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73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7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6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6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73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7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6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6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73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7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7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6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6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6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6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6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6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6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73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7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73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7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6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6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6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6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6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6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73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7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7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6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6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6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73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7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6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86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6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8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73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7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7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73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7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6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6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73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7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73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5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7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6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73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7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6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6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73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7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6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86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6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8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6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6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6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6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6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73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7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7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73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7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6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86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6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8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6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86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6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4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6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4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6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4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6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8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73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7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7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6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6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6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6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6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7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5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7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6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6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6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7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7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7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73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7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73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7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6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6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6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73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7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6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6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73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7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73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7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7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7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6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6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73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7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7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6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6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73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7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6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86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6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8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6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6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73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7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73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7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73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7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7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7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73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7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6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6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73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7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6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86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6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8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73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7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9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9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9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9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9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6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6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9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9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42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9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43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9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9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6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6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95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6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96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40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7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41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9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0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95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96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6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6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6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6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6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6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6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6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6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6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7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6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7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73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74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73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74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73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7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74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6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6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6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6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6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6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6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73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7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74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6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6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6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73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74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6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6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6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6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6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6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6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6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6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6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73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74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6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86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6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8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6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6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95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96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7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7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7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6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6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73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74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73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78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6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6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7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7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6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6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6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6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7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7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7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6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6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7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7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6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6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6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7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7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6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6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6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73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78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78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78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6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6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6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6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7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7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7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6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7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62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7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63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6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4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6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4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7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5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7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8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6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6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73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74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6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6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73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78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95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4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7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7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7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7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7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7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7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6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6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6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73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78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74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6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6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6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6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6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7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7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7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6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6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6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6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7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7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7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6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6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6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6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7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7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7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7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6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6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6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7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7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6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6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6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7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5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7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6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6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86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6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8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73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74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6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6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6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6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6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6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6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73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78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73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78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78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74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6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6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6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6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6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6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6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6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6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73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78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78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78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78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78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74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6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6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6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6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73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78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74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6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6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6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6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6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6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6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73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78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74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6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6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6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6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6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7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7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6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6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7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7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7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7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7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6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7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62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7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63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6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6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73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74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6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6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6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7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7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7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6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4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6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4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73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5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74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6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73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74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6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6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73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74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6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6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73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78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74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6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6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6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7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7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7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6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6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6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6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73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78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78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74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8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8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6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6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6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6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6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73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78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74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73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74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6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6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73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78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78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74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6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86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6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4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6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4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6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8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73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74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73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74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6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6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7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6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7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62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7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87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7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87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7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63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6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4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6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4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6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8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73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74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73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78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74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6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6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73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78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78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78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74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6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6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73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78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78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78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74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6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6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6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6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73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78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78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74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6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6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73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74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6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69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6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73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78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78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74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6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6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6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7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5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7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8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7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8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7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8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7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6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6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6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73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74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73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78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74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6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86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6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8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6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6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6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73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74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6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69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6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6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69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6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73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74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6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6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73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74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73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78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78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78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74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6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6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6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73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78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78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74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6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6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73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74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6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69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69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6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6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7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6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6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6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7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73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5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74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6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67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69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69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68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6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6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73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74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6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6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73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8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74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3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67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6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73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74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67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6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6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6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73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74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67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69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69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69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69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6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6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6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70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71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71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72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6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6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73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78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74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67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86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69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4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69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4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6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85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67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69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69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69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67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86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6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85"/>
      <c r="H7128" s="788" t="s">
        <v>2344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73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5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74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81"/>
      <c r="H7130" s="978" t="s">
        <v>2344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67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69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69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6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73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79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78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79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74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0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67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6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73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74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67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69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69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6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73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8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78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7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74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7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6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6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6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6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66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70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72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67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6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70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72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67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69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69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67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45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69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6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69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6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68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6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70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71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72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67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69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69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70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71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72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64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65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66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70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61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71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62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71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62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72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63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73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78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74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64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66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70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71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71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159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48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160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49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73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50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74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51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73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78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70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72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64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66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64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66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70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72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64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66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70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72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73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74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67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69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68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73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74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67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69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69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69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68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ht="19.5" hidden="1" thickBot="1" x14ac:dyDescent="0.3">
      <c r="A7242" s="1070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hidden="1" thickBot="1" x14ac:dyDescent="0.3">
      <c r="A7243" s="1072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ht="19.5" hidden="1" thickBot="1" x14ac:dyDescent="0.3">
      <c r="A7244" s="1067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ht="19.5" hidden="1" thickBot="1" x14ac:dyDescent="0.3">
      <c r="A7245" s="1069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ht="19.5" hidden="1" thickBot="1" x14ac:dyDescent="0.3">
      <c r="A7246" s="1069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hidden="1" thickBot="1" x14ac:dyDescent="0.3">
      <c r="A7247" s="1068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7" hidden="1" thickBot="1" x14ac:dyDescent="0.3">
      <c r="A7248" s="1073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ht="19.5" hidden="1" thickBot="1" x14ac:dyDescent="0.3">
      <c r="A7249" s="1078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ht="19.5" hidden="1" thickBot="1" x14ac:dyDescent="0.3">
      <c r="A7250" s="1078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hidden="1" thickBot="1" x14ac:dyDescent="0.3">
      <c r="A7251" s="1074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ht="19.5" hidden="1" thickBot="1" x14ac:dyDescent="0.3">
      <c r="A7252" s="1067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ht="19.5" hidden="1" thickBot="1" x14ac:dyDescent="0.3">
      <c r="A7253" s="1069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ht="19.5" hidden="1" thickBot="1" x14ac:dyDescent="0.3">
      <c r="A7254" s="1069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2587</v>
      </c>
      <c r="I7254" s="908" t="s">
        <v>2615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hidden="1" thickBot="1" x14ac:dyDescent="0.3">
      <c r="A7255" s="1068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ht="19.5" hidden="1" thickBot="1" x14ac:dyDescent="0.3">
      <c r="A7256" s="1070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hidden="1" thickBot="1" x14ac:dyDescent="0.3">
      <c r="A7257" s="1072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hidden="1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ht="19.5" hidden="1" thickBot="1" x14ac:dyDescent="0.3">
      <c r="A7259" s="1073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ht="19.5" hidden="1" thickBot="1" x14ac:dyDescent="0.3">
      <c r="A7260" s="1078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 t="s">
        <v>76</v>
      </c>
      <c r="H7260" s="989" t="s">
        <v>2614</v>
      </c>
      <c r="I7260" s="989" t="s">
        <v>1496</v>
      </c>
      <c r="J7260" s="991"/>
      <c r="K7260" s="989" t="str">
        <f t="shared" si="222"/>
        <v>тмена</v>
      </c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hidden="1" thickBot="1" x14ac:dyDescent="0.3">
      <c r="A7261" s="1074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ht="19.5" hidden="1" thickBot="1" x14ac:dyDescent="0.3">
      <c r="A7262" s="1067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ht="19.5" hidden="1" thickBot="1" x14ac:dyDescent="0.3">
      <c r="A7263" s="1069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ht="19.5" hidden="1" thickBot="1" x14ac:dyDescent="0.3">
      <c r="A7264" s="1069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ht="19.5" hidden="1" thickBot="1" x14ac:dyDescent="0.3">
      <c r="A7265" s="1069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hidden="1" thickBot="1" x14ac:dyDescent="0.3">
      <c r="A7266" s="1068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ht="19.5" hidden="1" thickBot="1" x14ac:dyDescent="0.3">
      <c r="A7267" s="1073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ht="19.5" hidden="1" thickBot="1" x14ac:dyDescent="0.3">
      <c r="A7268" s="1078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ht="19.5" hidden="1" thickBot="1" x14ac:dyDescent="0.3">
      <c r="A7269" s="1078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hidden="1" thickBot="1" x14ac:dyDescent="0.3">
      <c r="A7270" s="1074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ht="19.5" hidden="1" thickBot="1" x14ac:dyDescent="0.3">
      <c r="A7271" s="1064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hidden="1" thickBot="1" x14ac:dyDescent="0.3">
      <c r="A7272" s="1066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ht="19.5" hidden="1" thickBot="1" x14ac:dyDescent="0.3">
      <c r="A7273" s="1070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hidden="1" thickBot="1" x14ac:dyDescent="0.3">
      <c r="A7274" s="1072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ht="19.5" hidden="1" thickBot="1" x14ac:dyDescent="0.3">
      <c r="A7275" s="1067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2614</v>
      </c>
      <c r="I7275" s="537" t="s">
        <v>2711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 t="s">
        <v>2829</v>
      </c>
    </row>
    <row r="7276" spans="1:16" ht="19.5" hidden="1" thickBot="1" x14ac:dyDescent="0.3">
      <c r="A7276" s="1068"/>
      <c r="B7276" s="636" t="s">
        <v>2565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2614</v>
      </c>
      <c r="I7276" s="642" t="s">
        <v>2711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 t="s">
        <v>2830</v>
      </c>
    </row>
    <row r="7277" spans="1:16" ht="19.5" hidden="1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ht="19.5" hidden="1" thickBot="1" x14ac:dyDescent="0.3">
      <c r="A7278" s="1064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hidden="1" thickBot="1" x14ac:dyDescent="0.3">
      <c r="A7279" s="1066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hidden="1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ht="19.5" hidden="1" thickBot="1" x14ac:dyDescent="0.3">
      <c r="A7281" s="1064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75" t="s">
        <v>2619</v>
      </c>
      <c r="H7281" s="567" t="s">
        <v>2615</v>
      </c>
      <c r="I7281" s="569" t="s">
        <v>2693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hidden="1" thickBot="1" x14ac:dyDescent="0.3">
      <c r="A7282" s="1066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77"/>
      <c r="H7282" s="801" t="s">
        <v>2615</v>
      </c>
      <c r="I7282" s="801" t="s">
        <v>2693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ht="19.5" hidden="1" thickBot="1" x14ac:dyDescent="0.3">
      <c r="A7283" s="1073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hidden="1" thickBot="1" x14ac:dyDescent="0.3">
      <c r="A7284" s="1074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ht="19.5" hidden="1" thickBot="1" x14ac:dyDescent="0.3">
      <c r="A7285" s="1067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hidden="1" thickBot="1" x14ac:dyDescent="0.3">
      <c r="A7286" s="1068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2614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2664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2667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hidden="1" thickBot="1" x14ac:dyDescent="0.3">
      <c r="A7289" s="662">
        <f t="shared" si="223"/>
        <v>4476</v>
      </c>
      <c r="B7289" s="663" t="s">
        <v>2615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2693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2696</v>
      </c>
      <c r="P7289" s="921" t="s">
        <v>1024</v>
      </c>
    </row>
    <row r="7290" spans="1:16" ht="19.5" hidden="1" thickBot="1" x14ac:dyDescent="0.3">
      <c r="A7290" s="1064">
        <f t="shared" si="223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ht="19.5" hidden="1" thickBot="1" x14ac:dyDescent="0.3">
      <c r="A7291" s="1065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hidden="1" thickBot="1" x14ac:dyDescent="0.3">
      <c r="A7292" s="1066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hidden="1" thickBot="1" x14ac:dyDescent="0.3">
      <c r="A7293" s="1070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2711</v>
      </c>
      <c r="I7293" s="484" t="s">
        <v>2713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P7293" s="867" t="s">
        <v>2809</v>
      </c>
    </row>
    <row r="7294" spans="1:16" ht="19.5" hidden="1" thickBot="1" x14ac:dyDescent="0.3">
      <c r="A7294" s="1071"/>
      <c r="B7294" s="864" t="s">
        <v>2713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2711</v>
      </c>
      <c r="I7294" s="860" t="s">
        <v>2713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2795</v>
      </c>
      <c r="P7294" s="867" t="s">
        <v>2810</v>
      </c>
    </row>
    <row r="7295" spans="1:16" ht="19.5" hidden="1" thickBot="1" x14ac:dyDescent="0.3">
      <c r="A7295" s="1072"/>
      <c r="B7295" s="805" t="s">
        <v>2711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2711</v>
      </c>
      <c r="I7295" s="808" t="s">
        <v>2713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2794</v>
      </c>
      <c r="P7295" s="867" t="s">
        <v>2811</v>
      </c>
    </row>
    <row r="7296" spans="1:16" ht="19.5" hidden="1" thickBot="1" x14ac:dyDescent="0.3">
      <c r="A7296" s="1067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2711</v>
      </c>
      <c r="I7296" s="537" t="s">
        <v>2766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  <c r="P7296" s="867" t="s">
        <v>2837</v>
      </c>
    </row>
    <row r="7297" spans="1:16" ht="19.5" hidden="1" thickBot="1" x14ac:dyDescent="0.3">
      <c r="A7297" s="1068"/>
      <c r="B7297" s="590" t="s">
        <v>2664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2711</v>
      </c>
      <c r="I7297" s="596" t="s">
        <v>2766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2717</v>
      </c>
      <c r="P7297" s="867" t="s">
        <v>2843</v>
      </c>
    </row>
    <row r="7298" spans="1:16" ht="19.5" hidden="1" thickBot="1" x14ac:dyDescent="0.3">
      <c r="A7298" s="1070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2713</v>
      </c>
      <c r="I7298" s="484" t="s">
        <v>2713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P7298" s="867" t="s">
        <v>2812</v>
      </c>
    </row>
    <row r="7299" spans="1:16" ht="19.5" hidden="1" thickBot="1" x14ac:dyDescent="0.3">
      <c r="A7299" s="1071"/>
      <c r="B7299" s="864" t="s">
        <v>2713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2713</v>
      </c>
      <c r="I7299" s="860" t="s">
        <v>2713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2796</v>
      </c>
      <c r="P7299" s="867" t="s">
        <v>2814</v>
      </c>
    </row>
    <row r="7300" spans="1:16" ht="19.5" hidden="1" thickBot="1" x14ac:dyDescent="0.3">
      <c r="A7300" s="1072"/>
      <c r="B7300" s="805" t="s">
        <v>2711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2713</v>
      </c>
      <c r="I7300" s="808" t="s">
        <v>2713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2793</v>
      </c>
      <c r="P7300" s="867" t="s">
        <v>2813</v>
      </c>
    </row>
    <row r="7301" spans="1:16" ht="19.5" hidden="1" thickBot="1" x14ac:dyDescent="0.3">
      <c r="A7301" s="1064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2713</v>
      </c>
      <c r="I7301" s="569" t="s">
        <v>2741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2721</v>
      </c>
      <c r="P7301" s="867" t="s">
        <v>2807</v>
      </c>
    </row>
    <row r="7302" spans="1:16" ht="19.5" hidden="1" thickBot="1" x14ac:dyDescent="0.3">
      <c r="A7302" s="1065"/>
      <c r="B7302" s="824" t="s">
        <v>2664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2713</v>
      </c>
      <c r="I7302" s="782" t="s">
        <v>2741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  <c r="P7302" s="867" t="s">
        <v>2833</v>
      </c>
    </row>
    <row r="7303" spans="1:16" ht="19.5" hidden="1" thickBot="1" x14ac:dyDescent="0.3">
      <c r="A7303" s="1065"/>
      <c r="B7303" s="824" t="s">
        <v>2664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2713</v>
      </c>
      <c r="I7303" s="782" t="s">
        <v>2741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2719</v>
      </c>
      <c r="P7303" s="867" t="s">
        <v>2834</v>
      </c>
    </row>
    <row r="7304" spans="1:16" ht="19.5" hidden="1" thickBot="1" x14ac:dyDescent="0.3">
      <c r="A7304" s="1065"/>
      <c r="B7304" s="798" t="s">
        <v>2741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2713</v>
      </c>
      <c r="I7304" s="801" t="s">
        <v>2741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2800</v>
      </c>
      <c r="P7304" s="867" t="s">
        <v>2836</v>
      </c>
    </row>
    <row r="7305" spans="1:16" ht="19.5" hidden="1" thickBot="1" x14ac:dyDescent="0.3">
      <c r="A7305" s="1066"/>
      <c r="B7305" s="785" t="s">
        <v>2713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2713</v>
      </c>
      <c r="I7305" s="788" t="s">
        <v>2741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2797</v>
      </c>
      <c r="P7305" s="867" t="s">
        <v>2835</v>
      </c>
    </row>
    <row r="7306" spans="1:16" ht="19.5" hidden="1" thickBot="1" x14ac:dyDescent="0.3">
      <c r="A7306" s="1070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2713</v>
      </c>
      <c r="I7306" s="484" t="s">
        <v>2741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2722</v>
      </c>
      <c r="P7306" s="867" t="s">
        <v>2827</v>
      </c>
    </row>
    <row r="7307" spans="1:16" ht="19.5" hidden="1" thickBot="1" x14ac:dyDescent="0.3">
      <c r="A7307" s="1071"/>
      <c r="B7307" s="995" t="s">
        <v>2741</v>
      </c>
      <c r="C7307" s="996" t="s">
        <v>47</v>
      </c>
      <c r="D7307" s="997">
        <v>3.09</v>
      </c>
      <c r="E7307" s="997" t="s">
        <v>1496</v>
      </c>
      <c r="F7307" s="998" t="s">
        <v>16</v>
      </c>
      <c r="G7307" s="999" t="s">
        <v>76</v>
      </c>
      <c r="H7307" s="998" t="s">
        <v>2713</v>
      </c>
      <c r="I7307" s="998" t="s">
        <v>1496</v>
      </c>
      <c r="J7307" s="1000"/>
      <c r="K7307" s="998" t="str">
        <f t="shared" si="222"/>
        <v>тмена</v>
      </c>
      <c r="L7307" s="998" t="s">
        <v>28</v>
      </c>
      <c r="M7307" s="998">
        <v>3091.6800000000003</v>
      </c>
      <c r="N7307" s="961">
        <v>0.45833333333333331</v>
      </c>
      <c r="O7307" s="920" t="s">
        <v>2799</v>
      </c>
      <c r="P7307" s="921" t="s">
        <v>1024</v>
      </c>
    </row>
    <row r="7308" spans="1:16" ht="19.5" hidden="1" thickBot="1" x14ac:dyDescent="0.3">
      <c r="A7308" s="1072"/>
      <c r="B7308" s="805" t="s">
        <v>2713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2713</v>
      </c>
      <c r="I7308" s="808" t="s">
        <v>2741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2798</v>
      </c>
      <c r="P7308" s="867" t="s">
        <v>2828</v>
      </c>
    </row>
    <row r="7309" spans="1:16" ht="19.5" hidden="1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2713</v>
      </c>
      <c r="I7309" s="510" t="s">
        <v>2713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P7309" s="867" t="s">
        <v>2808</v>
      </c>
    </row>
    <row r="7310" spans="1:16" ht="19.5" hidden="1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2713</v>
      </c>
      <c r="I7310" s="520" t="s">
        <v>2741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2743</v>
      </c>
      <c r="P7310" s="867" t="s">
        <v>2838</v>
      </c>
    </row>
    <row r="7311" spans="1:16" ht="19.5" hidden="1" thickBot="1" x14ac:dyDescent="0.3">
      <c r="A7311" s="1067">
        <f>MAX(A7113:A7310)+1</f>
        <v>4485</v>
      </c>
      <c r="B7311" s="750" t="s">
        <v>2693</v>
      </c>
      <c r="C7311" s="751" t="s">
        <v>981</v>
      </c>
      <c r="D7311" s="752">
        <v>0.998</v>
      </c>
      <c r="E7311" s="753" t="s">
        <v>1496</v>
      </c>
      <c r="F7311" s="994" t="s">
        <v>16</v>
      </c>
      <c r="G7311" s="931" t="s">
        <v>2299</v>
      </c>
      <c r="H7311" s="754" t="s">
        <v>2713</v>
      </c>
      <c r="I7311" s="932" t="s">
        <v>1496</v>
      </c>
      <c r="J7311" s="755"/>
      <c r="K7311" s="754" t="str">
        <f t="shared" ref="K7311:K7320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2746</v>
      </c>
      <c r="P7311" s="921" t="s">
        <v>1024</v>
      </c>
    </row>
    <row r="7312" spans="1:16" ht="19.5" hidden="1" thickBot="1" x14ac:dyDescent="0.3">
      <c r="A7312" s="1069"/>
      <c r="B7312" s="563" t="s">
        <v>2693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2713</v>
      </c>
      <c r="I7312" s="569" t="s">
        <v>2741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2751</v>
      </c>
      <c r="P7312" s="867" t="s">
        <v>2805</v>
      </c>
    </row>
    <row r="7313" spans="1:16" ht="19.5" hidden="1" thickBot="1" x14ac:dyDescent="0.3">
      <c r="A7313" s="1069"/>
      <c r="B7313" s="563" t="s">
        <v>2693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2713</v>
      </c>
      <c r="I7313" s="569" t="s">
        <v>2741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2752</v>
      </c>
      <c r="P7313" s="867" t="s">
        <v>2802</v>
      </c>
    </row>
    <row r="7314" spans="1:16" ht="19.5" hidden="1" thickBot="1" x14ac:dyDescent="0.3">
      <c r="A7314" s="1069"/>
      <c r="B7314" s="563" t="s">
        <v>2693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2713</v>
      </c>
      <c r="I7314" s="569" t="s">
        <v>2741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2748</v>
      </c>
      <c r="P7314" s="867" t="s">
        <v>2806</v>
      </c>
    </row>
    <row r="7315" spans="1:16" ht="19.5" hidden="1" thickBot="1" x14ac:dyDescent="0.3">
      <c r="A7315" s="1069"/>
      <c r="B7315" s="563" t="s">
        <v>2693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2713</v>
      </c>
      <c r="I7315" s="569" t="s">
        <v>2741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2747</v>
      </c>
      <c r="P7315" s="867" t="s">
        <v>2804</v>
      </c>
    </row>
    <row r="7316" spans="1:16" ht="19.5" hidden="1" thickBot="1" x14ac:dyDescent="0.3">
      <c r="A7316" s="1069"/>
      <c r="B7316" s="750" t="s">
        <v>2693</v>
      </c>
      <c r="C7316" s="751" t="s">
        <v>32</v>
      </c>
      <c r="D7316" s="752">
        <v>2.496</v>
      </c>
      <c r="E7316" s="753" t="s">
        <v>1496</v>
      </c>
      <c r="F7316" s="994" t="s">
        <v>16</v>
      </c>
      <c r="G7316" s="931" t="s">
        <v>2586</v>
      </c>
      <c r="H7316" s="754" t="s">
        <v>2713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2750</v>
      </c>
      <c r="P7316" s="921" t="s">
        <v>1024</v>
      </c>
    </row>
    <row r="7317" spans="1:16" ht="19.5" hidden="1" thickBot="1" x14ac:dyDescent="0.3">
      <c r="A7317" s="1068"/>
      <c r="B7317" s="590" t="s">
        <v>2693</v>
      </c>
      <c r="C7317" s="591" t="s">
        <v>32</v>
      </c>
      <c r="D7317" s="592">
        <v>0.63</v>
      </c>
      <c r="E7317" s="593">
        <v>0.628</v>
      </c>
      <c r="F7317" s="993" t="s">
        <v>16</v>
      </c>
      <c r="G7317" s="595" t="s">
        <v>2586</v>
      </c>
      <c r="H7317" s="594" t="s">
        <v>2713</v>
      </c>
      <c r="I7317" s="596" t="s">
        <v>2713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2749</v>
      </c>
      <c r="P7317" s="867" t="s">
        <v>2803</v>
      </c>
    </row>
    <row r="7318" spans="1:16" ht="19.5" hidden="1" thickBot="1" x14ac:dyDescent="0.3">
      <c r="A7318" s="1070">
        <f>MAX(A7129:A7317)+1</f>
        <v>4486</v>
      </c>
      <c r="B7318" s="610" t="s">
        <v>2693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2741</v>
      </c>
      <c r="I7318" s="484" t="s">
        <v>2766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  <c r="P7318" s="867" t="s">
        <v>2839</v>
      </c>
    </row>
    <row r="7319" spans="1:16" ht="19.5" hidden="1" thickBot="1" x14ac:dyDescent="0.3">
      <c r="A7319" s="1071"/>
      <c r="B7319" s="769" t="s">
        <v>2693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2741</v>
      </c>
      <c r="I7319" s="768" t="s">
        <v>2766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2744</v>
      </c>
      <c r="P7319" s="867" t="s">
        <v>2840</v>
      </c>
    </row>
    <row r="7320" spans="1:16" ht="19.5" hidden="1" thickBot="1" x14ac:dyDescent="0.3">
      <c r="A7320" s="1072"/>
      <c r="B7320" s="841" t="s">
        <v>2741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2741</v>
      </c>
      <c r="I7320" s="844" t="s">
        <v>2766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2801</v>
      </c>
      <c r="P7320" s="867" t="s">
        <v>2841</v>
      </c>
    </row>
    <row r="7321" spans="1:16" x14ac:dyDescent="0.25">
      <c r="A7321" s="1155">
        <f>MAX(A7131:A7320)+1</f>
        <v>4487</v>
      </c>
      <c r="B7321" s="1001" t="s">
        <v>2693</v>
      </c>
      <c r="C7321" s="1002" t="s">
        <v>15</v>
      </c>
      <c r="D7321" s="1003">
        <v>9.1549999999999994</v>
      </c>
      <c r="E7321" s="1004">
        <v>7.4660000000000002</v>
      </c>
      <c r="F7321" s="1005" t="s">
        <v>16</v>
      </c>
      <c r="G7321" s="1035" t="s">
        <v>2844</v>
      </c>
      <c r="H7321" s="1005" t="s">
        <v>2741</v>
      </c>
      <c r="I7321" s="1006" t="s">
        <v>2768</v>
      </c>
      <c r="J7321" s="1007"/>
      <c r="K7321" s="1008"/>
      <c r="L7321" s="1005" t="s">
        <v>28</v>
      </c>
      <c r="M7321" s="1005">
        <v>9325.31</v>
      </c>
      <c r="N7321" s="1009">
        <v>0.41666666666666669</v>
      </c>
      <c r="O7321" s="897" t="s">
        <v>2754</v>
      </c>
      <c r="P7321" s="867" t="s">
        <v>2879</v>
      </c>
    </row>
    <row r="7322" spans="1:16" x14ac:dyDescent="0.25">
      <c r="A7322" s="1156"/>
      <c r="B7322" s="1010" t="s">
        <v>2693</v>
      </c>
      <c r="C7322" s="1011" t="s">
        <v>24</v>
      </c>
      <c r="D7322" s="1012">
        <v>8.4339999999999993</v>
      </c>
      <c r="E7322" s="1013">
        <v>6.9450000000000003</v>
      </c>
      <c r="F7322" s="1014" t="s">
        <v>16</v>
      </c>
      <c r="G7322" s="1015"/>
      <c r="H7322" s="1014" t="s">
        <v>2741</v>
      </c>
      <c r="I7322" s="1016" t="s">
        <v>2768</v>
      </c>
      <c r="J7322" s="1017"/>
      <c r="K7322" s="1018"/>
      <c r="L7322" s="1014" t="s">
        <v>28</v>
      </c>
      <c r="M7322" s="1014">
        <v>8606.24</v>
      </c>
      <c r="N7322" s="1019">
        <v>0.41666666666666669</v>
      </c>
      <c r="O7322" s="897" t="s">
        <v>2753</v>
      </c>
      <c r="P7322" s="867" t="s">
        <v>2878</v>
      </c>
    </row>
    <row r="7323" spans="1:16" ht="37.5" x14ac:dyDescent="0.25">
      <c r="A7323" s="1156"/>
      <c r="B7323" s="1020" t="s">
        <v>2766</v>
      </c>
      <c r="C7323" s="1021" t="s">
        <v>15</v>
      </c>
      <c r="D7323" s="1022">
        <v>1.56</v>
      </c>
      <c r="E7323" s="1022">
        <v>1.571</v>
      </c>
      <c r="F7323" s="1023" t="s">
        <v>16</v>
      </c>
      <c r="G7323" s="1024" t="s">
        <v>2845</v>
      </c>
      <c r="H7323" s="1023" t="s">
        <v>2741</v>
      </c>
      <c r="I7323" s="1023" t="s">
        <v>2768</v>
      </c>
      <c r="J7323" s="1025"/>
      <c r="K7323" s="1026"/>
      <c r="L7323" s="1023" t="s">
        <v>28</v>
      </c>
      <c r="M7323" s="1023">
        <v>1560</v>
      </c>
      <c r="N7323" s="1019">
        <v>0.41666666666666669</v>
      </c>
      <c r="O7323" s="897" t="s">
        <v>2849</v>
      </c>
      <c r="P7323" s="867" t="s">
        <v>2880</v>
      </c>
    </row>
    <row r="7324" spans="1:16" ht="19.5" thickBot="1" x14ac:dyDescent="0.3">
      <c r="A7324" s="1157"/>
      <c r="B7324" s="1027" t="s">
        <v>2766</v>
      </c>
      <c r="C7324" s="1028" t="s">
        <v>24</v>
      </c>
      <c r="D7324" s="1029">
        <v>1.59</v>
      </c>
      <c r="E7324" s="1029">
        <v>1.597</v>
      </c>
      <c r="F7324" s="1030" t="s">
        <v>16</v>
      </c>
      <c r="G7324" s="1031" t="s">
        <v>76</v>
      </c>
      <c r="H7324" s="1030" t="s">
        <v>2741</v>
      </c>
      <c r="I7324" s="1030" t="s">
        <v>2768</v>
      </c>
      <c r="J7324" s="1032"/>
      <c r="K7324" s="1033"/>
      <c r="L7324" s="1030" t="s">
        <v>28</v>
      </c>
      <c r="M7324" s="1030">
        <v>1590</v>
      </c>
      <c r="N7324" s="1034">
        <v>0.41666666666666669</v>
      </c>
      <c r="O7324" s="897" t="s">
        <v>2815</v>
      </c>
      <c r="P7324" s="867" t="s">
        <v>2881</v>
      </c>
    </row>
    <row r="7325" spans="1:16" x14ac:dyDescent="0.25">
      <c r="A7325" s="1073">
        <f>MAX(A7133:A7324)+1</f>
        <v>4488</v>
      </c>
      <c r="B7325" s="523" t="s">
        <v>2693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2741</v>
      </c>
      <c r="I7325" s="528" t="s">
        <v>2768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2756</v>
      </c>
      <c r="P7325" s="867" t="s">
        <v>2870</v>
      </c>
    </row>
    <row r="7326" spans="1:16" x14ac:dyDescent="0.25">
      <c r="A7326" s="1078"/>
      <c r="B7326" s="523" t="s">
        <v>2693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2741</v>
      </c>
      <c r="I7326" s="528" t="s">
        <v>2768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2755</v>
      </c>
      <c r="P7326" s="867" t="s">
        <v>2871</v>
      </c>
    </row>
    <row r="7327" spans="1:16" ht="19.5" thickBot="1" x14ac:dyDescent="0.3">
      <c r="A7327" s="1074"/>
      <c r="B7327" s="859" t="s">
        <v>2766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2741</v>
      </c>
      <c r="I7327" s="856" t="s">
        <v>2768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2816</v>
      </c>
      <c r="P7327" s="867" t="s">
        <v>2872</v>
      </c>
    </row>
    <row r="7328" spans="1:16" x14ac:dyDescent="0.25">
      <c r="A7328" s="1064">
        <f>MAX(A7135:A7327)+1</f>
        <v>4489</v>
      </c>
      <c r="B7328" s="760" t="s">
        <v>2693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2741</v>
      </c>
      <c r="I7328" s="569" t="s">
        <v>2768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2757</v>
      </c>
      <c r="P7328" s="867" t="s">
        <v>2886</v>
      </c>
    </row>
    <row r="7329" spans="1:17" ht="19.5" thickBot="1" x14ac:dyDescent="0.3">
      <c r="A7329" s="1066"/>
      <c r="B7329" s="798" t="s">
        <v>2766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2741</v>
      </c>
      <c r="I7329" s="801" t="s">
        <v>2768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2817</v>
      </c>
      <c r="P7329" s="867" t="s">
        <v>2887</v>
      </c>
    </row>
    <row r="7330" spans="1:17" x14ac:dyDescent="0.25">
      <c r="A7330" s="1070">
        <f>MAX(A7136:A7328)+1</f>
        <v>4490</v>
      </c>
      <c r="B7330" s="610" t="s">
        <v>2711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2766</v>
      </c>
      <c r="I7330" s="484" t="s">
        <v>2766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2769</v>
      </c>
      <c r="P7330" s="867" t="s">
        <v>2831</v>
      </c>
    </row>
    <row r="7331" spans="1:17" ht="19.5" thickBot="1" x14ac:dyDescent="0.3">
      <c r="A7331" s="1072"/>
      <c r="B7331" s="805" t="s">
        <v>2766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2766</v>
      </c>
      <c r="I7331" s="808" t="s">
        <v>2766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2819</v>
      </c>
      <c r="P7331" s="867" t="s">
        <v>2832</v>
      </c>
    </row>
    <row r="7332" spans="1:17" ht="26.25" customHeight="1" x14ac:dyDescent="0.25">
      <c r="A7332" s="1064">
        <f>MAX(A7137:A7330)+1</f>
        <v>4491</v>
      </c>
      <c r="B7332" s="759" t="s">
        <v>2711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52" t="s">
        <v>2767</v>
      </c>
      <c r="H7332" s="535" t="s">
        <v>2766</v>
      </c>
      <c r="I7332" s="537" t="s">
        <v>2846</v>
      </c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2772</v>
      </c>
      <c r="P7332" s="867" t="s">
        <v>2901</v>
      </c>
      <c r="Q7332" s="847" t="s">
        <v>2902</v>
      </c>
    </row>
    <row r="7333" spans="1:17" ht="26.25" customHeight="1" x14ac:dyDescent="0.25">
      <c r="A7333" s="1065"/>
      <c r="B7333" s="824" t="s">
        <v>2711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53"/>
      <c r="H7333" s="819" t="s">
        <v>2766</v>
      </c>
      <c r="I7333" s="782" t="s">
        <v>2846</v>
      </c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2771</v>
      </c>
      <c r="P7333" s="867" t="s">
        <v>2900</v>
      </c>
    </row>
    <row r="7334" spans="1:17" ht="26.25" customHeight="1" thickBot="1" x14ac:dyDescent="0.3">
      <c r="A7334" s="1066"/>
      <c r="B7334" s="798" t="s">
        <v>2766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54"/>
      <c r="H7334" s="801" t="s">
        <v>2766</v>
      </c>
      <c r="I7334" s="801" t="s">
        <v>2846</v>
      </c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2826</v>
      </c>
      <c r="P7334" s="867" t="s">
        <v>2903</v>
      </c>
    </row>
    <row r="7335" spans="1:17" x14ac:dyDescent="0.25">
      <c r="A7335" s="1070">
        <f>MAX(A7139:A7334)+1</f>
        <v>4492</v>
      </c>
      <c r="B7335" s="610" t="s">
        <v>2711</v>
      </c>
      <c r="C7335" s="480" t="s">
        <v>23</v>
      </c>
      <c r="D7335" s="481">
        <v>16.652000000000001</v>
      </c>
      <c r="E7335" s="482"/>
      <c r="F7335" s="483" t="s">
        <v>16</v>
      </c>
      <c r="G7335" s="1061" t="s">
        <v>1633</v>
      </c>
      <c r="H7335" s="483" t="s">
        <v>2766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2773</v>
      </c>
    </row>
    <row r="7336" spans="1:17" ht="19.5" thickBot="1" x14ac:dyDescent="0.3">
      <c r="A7336" s="1072"/>
      <c r="B7336" s="805" t="s">
        <v>2766</v>
      </c>
      <c r="C7336" s="806" t="s">
        <v>23</v>
      </c>
      <c r="D7336" s="807">
        <v>1.905</v>
      </c>
      <c r="E7336" s="807"/>
      <c r="F7336" s="808" t="s">
        <v>16</v>
      </c>
      <c r="G7336" s="1063"/>
      <c r="H7336" s="808" t="s">
        <v>2766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2818</v>
      </c>
    </row>
    <row r="7337" spans="1:17" ht="19.5" thickBot="1" x14ac:dyDescent="0.3">
      <c r="A7337" s="503">
        <f>MAX(A7140:A7335)+1</f>
        <v>4493</v>
      </c>
      <c r="B7337" s="636" t="s">
        <v>2711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2766</v>
      </c>
      <c r="I7337" s="642" t="s">
        <v>2766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2779</v>
      </c>
      <c r="P7337" s="867" t="s">
        <v>2842</v>
      </c>
    </row>
    <row r="7338" spans="1:17" x14ac:dyDescent="0.25">
      <c r="A7338" s="1073">
        <f>MAX(A7141:A7337)+1</f>
        <v>4494</v>
      </c>
      <c r="B7338" s="479" t="s">
        <v>2711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2766</v>
      </c>
      <c r="I7338" s="484" t="s">
        <v>2768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2791</v>
      </c>
      <c r="P7338" s="867" t="s">
        <v>2883</v>
      </c>
    </row>
    <row r="7339" spans="1:17" x14ac:dyDescent="0.25">
      <c r="A7339" s="1078"/>
      <c r="B7339" s="523" t="s">
        <v>2711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2766</v>
      </c>
      <c r="I7339" s="528" t="s">
        <v>2768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2783</v>
      </c>
      <c r="P7339" s="867" t="s">
        <v>2884</v>
      </c>
    </row>
    <row r="7340" spans="1:17" ht="19.5" thickBot="1" x14ac:dyDescent="0.3">
      <c r="A7340" s="1074"/>
      <c r="B7340" s="645" t="s">
        <v>2711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2766</v>
      </c>
      <c r="I7340" s="651" t="s">
        <v>2768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2781</v>
      </c>
      <c r="P7340" s="867" t="s">
        <v>2885</v>
      </c>
    </row>
    <row r="7341" spans="1:17" x14ac:dyDescent="0.25">
      <c r="A7341" s="1067">
        <f>MAX(A7144:A7340)+1</f>
        <v>4495</v>
      </c>
      <c r="B7341" s="531" t="s">
        <v>2711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2766</v>
      </c>
      <c r="I7341" s="537" t="s">
        <v>2768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2792</v>
      </c>
      <c r="P7341" s="867" t="s">
        <v>2889</v>
      </c>
    </row>
    <row r="7342" spans="1:17" ht="19.5" thickBot="1" x14ac:dyDescent="0.3">
      <c r="A7342" s="1068"/>
      <c r="B7342" s="636" t="s">
        <v>2711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2766</v>
      </c>
      <c r="I7342" s="642" t="s">
        <v>2768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2790</v>
      </c>
      <c r="P7342" s="867" t="s">
        <v>2890</v>
      </c>
    </row>
    <row r="7343" spans="1:17" ht="19.5" thickBot="1" x14ac:dyDescent="0.3">
      <c r="A7343" s="513">
        <f t="shared" ref="A7343:A7344" si="225">MAX(A7146:A7342)+1</f>
        <v>4496</v>
      </c>
      <c r="B7343" s="514" t="s">
        <v>2711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2768</v>
      </c>
      <c r="I7343" s="520" t="s">
        <v>2768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2770</v>
      </c>
      <c r="P7343" s="867" t="s">
        <v>2850</v>
      </c>
    </row>
    <row r="7344" spans="1:17" x14ac:dyDescent="0.25">
      <c r="A7344" s="1064">
        <f t="shared" si="225"/>
        <v>4497</v>
      </c>
      <c r="B7344" s="760" t="s">
        <v>2711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2768</v>
      </c>
      <c r="I7344" s="569" t="s">
        <v>2768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2780</v>
      </c>
      <c r="P7344" s="867" t="s">
        <v>2882</v>
      </c>
    </row>
    <row r="7345" spans="1:16" ht="19.5" thickBot="1" x14ac:dyDescent="0.3">
      <c r="A7345" s="1066"/>
      <c r="B7345" s="798" t="s">
        <v>2846</v>
      </c>
      <c r="C7345" s="799" t="s">
        <v>23</v>
      </c>
      <c r="D7345" s="800">
        <v>0.39</v>
      </c>
      <c r="E7345" s="800"/>
      <c r="F7345" s="801" t="s">
        <v>16</v>
      </c>
      <c r="G7345" s="802" t="s">
        <v>76</v>
      </c>
      <c r="H7345" s="801" t="s">
        <v>2768</v>
      </c>
      <c r="I7345" s="801"/>
      <c r="J7345" s="803"/>
      <c r="K7345" s="848"/>
      <c r="L7345" s="801" t="s">
        <v>28</v>
      </c>
      <c r="M7345" s="801">
        <v>390</v>
      </c>
      <c r="N7345" s="804">
        <v>0.41666666666666669</v>
      </c>
      <c r="O7345" s="897" t="s">
        <v>2888</v>
      </c>
    </row>
    <row r="7346" spans="1:16" ht="38.25" thickBot="1" x14ac:dyDescent="0.3">
      <c r="A7346" s="513">
        <f>MAX(A7148:A7344)+1</f>
        <v>4498</v>
      </c>
      <c r="B7346" s="514" t="s">
        <v>2711</v>
      </c>
      <c r="C7346" s="515" t="s">
        <v>47</v>
      </c>
      <c r="D7346" s="516">
        <v>16.655999999999999</v>
      </c>
      <c r="E7346" s="517"/>
      <c r="F7346" s="518" t="s">
        <v>16</v>
      </c>
      <c r="G7346" s="519" t="s">
        <v>1633</v>
      </c>
      <c r="H7346" s="518" t="s">
        <v>2768</v>
      </c>
      <c r="I7346" s="520"/>
      <c r="J7346" s="521"/>
      <c r="K7346" s="514"/>
      <c r="L7346" s="518" t="s">
        <v>28</v>
      </c>
      <c r="M7346" s="518">
        <v>16888.060000000001</v>
      </c>
      <c r="N7346" s="522">
        <v>0.45833333333333331</v>
      </c>
      <c r="O7346" s="897" t="s">
        <v>2788</v>
      </c>
    </row>
    <row r="7347" spans="1:16" ht="38.25" thickBot="1" x14ac:dyDescent="0.3">
      <c r="A7347" s="503">
        <f>MAX(A7149:A7346)+1</f>
        <v>4499</v>
      </c>
      <c r="B7347" s="504" t="s">
        <v>2711</v>
      </c>
      <c r="C7347" s="505" t="s">
        <v>2774</v>
      </c>
      <c r="D7347" s="506">
        <v>18.163</v>
      </c>
      <c r="E7347" s="507">
        <v>16.058</v>
      </c>
      <c r="F7347" s="508" t="s">
        <v>16</v>
      </c>
      <c r="G7347" s="509" t="s">
        <v>2782</v>
      </c>
      <c r="H7347" s="508" t="s">
        <v>2768</v>
      </c>
      <c r="I7347" s="510" t="s">
        <v>2820</v>
      </c>
      <c r="J7347" s="511" t="s">
        <v>25</v>
      </c>
      <c r="K7347" s="504"/>
      <c r="L7347" s="508" t="s">
        <v>265</v>
      </c>
      <c r="M7347" s="508">
        <v>18284.600000000002</v>
      </c>
      <c r="N7347" s="512">
        <v>0.5</v>
      </c>
      <c r="O7347" s="897" t="s">
        <v>2789</v>
      </c>
      <c r="P7347" s="867" t="s">
        <v>2869</v>
      </c>
    </row>
    <row r="7348" spans="1:16" ht="19.5" thickBot="1" x14ac:dyDescent="0.3">
      <c r="A7348" s="513">
        <f>MAX(A7150:A7347)+1</f>
        <v>4500</v>
      </c>
      <c r="B7348" s="514" t="s">
        <v>2711</v>
      </c>
      <c r="C7348" s="515" t="s">
        <v>587</v>
      </c>
      <c r="D7348" s="516">
        <v>11.188000000000001</v>
      </c>
      <c r="E7348" s="517">
        <v>11.188000000000001</v>
      </c>
      <c r="F7348" s="518" t="s">
        <v>30</v>
      </c>
      <c r="G7348" s="519" t="s">
        <v>47</v>
      </c>
      <c r="H7348" s="518" t="s">
        <v>2768</v>
      </c>
      <c r="I7348" s="520" t="s">
        <v>2820</v>
      </c>
      <c r="J7348" s="521"/>
      <c r="K7348" s="514"/>
      <c r="L7348" s="518" t="s">
        <v>28</v>
      </c>
      <c r="M7348" s="518">
        <v>11188.800000000001</v>
      </c>
      <c r="N7348" s="522">
        <v>0.41666666666666669</v>
      </c>
      <c r="O7348" s="897" t="s">
        <v>2784</v>
      </c>
      <c r="P7348" s="867" t="s">
        <v>2877</v>
      </c>
    </row>
    <row r="7349" spans="1:16" ht="19.5" thickBot="1" x14ac:dyDescent="0.3">
      <c r="A7349" s="503">
        <f>MAX(A7151:A7348)+1</f>
        <v>4501</v>
      </c>
      <c r="B7349" s="504" t="s">
        <v>2766</v>
      </c>
      <c r="C7349" s="505" t="s">
        <v>32</v>
      </c>
      <c r="D7349" s="506">
        <v>17.600000000000001</v>
      </c>
      <c r="E7349" s="507"/>
      <c r="F7349" s="508" t="s">
        <v>16</v>
      </c>
      <c r="G7349" s="509" t="s">
        <v>2299</v>
      </c>
      <c r="H7349" s="508" t="s">
        <v>2820</v>
      </c>
      <c r="I7349" s="510"/>
      <c r="J7349" s="511"/>
      <c r="K7349" s="504"/>
      <c r="L7349" s="508" t="s">
        <v>266</v>
      </c>
      <c r="M7349" s="508">
        <v>17604.599999999999</v>
      </c>
      <c r="N7349" s="512">
        <v>0.41666666666666669</v>
      </c>
      <c r="O7349" s="897" t="s">
        <v>2821</v>
      </c>
      <c r="P7349" s="867" t="s">
        <v>2413</v>
      </c>
    </row>
    <row r="7350" spans="1:16" x14ac:dyDescent="0.25">
      <c r="A7350" s="1073">
        <f>MAX(A7152:A7349)+1</f>
        <v>4502</v>
      </c>
      <c r="B7350" s="479" t="s">
        <v>2766</v>
      </c>
      <c r="C7350" s="480" t="s">
        <v>55</v>
      </c>
      <c r="D7350" s="481">
        <v>2.0419999999999998</v>
      </c>
      <c r="E7350" s="482">
        <v>1.863</v>
      </c>
      <c r="F7350" s="483" t="s">
        <v>16</v>
      </c>
      <c r="G7350" s="549" t="s">
        <v>844</v>
      </c>
      <c r="H7350" s="483" t="s">
        <v>2820</v>
      </c>
      <c r="I7350" s="484" t="s">
        <v>2820</v>
      </c>
      <c r="J7350" s="485"/>
      <c r="K7350" s="479"/>
      <c r="L7350" s="483" t="s">
        <v>266</v>
      </c>
      <c r="M7350" s="483">
        <v>2042.1699999999998</v>
      </c>
      <c r="N7350" s="486">
        <v>0.45833333333333331</v>
      </c>
      <c r="O7350" s="897" t="s">
        <v>2822</v>
      </c>
      <c r="P7350" s="867" t="s">
        <v>2873</v>
      </c>
    </row>
    <row r="7351" spans="1:16" x14ac:dyDescent="0.25">
      <c r="A7351" s="1078"/>
      <c r="B7351" s="523" t="s">
        <v>2766</v>
      </c>
      <c r="C7351" s="524" t="s">
        <v>55</v>
      </c>
      <c r="D7351" s="525">
        <v>7.2949999999999999</v>
      </c>
      <c r="E7351" s="526">
        <v>6.5309999999999997</v>
      </c>
      <c r="F7351" s="527" t="s">
        <v>16</v>
      </c>
      <c r="G7351" s="561" t="s">
        <v>845</v>
      </c>
      <c r="H7351" s="527" t="s">
        <v>2820</v>
      </c>
      <c r="I7351" s="528" t="s">
        <v>2820</v>
      </c>
      <c r="J7351" s="529"/>
      <c r="K7351" s="523"/>
      <c r="L7351" s="527" t="s">
        <v>266</v>
      </c>
      <c r="M7351" s="527">
        <v>7295.6399999999994</v>
      </c>
      <c r="N7351" s="530">
        <v>0.45833333333333331</v>
      </c>
      <c r="O7351" s="897" t="s">
        <v>2825</v>
      </c>
      <c r="P7351" s="867" t="s">
        <v>2874</v>
      </c>
    </row>
    <row r="7352" spans="1:16" x14ac:dyDescent="0.25">
      <c r="A7352" s="1078"/>
      <c r="B7352" s="523" t="s">
        <v>2766</v>
      </c>
      <c r="C7352" s="524" t="s">
        <v>55</v>
      </c>
      <c r="D7352" s="525">
        <v>5.5060000000000002</v>
      </c>
      <c r="E7352" s="526">
        <v>5.4749999999999996</v>
      </c>
      <c r="F7352" s="527" t="s">
        <v>16</v>
      </c>
      <c r="G7352" s="561" t="s">
        <v>2299</v>
      </c>
      <c r="H7352" s="527" t="s">
        <v>2820</v>
      </c>
      <c r="I7352" s="528" t="s">
        <v>2820</v>
      </c>
      <c r="J7352" s="529"/>
      <c r="K7352" s="523"/>
      <c r="L7352" s="527" t="s">
        <v>266</v>
      </c>
      <c r="M7352" s="527">
        <v>5506.8</v>
      </c>
      <c r="N7352" s="530">
        <v>0.45833333333333331</v>
      </c>
      <c r="O7352" s="897" t="s">
        <v>2823</v>
      </c>
      <c r="P7352" s="867" t="s">
        <v>2875</v>
      </c>
    </row>
    <row r="7353" spans="1:16" ht="19.5" thickBot="1" x14ac:dyDescent="0.3">
      <c r="A7353" s="1074"/>
      <c r="B7353" s="645" t="s">
        <v>2766</v>
      </c>
      <c r="C7353" s="646" t="s">
        <v>32</v>
      </c>
      <c r="D7353" s="647">
        <v>3.5019999999999998</v>
      </c>
      <c r="E7353" s="648">
        <v>3.4969999999999999</v>
      </c>
      <c r="F7353" s="649" t="s">
        <v>16</v>
      </c>
      <c r="G7353" s="650" t="s">
        <v>2586</v>
      </c>
      <c r="H7353" s="649" t="s">
        <v>2820</v>
      </c>
      <c r="I7353" s="651" t="s">
        <v>2820</v>
      </c>
      <c r="J7353" s="652"/>
      <c r="K7353" s="645"/>
      <c r="L7353" s="649" t="s">
        <v>266</v>
      </c>
      <c r="M7353" s="649">
        <v>3502.2</v>
      </c>
      <c r="N7353" s="653">
        <v>0.45833333333333331</v>
      </c>
      <c r="O7353" s="897" t="s">
        <v>2824</v>
      </c>
      <c r="P7353" s="867" t="s">
        <v>2876</v>
      </c>
    </row>
    <row r="7354" spans="1:16" ht="19.5" thickBot="1" x14ac:dyDescent="0.3">
      <c r="A7354" s="503">
        <f>MAX(A7156:A7353)+1</f>
        <v>4503</v>
      </c>
      <c r="B7354" s="504" t="s">
        <v>2768</v>
      </c>
      <c r="C7354" s="505" t="s">
        <v>32</v>
      </c>
      <c r="D7354" s="506">
        <v>18.038</v>
      </c>
      <c r="E7354" s="507">
        <v>16.675000000000001</v>
      </c>
      <c r="F7354" s="508" t="s">
        <v>16</v>
      </c>
      <c r="G7354" s="509"/>
      <c r="H7354" s="508" t="s">
        <v>2846</v>
      </c>
      <c r="I7354" s="510" t="s">
        <v>2851</v>
      </c>
      <c r="J7354" s="511"/>
      <c r="K7354" s="504"/>
      <c r="L7354" s="508" t="s">
        <v>266</v>
      </c>
      <c r="M7354" s="508">
        <v>18146.96</v>
      </c>
      <c r="N7354" s="512">
        <v>0.41666666666666669</v>
      </c>
      <c r="O7354" s="897" t="s">
        <v>2847</v>
      </c>
      <c r="P7354" s="867" t="s">
        <v>2904</v>
      </c>
    </row>
    <row r="7355" spans="1:16" ht="19.5" thickBot="1" x14ac:dyDescent="0.3">
      <c r="A7355" s="572">
        <f>MAX(A7157:A7354)+1</f>
        <v>4504</v>
      </c>
      <c r="B7355" s="573" t="s">
        <v>2768</v>
      </c>
      <c r="C7355" s="574" t="s">
        <v>32</v>
      </c>
      <c r="D7355" s="575">
        <v>18.001999999999999</v>
      </c>
      <c r="E7355" s="576"/>
      <c r="F7355" s="577" t="s">
        <v>16</v>
      </c>
      <c r="G7355" s="578"/>
      <c r="H7355" s="577" t="s">
        <v>2846</v>
      </c>
      <c r="I7355" s="579"/>
      <c r="J7355" s="580"/>
      <c r="K7355" s="573"/>
      <c r="L7355" s="577" t="s">
        <v>266</v>
      </c>
      <c r="M7355" s="577">
        <v>18098.380000000005</v>
      </c>
      <c r="N7355" s="581">
        <v>0.45833333333333331</v>
      </c>
      <c r="O7355" s="897" t="s">
        <v>2848</v>
      </c>
    </row>
    <row r="7356" spans="1:16" x14ac:dyDescent="0.25">
      <c r="A7356" s="1064">
        <f t="shared" ref="A7356" si="226">MAX(A7159:A7355)+1</f>
        <v>4505</v>
      </c>
      <c r="B7356" s="759" t="s">
        <v>2820</v>
      </c>
      <c r="C7356" s="532" t="s">
        <v>26</v>
      </c>
      <c r="D7356" s="533">
        <v>17.472999999999999</v>
      </c>
      <c r="E7356" s="534"/>
      <c r="F7356" s="535" t="s">
        <v>16</v>
      </c>
      <c r="G7356" s="1041"/>
      <c r="H7356" s="535" t="s">
        <v>2851</v>
      </c>
      <c r="I7356" s="537"/>
      <c r="J7356" s="538"/>
      <c r="K7356" s="531"/>
      <c r="L7356" s="535" t="s">
        <v>265</v>
      </c>
      <c r="M7356" s="535">
        <v>17648.800000000003</v>
      </c>
      <c r="N7356" s="539">
        <v>4.1666666666666664E-2</v>
      </c>
      <c r="O7356" s="897" t="s">
        <v>2854</v>
      </c>
    </row>
    <row r="7357" spans="1:16" ht="19.5" thickBot="1" x14ac:dyDescent="0.3">
      <c r="A7357" s="1066"/>
      <c r="B7357" s="785" t="s">
        <v>2851</v>
      </c>
      <c r="C7357" s="786" t="s">
        <v>26</v>
      </c>
      <c r="D7357" s="787">
        <v>0.3</v>
      </c>
      <c r="E7357" s="787"/>
      <c r="F7357" s="788" t="s">
        <v>16</v>
      </c>
      <c r="G7357" s="789" t="s">
        <v>76</v>
      </c>
      <c r="H7357" s="788" t="s">
        <v>2851</v>
      </c>
      <c r="I7357" s="788"/>
      <c r="J7357" s="790"/>
      <c r="K7357" s="877"/>
      <c r="L7357" s="788" t="s">
        <v>265</v>
      </c>
      <c r="M7357" s="788">
        <v>315</v>
      </c>
      <c r="N7357" s="784">
        <v>4.1666666666666664E-2</v>
      </c>
      <c r="O7357" s="897" t="s">
        <v>2905</v>
      </c>
    </row>
    <row r="7358" spans="1:16" x14ac:dyDescent="0.25">
      <c r="A7358" s="1070">
        <f>MAX(A7160:A7356)+1</f>
        <v>4506</v>
      </c>
      <c r="B7358" s="610" t="s">
        <v>2820</v>
      </c>
      <c r="C7358" s="480" t="s">
        <v>26</v>
      </c>
      <c r="D7358" s="481">
        <v>17.004999999999999</v>
      </c>
      <c r="E7358" s="482"/>
      <c r="F7358" s="483" t="s">
        <v>16</v>
      </c>
      <c r="G7358" s="1051"/>
      <c r="H7358" s="483" t="s">
        <v>2851</v>
      </c>
      <c r="I7358" s="484"/>
      <c r="J7358" s="485"/>
      <c r="K7358" s="479"/>
      <c r="L7358" s="483" t="s">
        <v>265</v>
      </c>
      <c r="M7358" s="483">
        <v>17019</v>
      </c>
      <c r="N7358" s="486">
        <v>8.3333333333333329E-2</v>
      </c>
      <c r="O7358" s="897" t="s">
        <v>2855</v>
      </c>
    </row>
    <row r="7359" spans="1:16" ht="19.5" thickBot="1" x14ac:dyDescent="0.3">
      <c r="A7359" s="1072"/>
      <c r="B7359" s="805" t="s">
        <v>2851</v>
      </c>
      <c r="C7359" s="806" t="s">
        <v>26</v>
      </c>
      <c r="D7359" s="807">
        <v>2.58</v>
      </c>
      <c r="E7359" s="807"/>
      <c r="F7359" s="808" t="s">
        <v>16</v>
      </c>
      <c r="G7359" s="857" t="s">
        <v>76</v>
      </c>
      <c r="H7359" s="808" t="s">
        <v>2851</v>
      </c>
      <c r="I7359" s="808"/>
      <c r="J7359" s="810"/>
      <c r="K7359" s="887"/>
      <c r="L7359" s="808" t="s">
        <v>265</v>
      </c>
      <c r="M7359" s="808">
        <v>2625</v>
      </c>
      <c r="N7359" s="778">
        <v>8.3333333333333329E-2</v>
      </c>
      <c r="O7359" s="897" t="s">
        <v>2910</v>
      </c>
    </row>
    <row r="7360" spans="1:16" ht="19.5" thickBot="1" x14ac:dyDescent="0.3">
      <c r="A7360" s="503">
        <f>MAX(A7161:A7358)+1</f>
        <v>4507</v>
      </c>
      <c r="B7360" s="504" t="s">
        <v>2820</v>
      </c>
      <c r="C7360" s="505" t="s">
        <v>23</v>
      </c>
      <c r="D7360" s="506">
        <v>12.382999999999999</v>
      </c>
      <c r="E7360" s="507"/>
      <c r="F7360" s="508" t="s">
        <v>30</v>
      </c>
      <c r="G7360" s="509"/>
      <c r="H7360" s="508" t="s">
        <v>2851</v>
      </c>
      <c r="I7360" s="510"/>
      <c r="J7360" s="511"/>
      <c r="K7360" s="504"/>
      <c r="L7360" s="508" t="s">
        <v>28</v>
      </c>
      <c r="M7360" s="508">
        <v>12383.240000000002</v>
      </c>
      <c r="N7360" s="512">
        <v>0.41666666666666669</v>
      </c>
      <c r="O7360" s="897" t="s">
        <v>2853</v>
      </c>
    </row>
    <row r="7361" spans="1:17" ht="19.5" thickBot="1" x14ac:dyDescent="0.3">
      <c r="A7361" s="513">
        <f>MAX(A7162:A7360)+1</f>
        <v>4508</v>
      </c>
      <c r="B7361" s="514" t="s">
        <v>2820</v>
      </c>
      <c r="C7361" s="515" t="s">
        <v>764</v>
      </c>
      <c r="D7361" s="516">
        <v>11.73</v>
      </c>
      <c r="E7361" s="517"/>
      <c r="F7361" s="518" t="s">
        <v>30</v>
      </c>
      <c r="G7361" s="519"/>
      <c r="H7361" s="518" t="s">
        <v>2851</v>
      </c>
      <c r="I7361" s="520"/>
      <c r="J7361" s="521"/>
      <c r="K7361" s="514"/>
      <c r="L7361" s="518" t="s">
        <v>28</v>
      </c>
      <c r="M7361" s="518">
        <v>11730.6</v>
      </c>
      <c r="N7361" s="522">
        <v>0.45833333333333331</v>
      </c>
      <c r="O7361" s="897" t="s">
        <v>2852</v>
      </c>
    </row>
    <row r="7362" spans="1:17" ht="19.5" thickBot="1" x14ac:dyDescent="0.3">
      <c r="A7362" s="503">
        <f>MAX(A7163:A7361)+1</f>
        <v>4509</v>
      </c>
      <c r="B7362" s="504" t="s">
        <v>2820</v>
      </c>
      <c r="C7362" s="505" t="s">
        <v>26</v>
      </c>
      <c r="D7362" s="506">
        <v>17.542999999999999</v>
      </c>
      <c r="E7362" s="507"/>
      <c r="F7362" s="508" t="s">
        <v>16</v>
      </c>
      <c r="G7362" s="509"/>
      <c r="H7362" s="508" t="s">
        <v>2856</v>
      </c>
      <c r="I7362" s="510"/>
      <c r="J7362" s="511"/>
      <c r="K7362" s="504"/>
      <c r="L7362" s="508" t="s">
        <v>265</v>
      </c>
      <c r="M7362" s="508">
        <v>17716.34</v>
      </c>
      <c r="N7362" s="512">
        <v>4.1666666666666664E-2</v>
      </c>
      <c r="O7362" s="897" t="s">
        <v>2857</v>
      </c>
    </row>
    <row r="7363" spans="1:17" ht="19.5" thickBot="1" x14ac:dyDescent="0.3">
      <c r="A7363" s="513">
        <f>MAX(A7164:A7362)+1</f>
        <v>4510</v>
      </c>
      <c r="B7363" s="514" t="s">
        <v>2820</v>
      </c>
      <c r="C7363" s="515" t="s">
        <v>26</v>
      </c>
      <c r="D7363" s="516">
        <v>17.510000000000002</v>
      </c>
      <c r="E7363" s="517"/>
      <c r="F7363" s="518" t="s">
        <v>16</v>
      </c>
      <c r="G7363" s="519"/>
      <c r="H7363" s="518" t="s">
        <v>2856</v>
      </c>
      <c r="I7363" s="520"/>
      <c r="J7363" s="521"/>
      <c r="K7363" s="514"/>
      <c r="L7363" s="518" t="s">
        <v>265</v>
      </c>
      <c r="M7363" s="518">
        <v>17700.18</v>
      </c>
      <c r="N7363" s="522">
        <v>8.3333333333333329E-2</v>
      </c>
      <c r="O7363" s="897" t="s">
        <v>2858</v>
      </c>
    </row>
    <row r="7364" spans="1:17" ht="56.25" x14ac:dyDescent="0.25">
      <c r="A7364" s="1067">
        <f>MAX(A7165:A7363)+1</f>
        <v>4511</v>
      </c>
      <c r="B7364" s="531" t="s">
        <v>2820</v>
      </c>
      <c r="C7364" s="532" t="s">
        <v>587</v>
      </c>
      <c r="D7364" s="533">
        <v>0.90400000000000003</v>
      </c>
      <c r="E7364" s="534"/>
      <c r="F7364" s="535" t="s">
        <v>16</v>
      </c>
      <c r="G7364" s="536" t="s">
        <v>794</v>
      </c>
      <c r="H7364" s="535" t="s">
        <v>2856</v>
      </c>
      <c r="I7364" s="537"/>
      <c r="J7364" s="538"/>
      <c r="K7364" s="531"/>
      <c r="L7364" s="535" t="s">
        <v>28</v>
      </c>
      <c r="M7364" s="535">
        <v>917.64</v>
      </c>
      <c r="N7364" s="539">
        <v>0.41666666666666669</v>
      </c>
      <c r="O7364" s="897" t="s">
        <v>2861</v>
      </c>
      <c r="P7364" s="1050" t="s">
        <v>2906</v>
      </c>
    </row>
    <row r="7365" spans="1:17" x14ac:dyDescent="0.25">
      <c r="A7365" s="1069"/>
      <c r="B7365" s="563" t="s">
        <v>2820</v>
      </c>
      <c r="C7365" s="564" t="s">
        <v>587</v>
      </c>
      <c r="D7365" s="565">
        <v>8.1349999999999998</v>
      </c>
      <c r="E7365" s="566"/>
      <c r="F7365" s="567" t="s">
        <v>16</v>
      </c>
      <c r="G7365" s="568" t="s">
        <v>47</v>
      </c>
      <c r="H7365" s="567" t="s">
        <v>2856</v>
      </c>
      <c r="I7365" s="569"/>
      <c r="J7365" s="570"/>
      <c r="K7365" s="563"/>
      <c r="L7365" s="567" t="s">
        <v>28</v>
      </c>
      <c r="M7365" s="567">
        <v>8135.2799999999988</v>
      </c>
      <c r="N7365" s="571">
        <v>0.41666666666666669</v>
      </c>
      <c r="O7365" s="897" t="s">
        <v>2862</v>
      </c>
      <c r="Q7365" s="900"/>
    </row>
    <row r="7366" spans="1:17" ht="19.5" thickBot="1" x14ac:dyDescent="0.3">
      <c r="A7366" s="1068"/>
      <c r="B7366" s="636" t="s">
        <v>2820</v>
      </c>
      <c r="C7366" s="637" t="s">
        <v>47</v>
      </c>
      <c r="D7366" s="638">
        <v>8.4789999999999992</v>
      </c>
      <c r="E7366" s="639"/>
      <c r="F7366" s="640" t="s">
        <v>16</v>
      </c>
      <c r="G7366" s="641"/>
      <c r="H7366" s="640" t="s">
        <v>2856</v>
      </c>
      <c r="I7366" s="642"/>
      <c r="J7366" s="643"/>
      <c r="K7366" s="636"/>
      <c r="L7366" s="640" t="s">
        <v>28</v>
      </c>
      <c r="M7366" s="640">
        <v>8702.58</v>
      </c>
      <c r="N7366" s="644">
        <v>0.41666666666666669</v>
      </c>
      <c r="O7366" s="897" t="s">
        <v>2859</v>
      </c>
      <c r="Q7366" s="900"/>
    </row>
    <row r="7367" spans="1:17" x14ac:dyDescent="0.25">
      <c r="A7367" s="1073">
        <f>MAX(A7168:A7366)+1</f>
        <v>4512</v>
      </c>
      <c r="B7367" s="479" t="s">
        <v>2820</v>
      </c>
      <c r="C7367" s="480" t="s">
        <v>913</v>
      </c>
      <c r="D7367" s="481">
        <v>0.91500000000000004</v>
      </c>
      <c r="E7367" s="482"/>
      <c r="F7367" s="483" t="s">
        <v>16</v>
      </c>
      <c r="G7367" s="1158" t="s">
        <v>2907</v>
      </c>
      <c r="H7367" s="483" t="s">
        <v>2856</v>
      </c>
      <c r="I7367" s="484"/>
      <c r="J7367" s="485"/>
      <c r="K7367" s="479"/>
      <c r="L7367" s="483" t="s">
        <v>266</v>
      </c>
      <c r="M7367" s="483">
        <v>920.1</v>
      </c>
      <c r="N7367" s="486">
        <v>0.45833333333333331</v>
      </c>
      <c r="O7367" s="897" t="s">
        <v>2865</v>
      </c>
    </row>
    <row r="7368" spans="1:17" x14ac:dyDescent="0.25">
      <c r="A7368" s="1078"/>
      <c r="B7368" s="523" t="s">
        <v>2820</v>
      </c>
      <c r="C7368" s="524" t="s">
        <v>839</v>
      </c>
      <c r="D7368" s="525">
        <v>2.2000000000000002</v>
      </c>
      <c r="E7368" s="526"/>
      <c r="F7368" s="527" t="s">
        <v>16</v>
      </c>
      <c r="G7368" s="1079"/>
      <c r="H7368" s="527" t="s">
        <v>2856</v>
      </c>
      <c r="I7368" s="528"/>
      <c r="J7368" s="529"/>
      <c r="K7368" s="523"/>
      <c r="L7368" s="527" t="s">
        <v>28</v>
      </c>
      <c r="M7368" s="527">
        <v>2218.1999999999998</v>
      </c>
      <c r="N7368" s="530">
        <v>0.45833333333333331</v>
      </c>
      <c r="O7368" s="897" t="s">
        <v>2863</v>
      </c>
    </row>
    <row r="7369" spans="1:17" x14ac:dyDescent="0.25">
      <c r="A7369" s="1078"/>
      <c r="B7369" s="523" t="s">
        <v>2820</v>
      </c>
      <c r="C7369" s="524" t="s">
        <v>23</v>
      </c>
      <c r="D7369" s="525">
        <v>10.568</v>
      </c>
      <c r="E7369" s="526"/>
      <c r="F7369" s="527" t="s">
        <v>16</v>
      </c>
      <c r="G7369" s="1079"/>
      <c r="H7369" s="527" t="s">
        <v>2856</v>
      </c>
      <c r="I7369" s="528"/>
      <c r="J7369" s="529"/>
      <c r="K7369" s="523"/>
      <c r="L7369" s="527" t="s">
        <v>28</v>
      </c>
      <c r="M7369" s="527">
        <v>10736.63</v>
      </c>
      <c r="N7369" s="530">
        <v>0.45833333333333331</v>
      </c>
      <c r="O7369" s="897" t="s">
        <v>2860</v>
      </c>
    </row>
    <row r="7370" spans="1:17" ht="19.5" thickBot="1" x14ac:dyDescent="0.3">
      <c r="A7370" s="1074"/>
      <c r="B7370" s="1042" t="s">
        <v>2851</v>
      </c>
      <c r="C7370" s="1043" t="s">
        <v>840</v>
      </c>
      <c r="D7370" s="1044">
        <v>3.75</v>
      </c>
      <c r="E7370" s="1045"/>
      <c r="F7370" s="1046" t="s">
        <v>16</v>
      </c>
      <c r="G7370" s="1080"/>
      <c r="H7370" s="1046" t="s">
        <v>2892</v>
      </c>
      <c r="I7370" s="1047"/>
      <c r="J7370" s="1048"/>
      <c r="K7370" s="1042"/>
      <c r="L7370" s="1046" t="s">
        <v>266</v>
      </c>
      <c r="M7370" s="1046">
        <v>3755.04</v>
      </c>
      <c r="N7370" s="1049">
        <v>0.45833333333333331</v>
      </c>
      <c r="O7370" s="897" t="s">
        <v>2911</v>
      </c>
    </row>
    <row r="7371" spans="1:17" ht="19.5" thickBot="1" x14ac:dyDescent="0.3">
      <c r="A7371" s="503">
        <f>MAX(A7171:A7370)+1</f>
        <v>4513</v>
      </c>
      <c r="B7371" s="504" t="s">
        <v>2820</v>
      </c>
      <c r="C7371" s="505" t="s">
        <v>840</v>
      </c>
      <c r="D7371" s="506">
        <v>17.908000000000001</v>
      </c>
      <c r="E7371" s="507"/>
      <c r="F7371" s="508" t="s">
        <v>16</v>
      </c>
      <c r="G7371" s="509"/>
      <c r="H7371" s="508" t="s">
        <v>2856</v>
      </c>
      <c r="I7371" s="510"/>
      <c r="J7371" s="511"/>
      <c r="K7371" s="504"/>
      <c r="L7371" s="508" t="s">
        <v>266</v>
      </c>
      <c r="M7371" s="508">
        <v>18018.059999999998</v>
      </c>
      <c r="N7371" s="512">
        <v>0.5</v>
      </c>
      <c r="O7371" s="897" t="s">
        <v>2864</v>
      </c>
    </row>
    <row r="7372" spans="1:17" x14ac:dyDescent="0.25">
      <c r="A7372" s="1073">
        <f>MAX(A7172:A7371)+1</f>
        <v>4514</v>
      </c>
      <c r="B7372" s="479" t="s">
        <v>2820</v>
      </c>
      <c r="C7372" s="480" t="s">
        <v>981</v>
      </c>
      <c r="D7372" s="481">
        <v>2.5</v>
      </c>
      <c r="E7372" s="482"/>
      <c r="F7372" s="483" t="s">
        <v>16</v>
      </c>
      <c r="G7372" s="549" t="s">
        <v>2299</v>
      </c>
      <c r="H7372" s="483" t="s">
        <v>2856</v>
      </c>
      <c r="I7372" s="484"/>
      <c r="J7372" s="485"/>
      <c r="K7372" s="479"/>
      <c r="L7372" s="483" t="s">
        <v>266</v>
      </c>
      <c r="M7372" s="483">
        <v>2503.7999999999997</v>
      </c>
      <c r="N7372" s="486">
        <v>0.54166666666666663</v>
      </c>
      <c r="O7372" s="897" t="s">
        <v>2867</v>
      </c>
    </row>
    <row r="7373" spans="1:17" x14ac:dyDescent="0.25">
      <c r="A7373" s="1078"/>
      <c r="B7373" s="523" t="s">
        <v>2820</v>
      </c>
      <c r="C7373" s="524" t="s">
        <v>32</v>
      </c>
      <c r="D7373" s="525">
        <v>5.7220000000000004</v>
      </c>
      <c r="E7373" s="526"/>
      <c r="F7373" s="527" t="s">
        <v>16</v>
      </c>
      <c r="G7373" s="561" t="s">
        <v>1702</v>
      </c>
      <c r="H7373" s="527" t="s">
        <v>2856</v>
      </c>
      <c r="I7373" s="528"/>
      <c r="J7373" s="529"/>
      <c r="K7373" s="523"/>
      <c r="L7373" s="527" t="s">
        <v>266</v>
      </c>
      <c r="M7373" s="527">
        <v>5722.3</v>
      </c>
      <c r="N7373" s="530">
        <v>0.54166666666666663</v>
      </c>
      <c r="O7373" s="897" t="s">
        <v>2868</v>
      </c>
    </row>
    <row r="7374" spans="1:17" ht="19.5" thickBot="1" x14ac:dyDescent="0.3">
      <c r="A7374" s="1078"/>
      <c r="B7374" s="495" t="s">
        <v>2820</v>
      </c>
      <c r="C7374" s="496" t="s">
        <v>47</v>
      </c>
      <c r="D7374" s="497">
        <v>9.3130000000000006</v>
      </c>
      <c r="E7374" s="498"/>
      <c r="F7374" s="499" t="s">
        <v>16</v>
      </c>
      <c r="G7374" s="1039"/>
      <c r="H7374" s="499" t="s">
        <v>2856</v>
      </c>
      <c r="I7374" s="500"/>
      <c r="J7374" s="501"/>
      <c r="K7374" s="495"/>
      <c r="L7374" s="499" t="s">
        <v>28</v>
      </c>
      <c r="M7374" s="499">
        <v>9429.26</v>
      </c>
      <c r="N7374" s="502">
        <v>0.54166666666666663</v>
      </c>
      <c r="O7374" s="897" t="s">
        <v>2866</v>
      </c>
    </row>
    <row r="7375" spans="1:17" ht="19.5" thickBot="1" x14ac:dyDescent="0.3">
      <c r="A7375" s="503">
        <f>MAX(A7175:A7374)+1</f>
        <v>4515</v>
      </c>
      <c r="B7375" s="504" t="s">
        <v>2846</v>
      </c>
      <c r="C7375" s="505" t="s">
        <v>26</v>
      </c>
      <c r="D7375" s="506">
        <v>13.975</v>
      </c>
      <c r="E7375" s="507"/>
      <c r="F7375" s="508" t="s">
        <v>30</v>
      </c>
      <c r="G7375" s="509"/>
      <c r="H7375" s="508" t="s">
        <v>2856</v>
      </c>
      <c r="I7375" s="510"/>
      <c r="J7375" s="511"/>
      <c r="K7375" s="504"/>
      <c r="L7375" s="508" t="s">
        <v>265</v>
      </c>
      <c r="M7375" s="508">
        <v>13975.440000000002</v>
      </c>
      <c r="N7375" s="512">
        <v>4.1666666666666664E-2</v>
      </c>
      <c r="O7375" s="897" t="s">
        <v>2891</v>
      </c>
    </row>
    <row r="7376" spans="1:17" x14ac:dyDescent="0.25">
      <c r="A7376" s="1073">
        <f>MAX(A7176:A7375)+1</f>
        <v>4516</v>
      </c>
      <c r="B7376" s="479" t="s">
        <v>2846</v>
      </c>
      <c r="C7376" s="480" t="s">
        <v>26</v>
      </c>
      <c r="D7376" s="481">
        <v>15.369</v>
      </c>
      <c r="E7376" s="482"/>
      <c r="F7376" s="483" t="s">
        <v>16</v>
      </c>
      <c r="G7376" s="1036"/>
      <c r="H7376" s="483" t="s">
        <v>2892</v>
      </c>
      <c r="I7376" s="484"/>
      <c r="J7376" s="485"/>
      <c r="K7376" s="479"/>
      <c r="L7376" s="483" t="s">
        <v>265</v>
      </c>
      <c r="M7376" s="483">
        <v>15524.040000000003</v>
      </c>
      <c r="N7376" s="486">
        <v>4.1666666666666664E-2</v>
      </c>
      <c r="O7376" s="897" t="s">
        <v>2893</v>
      </c>
    </row>
    <row r="7377" spans="1:15" ht="19.5" thickBot="1" x14ac:dyDescent="0.3">
      <c r="A7377" s="1074"/>
      <c r="B7377" s="645" t="s">
        <v>2846</v>
      </c>
      <c r="C7377" s="646" t="s">
        <v>952</v>
      </c>
      <c r="D7377" s="647">
        <v>2.3119999999999998</v>
      </c>
      <c r="E7377" s="648"/>
      <c r="F7377" s="649" t="s">
        <v>16</v>
      </c>
      <c r="G7377" s="1038"/>
      <c r="H7377" s="649" t="s">
        <v>2892</v>
      </c>
      <c r="I7377" s="651"/>
      <c r="J7377" s="652"/>
      <c r="K7377" s="645"/>
      <c r="L7377" s="649" t="s">
        <v>265</v>
      </c>
      <c r="M7377" s="649">
        <v>2391.2400000000002</v>
      </c>
      <c r="N7377" s="653">
        <v>4.1666666666666664E-2</v>
      </c>
      <c r="O7377" s="897" t="s">
        <v>2894</v>
      </c>
    </row>
    <row r="7378" spans="1:15" x14ac:dyDescent="0.25">
      <c r="A7378" s="1067">
        <f>MAX(A7178:A7377)+1</f>
        <v>4517</v>
      </c>
      <c r="B7378" s="531" t="s">
        <v>2846</v>
      </c>
      <c r="C7378" s="532" t="s">
        <v>24</v>
      </c>
      <c r="D7378" s="533">
        <v>13.776999999999999</v>
      </c>
      <c r="E7378" s="534"/>
      <c r="F7378" s="535" t="s">
        <v>16</v>
      </c>
      <c r="G7378" s="1040"/>
      <c r="H7378" s="535" t="s">
        <v>2892</v>
      </c>
      <c r="I7378" s="537"/>
      <c r="J7378" s="538"/>
      <c r="K7378" s="531"/>
      <c r="L7378" s="535" t="s">
        <v>28</v>
      </c>
      <c r="M7378" s="535">
        <v>13937.400000000001</v>
      </c>
      <c r="N7378" s="539">
        <v>0.41666666666666669</v>
      </c>
      <c r="O7378" s="897" t="s">
        <v>2896</v>
      </c>
    </row>
    <row r="7379" spans="1:15" ht="19.5" thickBot="1" x14ac:dyDescent="0.3">
      <c r="A7379" s="1068"/>
      <c r="B7379" s="636" t="s">
        <v>2846</v>
      </c>
      <c r="C7379" s="637" t="s">
        <v>20</v>
      </c>
      <c r="D7379" s="638">
        <v>3.7589999999999999</v>
      </c>
      <c r="E7379" s="639"/>
      <c r="F7379" s="640" t="s">
        <v>16</v>
      </c>
      <c r="G7379" s="1037"/>
      <c r="H7379" s="640" t="s">
        <v>2892</v>
      </c>
      <c r="I7379" s="642"/>
      <c r="J7379" s="643"/>
      <c r="K7379" s="636"/>
      <c r="L7379" s="640" t="s">
        <v>28</v>
      </c>
      <c r="M7379" s="640">
        <v>3941.5599999999995</v>
      </c>
      <c r="N7379" s="644">
        <v>0.41666666666666669</v>
      </c>
      <c r="O7379" s="897" t="s">
        <v>2897</v>
      </c>
    </row>
    <row r="7380" spans="1:15" x14ac:dyDescent="0.25">
      <c r="A7380" s="1073">
        <f>MAX(A7180:A7379)+1</f>
        <v>4518</v>
      </c>
      <c r="B7380" s="479" t="s">
        <v>2846</v>
      </c>
      <c r="C7380" s="480" t="s">
        <v>2716</v>
      </c>
      <c r="D7380" s="481">
        <v>12.05</v>
      </c>
      <c r="E7380" s="482"/>
      <c r="F7380" s="483" t="s">
        <v>16</v>
      </c>
      <c r="G7380" s="1036"/>
      <c r="H7380" s="483" t="s">
        <v>2892</v>
      </c>
      <c r="I7380" s="484"/>
      <c r="J7380" s="485"/>
      <c r="K7380" s="479"/>
      <c r="L7380" s="483" t="s">
        <v>265</v>
      </c>
      <c r="M7380" s="483">
        <v>12165.6</v>
      </c>
      <c r="N7380" s="486">
        <v>0.45833333333333331</v>
      </c>
      <c r="O7380" s="897" t="s">
        <v>2895</v>
      </c>
    </row>
    <row r="7381" spans="1:15" ht="19.5" thickBot="1" x14ac:dyDescent="0.3">
      <c r="A7381" s="1074"/>
      <c r="B7381" s="645" t="s">
        <v>2846</v>
      </c>
      <c r="C7381" s="646" t="s">
        <v>15</v>
      </c>
      <c r="D7381" s="647">
        <v>5.3390000000000004</v>
      </c>
      <c r="E7381" s="648"/>
      <c r="F7381" s="649" t="s">
        <v>16</v>
      </c>
      <c r="G7381" s="1038"/>
      <c r="H7381" s="649" t="s">
        <v>2892</v>
      </c>
      <c r="I7381" s="651"/>
      <c r="J7381" s="652"/>
      <c r="K7381" s="645"/>
      <c r="L7381" s="649" t="s">
        <v>28</v>
      </c>
      <c r="M7381" s="649">
        <v>5486.38</v>
      </c>
      <c r="N7381" s="653">
        <v>0.45833333333333331</v>
      </c>
      <c r="O7381" s="897" t="s">
        <v>2898</v>
      </c>
    </row>
    <row r="7382" spans="1:15" ht="19.5" thickBot="1" x14ac:dyDescent="0.3">
      <c r="A7382" s="1053">
        <f t="shared" ref="A7382:A7413" si="227">MAX(A7182:A7381)+1</f>
        <v>4519</v>
      </c>
      <c r="B7382" s="552" t="s">
        <v>2846</v>
      </c>
      <c r="C7382" s="553" t="s">
        <v>23</v>
      </c>
      <c r="D7382" s="554">
        <v>17.504999999999999</v>
      </c>
      <c r="E7382" s="555"/>
      <c r="F7382" s="556" t="s">
        <v>16</v>
      </c>
      <c r="G7382" s="1055"/>
      <c r="H7382" s="556" t="s">
        <v>2892</v>
      </c>
      <c r="I7382" s="558"/>
      <c r="J7382" s="559"/>
      <c r="K7382" s="552"/>
      <c r="L7382" s="556" t="s">
        <v>28</v>
      </c>
      <c r="M7382" s="556">
        <v>17596.78</v>
      </c>
      <c r="N7382" s="560">
        <v>0.5</v>
      </c>
      <c r="O7382" s="897" t="s">
        <v>2899</v>
      </c>
    </row>
    <row r="7383" spans="1:15" ht="19.5" thickBot="1" x14ac:dyDescent="0.3">
      <c r="A7383" s="513">
        <f t="shared" si="227"/>
        <v>4520</v>
      </c>
      <c r="B7383" s="514" t="s">
        <v>2851</v>
      </c>
      <c r="C7383" s="515" t="s">
        <v>26</v>
      </c>
      <c r="D7383" s="516">
        <v>14.704000000000001</v>
      </c>
      <c r="E7383" s="517"/>
      <c r="F7383" s="518" t="s">
        <v>30</v>
      </c>
      <c r="G7383" s="519"/>
      <c r="H7383" s="518" t="s">
        <v>2908</v>
      </c>
      <c r="I7383" s="520"/>
      <c r="J7383" s="521"/>
      <c r="K7383" s="514"/>
      <c r="L7383" s="518" t="s">
        <v>265</v>
      </c>
      <c r="M7383" s="518">
        <v>14704.919999999998</v>
      </c>
      <c r="N7383" s="522">
        <v>4.1666666666666664E-2</v>
      </c>
      <c r="O7383" s="897" t="s">
        <v>2909</v>
      </c>
    </row>
    <row r="7384" spans="1:15" ht="19.5" thickBot="1" x14ac:dyDescent="0.3">
      <c r="A7384" s="503">
        <f t="shared" si="227"/>
        <v>4521</v>
      </c>
      <c r="B7384" s="504" t="s">
        <v>2851</v>
      </c>
      <c r="C7384" s="505" t="s">
        <v>26</v>
      </c>
      <c r="D7384" s="506">
        <v>17.597000000000001</v>
      </c>
      <c r="E7384" s="507"/>
      <c r="F7384" s="508" t="s">
        <v>16</v>
      </c>
      <c r="G7384" s="509"/>
      <c r="H7384" s="508" t="s">
        <v>2908</v>
      </c>
      <c r="I7384" s="510"/>
      <c r="J7384" s="511"/>
      <c r="K7384" s="504"/>
      <c r="L7384" s="508" t="s">
        <v>265</v>
      </c>
      <c r="M7384" s="508">
        <v>17766.599999999999</v>
      </c>
      <c r="N7384" s="512">
        <v>4.1666666666666664E-2</v>
      </c>
    </row>
    <row r="7385" spans="1:15" ht="38.25" thickBot="1" x14ac:dyDescent="0.3">
      <c r="A7385" s="513">
        <f t="shared" si="227"/>
        <v>4522</v>
      </c>
      <c r="B7385" s="514" t="s">
        <v>2851</v>
      </c>
      <c r="C7385" s="515" t="s">
        <v>47</v>
      </c>
      <c r="D7385" s="516">
        <v>17.055</v>
      </c>
      <c r="E7385" s="517"/>
      <c r="F7385" s="518" t="s">
        <v>16</v>
      </c>
      <c r="G7385" s="519" t="s">
        <v>1634</v>
      </c>
      <c r="H7385" s="518" t="s">
        <v>2908</v>
      </c>
      <c r="I7385" s="520"/>
      <c r="J7385" s="521"/>
      <c r="K7385" s="514"/>
      <c r="L7385" s="518" t="s">
        <v>28</v>
      </c>
      <c r="M7385" s="518">
        <v>17258.82</v>
      </c>
      <c r="N7385" s="522">
        <v>0.41666666666666669</v>
      </c>
    </row>
    <row r="7386" spans="1:15" ht="38.25" thickBot="1" x14ac:dyDescent="0.3">
      <c r="A7386" s="503">
        <f t="shared" si="227"/>
        <v>4523</v>
      </c>
      <c r="B7386" s="504" t="s">
        <v>2851</v>
      </c>
      <c r="C7386" s="505" t="s">
        <v>23</v>
      </c>
      <c r="D7386" s="506">
        <v>16.55</v>
      </c>
      <c r="E7386" s="507"/>
      <c r="F7386" s="508" t="s">
        <v>16</v>
      </c>
      <c r="G7386" s="509" t="s">
        <v>1633</v>
      </c>
      <c r="H7386" s="508" t="s">
        <v>2908</v>
      </c>
      <c r="I7386" s="510"/>
      <c r="J7386" s="511"/>
      <c r="K7386" s="504"/>
      <c r="L7386" s="508" t="s">
        <v>28</v>
      </c>
      <c r="M7386" s="508">
        <v>16703.239999999998</v>
      </c>
      <c r="N7386" s="512">
        <v>0.45833333333333331</v>
      </c>
    </row>
    <row r="7387" spans="1:15" x14ac:dyDescent="0.25">
      <c r="A7387" s="1073">
        <f t="shared" si="227"/>
        <v>4524</v>
      </c>
      <c r="B7387" s="479" t="s">
        <v>2851</v>
      </c>
      <c r="C7387" s="480" t="s">
        <v>587</v>
      </c>
      <c r="D7387" s="481">
        <v>11.419</v>
      </c>
      <c r="E7387" s="482"/>
      <c r="F7387" s="483" t="s">
        <v>30</v>
      </c>
      <c r="G7387" s="1054"/>
      <c r="H7387" s="483" t="s">
        <v>2908</v>
      </c>
      <c r="I7387" s="484"/>
      <c r="J7387" s="485"/>
      <c r="K7387" s="479"/>
      <c r="L7387" s="483" t="s">
        <v>28</v>
      </c>
      <c r="M7387" s="483">
        <v>11419.76</v>
      </c>
      <c r="N7387" s="486">
        <v>0.41666666666666669</v>
      </c>
    </row>
    <row r="7388" spans="1:15" ht="19.5" thickBot="1" x14ac:dyDescent="0.3">
      <c r="A7388" s="1074"/>
      <c r="B7388" s="645" t="s">
        <v>2851</v>
      </c>
      <c r="C7388" s="646" t="s">
        <v>23</v>
      </c>
      <c r="D7388" s="647">
        <v>1.982</v>
      </c>
      <c r="E7388" s="648"/>
      <c r="F7388" s="649" t="s">
        <v>30</v>
      </c>
      <c r="G7388" s="1057"/>
      <c r="H7388" s="649" t="s">
        <v>2908</v>
      </c>
      <c r="I7388" s="651"/>
      <c r="J7388" s="652"/>
      <c r="K7388" s="645"/>
      <c r="L7388" s="649" t="s">
        <v>28</v>
      </c>
      <c r="M7388" s="649">
        <v>1982.72</v>
      </c>
      <c r="N7388" s="653">
        <v>0.41666666666666669</v>
      </c>
      <c r="O7388" s="897" t="s">
        <v>2914</v>
      </c>
    </row>
    <row r="7389" spans="1:15" ht="19.5" thickBot="1" x14ac:dyDescent="0.3">
      <c r="A7389" s="503">
        <f t="shared" si="227"/>
        <v>4525</v>
      </c>
      <c r="B7389" s="504" t="s">
        <v>2851</v>
      </c>
      <c r="C7389" s="505" t="s">
        <v>26</v>
      </c>
      <c r="D7389" s="506">
        <v>17.548999999999999</v>
      </c>
      <c r="E7389" s="507"/>
      <c r="F7389" s="508" t="s">
        <v>16</v>
      </c>
      <c r="G7389" s="509"/>
      <c r="H7389" s="508" t="s">
        <v>2912</v>
      </c>
      <c r="I7389" s="510"/>
      <c r="J7389" s="511"/>
      <c r="K7389" s="504"/>
      <c r="L7389" s="508" t="s">
        <v>265</v>
      </c>
      <c r="M7389" s="508">
        <v>17744.580000000002</v>
      </c>
      <c r="N7389" s="512">
        <v>4.1666666666666664E-2</v>
      </c>
    </row>
    <row r="7390" spans="1:15" x14ac:dyDescent="0.25">
      <c r="A7390" s="1073">
        <f t="shared" si="227"/>
        <v>4526</v>
      </c>
      <c r="B7390" s="479" t="s">
        <v>2851</v>
      </c>
      <c r="C7390" s="480" t="s">
        <v>15</v>
      </c>
      <c r="D7390" s="481">
        <v>10.916</v>
      </c>
      <c r="E7390" s="482"/>
      <c r="F7390" s="483" t="s">
        <v>16</v>
      </c>
      <c r="G7390" s="1082" t="s">
        <v>2913</v>
      </c>
      <c r="H7390" s="483" t="s">
        <v>2912</v>
      </c>
      <c r="I7390" s="484"/>
      <c r="J7390" s="485"/>
      <c r="K7390" s="479"/>
      <c r="L7390" s="483" t="s">
        <v>28</v>
      </c>
      <c r="M7390" s="483">
        <v>11063.150000000001</v>
      </c>
      <c r="N7390" s="486">
        <v>0.41666666666666669</v>
      </c>
    </row>
    <row r="7391" spans="1:15" ht="19.5" thickBot="1" x14ac:dyDescent="0.3">
      <c r="A7391" s="1074"/>
      <c r="B7391" s="645" t="s">
        <v>2851</v>
      </c>
      <c r="C7391" s="646" t="s">
        <v>20</v>
      </c>
      <c r="D7391" s="647">
        <v>4.0220000000000002</v>
      </c>
      <c r="E7391" s="648"/>
      <c r="F7391" s="649" t="s">
        <v>16</v>
      </c>
      <c r="G7391" s="1083"/>
      <c r="H7391" s="649" t="s">
        <v>2912</v>
      </c>
      <c r="I7391" s="651"/>
      <c r="J7391" s="652"/>
      <c r="K7391" s="645"/>
      <c r="L7391" s="649" t="s">
        <v>28</v>
      </c>
      <c r="M7391" s="649">
        <v>4115.1400000000003</v>
      </c>
      <c r="N7391" s="653">
        <v>0.41666666666666669</v>
      </c>
    </row>
    <row r="7392" spans="1:15" ht="38.25" thickBot="1" x14ac:dyDescent="0.3">
      <c r="A7392" s="503">
        <f t="shared" si="227"/>
        <v>4527</v>
      </c>
      <c r="B7392" s="504" t="s">
        <v>2851</v>
      </c>
      <c r="C7392" s="505" t="s">
        <v>24</v>
      </c>
      <c r="D7392" s="506">
        <v>16.771000000000001</v>
      </c>
      <c r="E7392" s="507"/>
      <c r="F7392" s="508" t="s">
        <v>16</v>
      </c>
      <c r="G7392" s="509" t="s">
        <v>1633</v>
      </c>
      <c r="H7392" s="508" t="s">
        <v>2912</v>
      </c>
      <c r="I7392" s="510"/>
      <c r="J7392" s="511"/>
      <c r="K7392" s="504"/>
      <c r="L7392" s="508" t="s">
        <v>28</v>
      </c>
      <c r="M7392" s="508">
        <v>16905.979999999996</v>
      </c>
      <c r="N7392" s="512">
        <v>0.45833333333333331</v>
      </c>
    </row>
    <row r="7393" spans="1:14" ht="19.5" thickBot="1" x14ac:dyDescent="0.3">
      <c r="A7393" s="513">
        <f t="shared" si="227"/>
        <v>4528</v>
      </c>
      <c r="B7393" s="514" t="s">
        <v>2851</v>
      </c>
      <c r="C7393" s="515" t="s">
        <v>25</v>
      </c>
      <c r="D7393" s="516">
        <v>18.077000000000002</v>
      </c>
      <c r="E7393" s="517"/>
      <c r="F7393" s="518" t="s">
        <v>16</v>
      </c>
      <c r="G7393" s="519"/>
      <c r="H7393" s="518" t="s">
        <v>2912</v>
      </c>
      <c r="I7393" s="520"/>
      <c r="J7393" s="521"/>
      <c r="K7393" s="514"/>
      <c r="L7393" s="518" t="s">
        <v>265</v>
      </c>
      <c r="M7393" s="518">
        <v>18187.610000000004</v>
      </c>
      <c r="N7393" s="522">
        <v>0.5</v>
      </c>
    </row>
    <row r="7394" spans="1:14" x14ac:dyDescent="0.25">
      <c r="A7394" s="1067">
        <f t="shared" si="227"/>
        <v>4529</v>
      </c>
      <c r="B7394" s="531" t="s">
        <v>2851</v>
      </c>
      <c r="C7394" s="532" t="s">
        <v>320</v>
      </c>
      <c r="D7394" s="533">
        <v>2.75</v>
      </c>
      <c r="E7394" s="534"/>
      <c r="F7394" s="535" t="s">
        <v>30</v>
      </c>
      <c r="G7394" s="1058"/>
      <c r="H7394" s="535" t="s">
        <v>2912</v>
      </c>
      <c r="I7394" s="537"/>
      <c r="J7394" s="538"/>
      <c r="K7394" s="531"/>
      <c r="L7394" s="535" t="s">
        <v>266</v>
      </c>
      <c r="M7394" s="535">
        <v>2750.16</v>
      </c>
      <c r="N7394" s="539">
        <v>0.41666666666666669</v>
      </c>
    </row>
    <row r="7395" spans="1:14" ht="19.5" thickBot="1" x14ac:dyDescent="0.3">
      <c r="A7395" s="1068"/>
      <c r="B7395" s="636" t="s">
        <v>2851</v>
      </c>
      <c r="C7395" s="637" t="s">
        <v>47</v>
      </c>
      <c r="D7395" s="638">
        <v>9.5500000000000007</v>
      </c>
      <c r="E7395" s="639"/>
      <c r="F7395" s="640" t="s">
        <v>30</v>
      </c>
      <c r="G7395" s="1056"/>
      <c r="H7395" s="640" t="s">
        <v>2912</v>
      </c>
      <c r="I7395" s="642"/>
      <c r="J7395" s="643"/>
      <c r="K7395" s="636"/>
      <c r="L7395" s="640" t="s">
        <v>28</v>
      </c>
      <c r="M7395" s="640">
        <v>9550.6400000000012</v>
      </c>
      <c r="N7395" s="644">
        <v>0.41666666666666669</v>
      </c>
    </row>
    <row r="7396" spans="1:14" x14ac:dyDescent="0.25">
      <c r="A7396" s="676">
        <f t="shared" si="227"/>
        <v>4530</v>
      </c>
      <c r="B7396" s="676"/>
      <c r="C7396" s="473"/>
      <c r="D7396" s="474"/>
      <c r="E7396" s="475"/>
      <c r="F7396" s="676"/>
      <c r="G7396" s="476"/>
      <c r="H7396" s="676"/>
      <c r="I7396" s="477"/>
      <c r="J7396" s="1052"/>
      <c r="K7396" s="676"/>
      <c r="L7396" s="676"/>
      <c r="M7396" s="676"/>
      <c r="N7396" s="676"/>
    </row>
    <row r="7397" spans="1:14" x14ac:dyDescent="0.25">
      <c r="A7397" s="676">
        <f t="shared" si="227"/>
        <v>4531</v>
      </c>
      <c r="B7397" s="676"/>
      <c r="C7397" s="473"/>
      <c r="D7397" s="474"/>
      <c r="E7397" s="475"/>
      <c r="F7397" s="676"/>
      <c r="G7397" s="476"/>
      <c r="H7397" s="676"/>
      <c r="I7397" s="477"/>
      <c r="J7397" s="1052"/>
      <c r="K7397" s="676"/>
      <c r="L7397" s="676"/>
      <c r="M7397" s="676"/>
      <c r="N7397" s="676"/>
    </row>
    <row r="7398" spans="1:14" x14ac:dyDescent="0.25">
      <c r="A7398" s="676">
        <f t="shared" si="227"/>
        <v>4532</v>
      </c>
      <c r="B7398" s="676"/>
      <c r="C7398" s="473"/>
      <c r="D7398" s="474"/>
      <c r="E7398" s="475"/>
      <c r="F7398" s="676"/>
      <c r="G7398" s="476"/>
      <c r="H7398" s="676"/>
      <c r="I7398" s="477"/>
      <c r="J7398" s="1052"/>
      <c r="K7398" s="676"/>
      <c r="L7398" s="676"/>
      <c r="M7398" s="676"/>
      <c r="N7398" s="676"/>
    </row>
    <row r="7399" spans="1:14" x14ac:dyDescent="0.25">
      <c r="A7399" s="676">
        <f t="shared" si="227"/>
        <v>4533</v>
      </c>
      <c r="B7399" s="676"/>
      <c r="C7399" s="473"/>
      <c r="D7399" s="474"/>
      <c r="E7399" s="475"/>
      <c r="F7399" s="676"/>
      <c r="G7399" s="476"/>
      <c r="H7399" s="676"/>
      <c r="I7399" s="477"/>
      <c r="J7399" s="1052"/>
      <c r="K7399" s="676"/>
      <c r="L7399" s="676"/>
      <c r="M7399" s="676"/>
      <c r="N7399" s="676"/>
    </row>
    <row r="7400" spans="1:14" x14ac:dyDescent="0.25">
      <c r="A7400" s="676">
        <f t="shared" si="227"/>
        <v>4534</v>
      </c>
      <c r="B7400" s="676"/>
      <c r="C7400" s="473"/>
      <c r="D7400" s="474"/>
      <c r="E7400" s="475"/>
      <c r="F7400" s="676"/>
      <c r="G7400" s="476"/>
      <c r="H7400" s="676"/>
      <c r="I7400" s="477"/>
      <c r="J7400" s="1052"/>
      <c r="K7400" s="676"/>
      <c r="L7400" s="676"/>
      <c r="M7400" s="676"/>
      <c r="N7400" s="676"/>
    </row>
    <row r="7401" spans="1:14" x14ac:dyDescent="0.25">
      <c r="A7401" s="676">
        <f t="shared" si="227"/>
        <v>4535</v>
      </c>
      <c r="B7401" s="676"/>
      <c r="C7401" s="473"/>
      <c r="D7401" s="474"/>
      <c r="E7401" s="475"/>
      <c r="F7401" s="676"/>
      <c r="G7401" s="476"/>
      <c r="H7401" s="676"/>
      <c r="I7401" s="477"/>
      <c r="J7401" s="1052"/>
      <c r="K7401" s="676"/>
      <c r="L7401" s="676"/>
      <c r="M7401" s="676"/>
      <c r="N7401" s="676"/>
    </row>
    <row r="7402" spans="1:14" x14ac:dyDescent="0.25">
      <c r="A7402" s="676">
        <f t="shared" si="227"/>
        <v>4536</v>
      </c>
      <c r="B7402" s="676"/>
      <c r="C7402" s="473"/>
      <c r="D7402" s="474"/>
      <c r="E7402" s="475"/>
      <c r="F7402" s="676"/>
      <c r="G7402" s="476"/>
      <c r="H7402" s="676"/>
      <c r="I7402" s="477"/>
      <c r="J7402" s="1052"/>
      <c r="K7402" s="676"/>
      <c r="L7402" s="676"/>
      <c r="M7402" s="676"/>
      <c r="N7402" s="676"/>
    </row>
    <row r="7403" spans="1:14" x14ac:dyDescent="0.25">
      <c r="A7403" s="676">
        <f t="shared" si="227"/>
        <v>4537</v>
      </c>
      <c r="B7403" s="676"/>
      <c r="C7403" s="473"/>
      <c r="D7403" s="474"/>
      <c r="E7403" s="475"/>
      <c r="F7403" s="676"/>
      <c r="G7403" s="476"/>
      <c r="H7403" s="676"/>
      <c r="I7403" s="477"/>
      <c r="J7403" s="1052"/>
      <c r="K7403" s="676"/>
      <c r="L7403" s="676"/>
      <c r="M7403" s="676"/>
      <c r="N7403" s="676"/>
    </row>
    <row r="7404" spans="1:14" x14ac:dyDescent="0.25">
      <c r="A7404" s="676">
        <f t="shared" si="227"/>
        <v>4538</v>
      </c>
      <c r="B7404" s="676"/>
      <c r="C7404" s="473"/>
      <c r="D7404" s="474"/>
      <c r="E7404" s="475"/>
      <c r="F7404" s="676"/>
      <c r="G7404" s="476"/>
      <c r="H7404" s="676"/>
      <c r="I7404" s="477"/>
      <c r="J7404" s="1052"/>
      <c r="K7404" s="676"/>
      <c r="L7404" s="676"/>
      <c r="M7404" s="676"/>
      <c r="N7404" s="676"/>
    </row>
    <row r="7405" spans="1:14" x14ac:dyDescent="0.25">
      <c r="A7405" s="676">
        <f t="shared" si="227"/>
        <v>4539</v>
      </c>
      <c r="B7405" s="676"/>
      <c r="C7405" s="473"/>
      <c r="D7405" s="474"/>
      <c r="E7405" s="475"/>
      <c r="F7405" s="676"/>
      <c r="G7405" s="476"/>
      <c r="H7405" s="676"/>
      <c r="I7405" s="477"/>
      <c r="J7405" s="1052"/>
      <c r="K7405" s="676"/>
      <c r="L7405" s="676"/>
      <c r="M7405" s="676"/>
      <c r="N7405" s="676"/>
    </row>
    <row r="7406" spans="1:14" x14ac:dyDescent="0.25">
      <c r="A7406" s="676">
        <f t="shared" si="227"/>
        <v>4540</v>
      </c>
      <c r="B7406" s="676"/>
      <c r="C7406" s="473"/>
      <c r="D7406" s="474"/>
      <c r="E7406" s="475"/>
      <c r="F7406" s="676"/>
      <c r="G7406" s="476"/>
      <c r="H7406" s="676"/>
      <c r="I7406" s="477"/>
      <c r="J7406" s="1052"/>
      <c r="K7406" s="676"/>
      <c r="L7406" s="676"/>
      <c r="M7406" s="676"/>
      <c r="N7406" s="676"/>
    </row>
    <row r="7407" spans="1:14" x14ac:dyDescent="0.25">
      <c r="A7407" s="676">
        <f t="shared" si="227"/>
        <v>4541</v>
      </c>
      <c r="B7407" s="676"/>
      <c r="C7407" s="473"/>
      <c r="D7407" s="474"/>
      <c r="E7407" s="475"/>
      <c r="F7407" s="676"/>
      <c r="G7407" s="476"/>
      <c r="H7407" s="676"/>
      <c r="I7407" s="477"/>
      <c r="J7407" s="1052"/>
      <c r="K7407" s="676"/>
      <c r="L7407" s="676"/>
      <c r="M7407" s="676"/>
      <c r="N7407" s="676"/>
    </row>
    <row r="7408" spans="1:14" x14ac:dyDescent="0.25">
      <c r="A7408" s="676">
        <f t="shared" si="227"/>
        <v>4542</v>
      </c>
      <c r="B7408" s="676"/>
      <c r="C7408" s="473"/>
      <c r="D7408" s="474"/>
      <c r="E7408" s="475"/>
      <c r="F7408" s="676"/>
      <c r="G7408" s="476"/>
      <c r="H7408" s="676"/>
      <c r="I7408" s="477"/>
      <c r="J7408" s="1052"/>
      <c r="K7408" s="676"/>
      <c r="L7408" s="676"/>
      <c r="M7408" s="676"/>
      <c r="N7408" s="676"/>
    </row>
    <row r="7409" spans="1:14" x14ac:dyDescent="0.25">
      <c r="A7409" s="676">
        <f t="shared" si="227"/>
        <v>4543</v>
      </c>
      <c r="B7409" s="676"/>
      <c r="C7409" s="473"/>
      <c r="D7409" s="474"/>
      <c r="E7409" s="475"/>
      <c r="F7409" s="676"/>
      <c r="G7409" s="476"/>
      <c r="H7409" s="676"/>
      <c r="I7409" s="477"/>
      <c r="J7409" s="1052"/>
      <c r="K7409" s="676"/>
      <c r="L7409" s="676"/>
      <c r="M7409" s="676"/>
      <c r="N7409" s="676"/>
    </row>
    <row r="7410" spans="1:14" x14ac:dyDescent="0.25">
      <c r="A7410" s="676">
        <f t="shared" si="227"/>
        <v>4544</v>
      </c>
      <c r="B7410" s="676"/>
      <c r="C7410" s="473"/>
      <c r="D7410" s="474"/>
      <c r="E7410" s="475"/>
      <c r="F7410" s="676"/>
      <c r="G7410" s="476"/>
      <c r="H7410" s="676"/>
      <c r="I7410" s="477"/>
      <c r="J7410" s="1052"/>
      <c r="K7410" s="676"/>
      <c r="L7410" s="676"/>
      <c r="M7410" s="676"/>
      <c r="N7410" s="676"/>
    </row>
    <row r="7411" spans="1:14" x14ac:dyDescent="0.25">
      <c r="A7411" s="676">
        <f t="shared" si="227"/>
        <v>4545</v>
      </c>
      <c r="B7411" s="676"/>
      <c r="C7411" s="473"/>
      <c r="D7411" s="474"/>
      <c r="E7411" s="475"/>
      <c r="F7411" s="676"/>
      <c r="G7411" s="476"/>
      <c r="H7411" s="676"/>
      <c r="I7411" s="477"/>
      <c r="J7411" s="1052"/>
      <c r="K7411" s="676"/>
      <c r="L7411" s="676"/>
      <c r="M7411" s="676"/>
      <c r="N7411" s="676"/>
    </row>
    <row r="7412" spans="1:14" x14ac:dyDescent="0.25">
      <c r="A7412" s="676">
        <f t="shared" si="227"/>
        <v>4546</v>
      </c>
      <c r="B7412" s="676"/>
      <c r="C7412" s="473"/>
      <c r="D7412" s="474"/>
      <c r="E7412" s="475"/>
      <c r="F7412" s="676"/>
      <c r="G7412" s="476"/>
      <c r="H7412" s="676"/>
      <c r="I7412" s="477"/>
      <c r="J7412" s="1052"/>
      <c r="K7412" s="676"/>
      <c r="L7412" s="676"/>
      <c r="M7412" s="676"/>
      <c r="N7412" s="676"/>
    </row>
    <row r="7413" spans="1:14" x14ac:dyDescent="0.25">
      <c r="A7413" s="676">
        <f t="shared" si="227"/>
        <v>4547</v>
      </c>
      <c r="B7413" s="676"/>
      <c r="C7413" s="473"/>
      <c r="D7413" s="474"/>
      <c r="E7413" s="475"/>
      <c r="F7413" s="676"/>
      <c r="G7413" s="476"/>
      <c r="H7413" s="676"/>
      <c r="I7413" s="477"/>
      <c r="J7413" s="1052"/>
      <c r="K7413" s="676"/>
      <c r="L7413" s="676"/>
      <c r="M7413" s="676"/>
      <c r="N7413" s="676"/>
    </row>
  </sheetData>
  <autoFilter ref="A2:R7395" xr:uid="{9E4C531E-AD50-422A-AC7C-8C5AF4C19268}">
    <filterColumn colId="10">
      <filters blank="1"/>
    </filterColumn>
  </autoFilter>
  <mergeCells count="1966">
    <mergeCell ref="A7394:A7395"/>
    <mergeCell ref="A7364:A7366"/>
    <mergeCell ref="A7367:A7370"/>
    <mergeCell ref="A7350:A7353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376:A7377"/>
    <mergeCell ref="A7378:A7379"/>
    <mergeCell ref="A7380:A7381"/>
    <mergeCell ref="A7372:A7374"/>
    <mergeCell ref="G7281:G7282"/>
    <mergeCell ref="A7338:A7340"/>
    <mergeCell ref="A7341:A7342"/>
    <mergeCell ref="A7344:A7345"/>
    <mergeCell ref="A7356:A7357"/>
    <mergeCell ref="G7367:G7370"/>
    <mergeCell ref="A7358:A7359"/>
    <mergeCell ref="A7281:A7282"/>
    <mergeCell ref="A7296:A7297"/>
    <mergeCell ref="A7328:A7329"/>
    <mergeCell ref="A7387:A7388"/>
    <mergeCell ref="A7390:A7391"/>
    <mergeCell ref="G7390:G7391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2026-09-25T13:33:54Z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