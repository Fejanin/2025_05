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513FBA4-4F70-400E-9B1F-31CF87784F9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Лист1!$A$2:$N$6730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693" i="1" l="1"/>
  <c r="A669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s="1"/>
  <c r="A6677" i="1" l="1"/>
  <c r="A6678" i="1" l="1"/>
  <c r="A6680" i="1"/>
  <c r="A6682" i="1" s="1"/>
  <c r="A6684" i="1" s="1"/>
  <c r="A6688" i="1" l="1"/>
  <c r="A6691" i="1" l="1"/>
  <c r="A6698" i="1" s="1"/>
  <c r="A6700" i="1" l="1"/>
  <c r="A6703" i="1" s="1"/>
  <c r="A6706" i="1" l="1"/>
  <c r="A6707" i="1" l="1"/>
  <c r="A6708" i="1" l="1"/>
  <c r="A6711" i="1" l="1"/>
  <c r="A6712" i="1" l="1"/>
  <c r="A6713" i="1" l="1"/>
  <c r="A6714" i="1" l="1"/>
  <c r="A6715" i="1" l="1"/>
  <c r="A6717" i="1" l="1"/>
  <c r="A6718" i="1" s="1"/>
  <c r="A6719" i="1" s="1"/>
  <c r="A6720" i="1" s="1"/>
  <c r="A6722" i="1" s="1"/>
  <c r="A6724" i="1" s="1"/>
  <c r="A6726" i="1" l="1"/>
  <c r="A6727" i="1" s="1"/>
  <c r="A6728" i="1" s="1"/>
  <c r="A6729" i="1" s="1"/>
  <c r="A6730" i="1" s="1"/>
</calcChain>
</file>

<file path=xl/sharedStrings.xml><?xml version="1.0" encoding="utf-8"?>
<sst xmlns="http://schemas.openxmlformats.org/spreadsheetml/2006/main" count="42330" uniqueCount="1636">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</sst>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1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9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30"/>
  <sheetViews>
    <sheetView tabSelected="1" zoomScale="85" zoomScaleNormal="85" workbookViewId="0">
      <pane ySplit="2" topLeftCell="A6716" activePane="bottomLeft" state="frozen"/>
      <selection pane="bottomLeft" activeCell="O6726" sqref="O672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34.28515625" style="758" customWidth="1"/>
    <col min="17" max="1021" width="9.140625" style="2"/>
  </cols>
  <sheetData>
    <row r="1" spans="1:16" ht="19.5" customHeight="1" thickBot="1" x14ac:dyDescent="0.3">
      <c r="A1" s="875" t="s">
        <v>0</v>
      </c>
      <c r="B1" s="875"/>
      <c r="C1" s="875"/>
      <c r="D1" s="875"/>
      <c r="E1" s="875"/>
      <c r="F1" s="875"/>
      <c r="G1" s="875"/>
      <c r="H1" s="875"/>
      <c r="I1" s="875"/>
      <c r="J1" s="875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76">
        <v>1</v>
      </c>
      <c r="B3" s="87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76"/>
      <c r="B4" s="87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72">
        <v>3</v>
      </c>
      <c r="B6" s="87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72"/>
      <c r="B7" s="87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72"/>
      <c r="B8" s="87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72">
        <v>5</v>
      </c>
      <c r="B10" s="87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72"/>
      <c r="B11" s="87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71">
        <v>8</v>
      </c>
      <c r="B14" s="87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71"/>
      <c r="B15" s="87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72">
        <v>11</v>
      </c>
      <c r="B18" s="87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72"/>
      <c r="B19" s="87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72"/>
      <c r="B20" s="87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72"/>
      <c r="B21" s="87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72">
        <v>13</v>
      </c>
      <c r="B23" s="87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72"/>
      <c r="B24" s="87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71">
        <v>14</v>
      </c>
      <c r="B25" s="87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71"/>
      <c r="B26" s="87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72">
        <v>15</v>
      </c>
      <c r="B27" s="87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72"/>
      <c r="B28" s="87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72"/>
      <c r="B29" s="87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72"/>
      <c r="B30" s="87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71">
        <v>16</v>
      </c>
      <c r="B31" s="87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71"/>
      <c r="B32" s="87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71"/>
      <c r="B33" s="87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71"/>
      <c r="B34" s="87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72">
        <v>17</v>
      </c>
      <c r="B35" s="87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72"/>
      <c r="B36" s="87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72">
        <v>21</v>
      </c>
      <c r="B40" s="87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72"/>
      <c r="B41" s="87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72">
        <v>23</v>
      </c>
      <c r="B43" s="87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72"/>
      <c r="B44" s="87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72"/>
      <c r="B45" s="87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71">
        <v>24</v>
      </c>
      <c r="B46" s="87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71"/>
      <c r="B47" s="87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72">
        <v>25</v>
      </c>
      <c r="B48" s="87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72"/>
      <c r="B49" s="87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72"/>
      <c r="B50" s="87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71">
        <v>26</v>
      </c>
      <c r="B51" s="87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71"/>
      <c r="B52" s="87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72">
        <v>29</v>
      </c>
      <c r="B55" s="87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72"/>
      <c r="B56" s="87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71">
        <v>32</v>
      </c>
      <c r="B59" s="87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71"/>
      <c r="B60" s="87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71">
        <v>34</v>
      </c>
      <c r="B62" s="87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71"/>
      <c r="B63" s="87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71"/>
      <c r="B64" s="87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71"/>
      <c r="B65" s="87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71"/>
      <c r="B66" s="87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72">
        <v>35</v>
      </c>
      <c r="B67" s="87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72"/>
      <c r="B68" s="87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60">
        <v>40</v>
      </c>
      <c r="B73" s="87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60"/>
      <c r="B74" s="87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61">
        <v>41</v>
      </c>
      <c r="B75" s="87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61"/>
      <c r="B76" s="87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61"/>
      <c r="B77" s="87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60">
        <v>42</v>
      </c>
      <c r="B78" s="87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60"/>
      <c r="B79" s="87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61">
        <v>49</v>
      </c>
      <c r="B86" s="87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61"/>
      <c r="B87" s="87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61"/>
      <c r="B88" s="87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60">
        <v>50</v>
      </c>
      <c r="B89" s="87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60"/>
      <c r="B90" s="87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61">
        <v>51</v>
      </c>
      <c r="B91" s="87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61"/>
      <c r="B92" s="87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61">
        <v>53</v>
      </c>
      <c r="B94" s="87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61"/>
      <c r="B95" s="87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60">
        <v>54</v>
      </c>
      <c r="B96" s="87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60"/>
      <c r="B97" s="87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60"/>
      <c r="B98" s="87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60">
        <v>58</v>
      </c>
      <c r="B102" s="87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60"/>
      <c r="B103" s="87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60">
        <v>60</v>
      </c>
      <c r="B105" s="87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60"/>
      <c r="B106" s="87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60"/>
      <c r="B107" s="87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61">
        <v>61</v>
      </c>
      <c r="B108" s="87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61"/>
      <c r="B109" s="87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61"/>
      <c r="B110" s="87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60">
        <v>64</v>
      </c>
      <c r="B113" s="87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60"/>
      <c r="B114" s="87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60">
        <v>66</v>
      </c>
      <c r="B116" s="87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60"/>
      <c r="B117" s="87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61">
        <v>67</v>
      </c>
      <c r="B118" s="87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61"/>
      <c r="B119" s="87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61"/>
      <c r="B120" s="87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60">
        <v>68</v>
      </c>
      <c r="B121" s="87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60"/>
      <c r="B122" s="87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61">
        <v>69</v>
      </c>
      <c r="B123" s="87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61"/>
      <c r="B124" s="87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60">
        <v>72</v>
      </c>
      <c r="B127" s="871" t="s">
        <v>65</v>
      </c>
      <c r="C127" s="119" t="s">
        <v>26</v>
      </c>
      <c r="D127" s="120">
        <v>3.3</v>
      </c>
      <c r="E127" s="121"/>
      <c r="F127" s="122" t="s">
        <v>30</v>
      </c>
      <c r="G127" s="86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60"/>
      <c r="B128" s="871"/>
      <c r="C128" s="103" t="s">
        <v>26</v>
      </c>
      <c r="D128" s="88">
        <v>12.9</v>
      </c>
      <c r="E128" s="106"/>
      <c r="F128" s="107" t="s">
        <v>16</v>
      </c>
      <c r="G128" s="86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60">
        <v>76</v>
      </c>
      <c r="B132" s="87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60"/>
      <c r="B133" s="87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60"/>
      <c r="B134" s="87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60"/>
      <c r="B135" s="87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60">
        <v>78</v>
      </c>
      <c r="B137" s="87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60"/>
      <c r="B138" s="87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7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7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6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6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6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6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6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6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6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6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6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6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6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6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6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6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6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6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6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6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6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6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6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6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6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6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6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6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6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6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6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6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6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6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6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6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6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6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6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6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6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6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6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6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6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6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6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6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6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6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6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6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6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6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6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6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6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6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6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6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6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6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6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6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6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6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6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6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6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6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6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6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6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6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6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6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6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6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6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6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6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19.5" hidden="1" thickBot="1" x14ac:dyDescent="0.3">
      <c r="A236" s="86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6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6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6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6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6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6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6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6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6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6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6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6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6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6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6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6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6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6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6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6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6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78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6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78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6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6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6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6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6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6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6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6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6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6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6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6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6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6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6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6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6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6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6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6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6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6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6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6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6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6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6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6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6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6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6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6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6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6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6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6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6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6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6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6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6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6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6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6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6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6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6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6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6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6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6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6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6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6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6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6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6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6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6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6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6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6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6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6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6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6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6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6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6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6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6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6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6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6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6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6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6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6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6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6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6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6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6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6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6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6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6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6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6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6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6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6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6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6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6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6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6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6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6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6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6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6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6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6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6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6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6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6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6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6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6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6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6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6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6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6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6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6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79" t="s">
        <v>133</v>
      </c>
      <c r="J420" s="879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6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6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6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6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6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6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6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6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6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6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6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6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6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6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19.5" hidden="1" thickBot="1" x14ac:dyDescent="0.3">
      <c r="A437" s="86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6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6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6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6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6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6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6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6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6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6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6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6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6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6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6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6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6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6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6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6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6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8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8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8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6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6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6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6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6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6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6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6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6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6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19.5" hidden="1" thickBot="1" x14ac:dyDescent="0.3">
      <c r="A482" s="86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6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6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6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6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6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6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6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6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6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6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6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6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6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6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6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6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6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81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6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81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6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81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6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81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6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81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6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6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6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6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6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6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6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6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6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6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6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6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6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6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6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6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6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6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6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6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6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6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6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6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6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6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6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6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6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6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6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6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6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6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6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6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6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6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6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6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6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6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6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6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6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6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6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6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6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6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6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6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6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6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6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6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6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6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6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6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6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6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19.5" hidden="1" thickBot="1" x14ac:dyDescent="0.3">
      <c r="A578" s="86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6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6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6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6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6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6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6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6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6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6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6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6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6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6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6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6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6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6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6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6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6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6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6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6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6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6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6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6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6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6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6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6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6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6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6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6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6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6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6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6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6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6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19.5" hidden="1" thickBot="1" x14ac:dyDescent="0.3">
      <c r="A630" s="86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6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6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6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6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6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6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6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6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6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6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6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6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6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6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6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6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6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6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6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6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6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6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82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6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82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6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6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6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6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6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6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6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6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6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6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6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6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6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19.5" hidden="1" thickBot="1" x14ac:dyDescent="0.3">
      <c r="A675" s="86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6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6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6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6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6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6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6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6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6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6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6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6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6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6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6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6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6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6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7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7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7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6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6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6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7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7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6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6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6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7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7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6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6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6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6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6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6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6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6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6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6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6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6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6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6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6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6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6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6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6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19.5" hidden="1" thickBot="1" x14ac:dyDescent="0.3">
      <c r="A732" s="86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19.5" hidden="1" thickBot="1" x14ac:dyDescent="0.3">
      <c r="A733" s="86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6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83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6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83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6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6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6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6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6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6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6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6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6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6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6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6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6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6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6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6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6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6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6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6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6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6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6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6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6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6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6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6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6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6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6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6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6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6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6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6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6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6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6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6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6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6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6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6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6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6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6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6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6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6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6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6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6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6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6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6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6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6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6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6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6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6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6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6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6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6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6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6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6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6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6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6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6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6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6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6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6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6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6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6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6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6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6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6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6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6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6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6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6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6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6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6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6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6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6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6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6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6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6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6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6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6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6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6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6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6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6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6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6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6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6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6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6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6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6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6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6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6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6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6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6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6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6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6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6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6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6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6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6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6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6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6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6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6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6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6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6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6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6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6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6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6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6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6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6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6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6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6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6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19.5" hidden="1" thickBot="1" x14ac:dyDescent="0.3">
      <c r="A920" s="86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6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6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6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6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6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6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6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6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6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6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6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6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6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6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6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6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6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6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6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6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6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6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19.5" hidden="1" thickBot="1" x14ac:dyDescent="0.3">
      <c r="A943" s="86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6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6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6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6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6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6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6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6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6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6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6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6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6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6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6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6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6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6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6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6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6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6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6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6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6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19.5" hidden="1" thickBot="1" x14ac:dyDescent="0.3">
      <c r="A973" s="86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6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6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6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6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6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6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6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6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6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6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6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6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6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6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6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6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6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6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6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6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6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6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19.5" hidden="1" thickBot="1" x14ac:dyDescent="0.3">
      <c r="A996" s="86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6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6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6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6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6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8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8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6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6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6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6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6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6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6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6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6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6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6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6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6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6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6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6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6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6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6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6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6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6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6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6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6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6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6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6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6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6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6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6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6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6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6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6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6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6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6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6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6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6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6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6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6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6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6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6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6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6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6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6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6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6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6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6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6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6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6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6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6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6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6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6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6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6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6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6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6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6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6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6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6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6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6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6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6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6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6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6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6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6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6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6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6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6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6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6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6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6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6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6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6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6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6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6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6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6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6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6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6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6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6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6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6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6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6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6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6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6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6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6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6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6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6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6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6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6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6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6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6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6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6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6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6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6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6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6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6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6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6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6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6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6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6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6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6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6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6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6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6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6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6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6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6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6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6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6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6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6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6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6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6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6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6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6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6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6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6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6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6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6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6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6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6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6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6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6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6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6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6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6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6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6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6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6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6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6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6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6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6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6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6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6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6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6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6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6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6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6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6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6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6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6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6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6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6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6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6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6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6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6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6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6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6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6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6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6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6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6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6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6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6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6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6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6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6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6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6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6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6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6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6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6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6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6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6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6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6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6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6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6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6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6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6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6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6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6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6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6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6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6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6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6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6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6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6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6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6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6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6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6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6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6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6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6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6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6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6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8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6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8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6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6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6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6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6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6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6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6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6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6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6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6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6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6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6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6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6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6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6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6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6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6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6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6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6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6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6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6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6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6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6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6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6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6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6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6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6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6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6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6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6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6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6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6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6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6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6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6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6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6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6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6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6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6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6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6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6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6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6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6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6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6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6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6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6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6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6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6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6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6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6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6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6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6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6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6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6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6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6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6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6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6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6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6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6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6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6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6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6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6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6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6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6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6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6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6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6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6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6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6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6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6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6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6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6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6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6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6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6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6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6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6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6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6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6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6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6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6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6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6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6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6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6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6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6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6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6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6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6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6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6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6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6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6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6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6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6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6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6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6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6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6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6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6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6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6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6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6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6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6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6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6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6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6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6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6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6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6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6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6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6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6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6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6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6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6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6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6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6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6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6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6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6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6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6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6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6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6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6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6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6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6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6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6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6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6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6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6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6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6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6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6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6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6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6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6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6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6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6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6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6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6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6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6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6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6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6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6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6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6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6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6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6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6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6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6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6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6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6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6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6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6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6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6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6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6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6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6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6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6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6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6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6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6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6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6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6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6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6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6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6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6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6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6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6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6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6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6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6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6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6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6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6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6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6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6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6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6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6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6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6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6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6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6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6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6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6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6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6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6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6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6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6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6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6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6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6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6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6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6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6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6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6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6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6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6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6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6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6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6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6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6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6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6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6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6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6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6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6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6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6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6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6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6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6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6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6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6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6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6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6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6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6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6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6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6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6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6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6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6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6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6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6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6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6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6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6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6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6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6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6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6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6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6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6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6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6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6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6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6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6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6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6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6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6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6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6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6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6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6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6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6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6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6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6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6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6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6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6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6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6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6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6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6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6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6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6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6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6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6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6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6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6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6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6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6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6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6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6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6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6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6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6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6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6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6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6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6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6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6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6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6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6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6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6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6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6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6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6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6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6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6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6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6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6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6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6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6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6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6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6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6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6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6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6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6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6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6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6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6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6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6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6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6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6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6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6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6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6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6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6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6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6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6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6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6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6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6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6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6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6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6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6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6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6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6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6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8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8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8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6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6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6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6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6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6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6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6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6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6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6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6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6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6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6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6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6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6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6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6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6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6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6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6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6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6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6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6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6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6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6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6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6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6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6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6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6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6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6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6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6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6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6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6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6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6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6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6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6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6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6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6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6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6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6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6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6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6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6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6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6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6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6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6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6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6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6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6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6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6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6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6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6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6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6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6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6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6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6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6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6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6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6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6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6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6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6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6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6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6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6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6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6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6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6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6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6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6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6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6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6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6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8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86" t="s">
        <v>467</v>
      </c>
      <c r="H2160" s="414" t="s">
        <v>515</v>
      </c>
      <c r="I2160" s="415" t="s">
        <v>516</v>
      </c>
      <c r="J2160" s="88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8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86"/>
      <c r="H2161" s="421" t="s">
        <v>515</v>
      </c>
      <c r="I2161" s="422" t="s">
        <v>516</v>
      </c>
      <c r="J2161" s="88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8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86"/>
      <c r="H2162" s="429" t="s">
        <v>515</v>
      </c>
      <c r="I2162" s="430" t="s">
        <v>516</v>
      </c>
      <c r="J2162" s="88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8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86" t="s">
        <v>467</v>
      </c>
      <c r="H2165" s="414" t="s">
        <v>516</v>
      </c>
      <c r="I2165" s="415" t="s">
        <v>516</v>
      </c>
      <c r="J2165" s="88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8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86"/>
      <c r="H2166" s="429" t="s">
        <v>516</v>
      </c>
      <c r="I2166" s="430" t="s">
        <v>516</v>
      </c>
      <c r="J2166" s="88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6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6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6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6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6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6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6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6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6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6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6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6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6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6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6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6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6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6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6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6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6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6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6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8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6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8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6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7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6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7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6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6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6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6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6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6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6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6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6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6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6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6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6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6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6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6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6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6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6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6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6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6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6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6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6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6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6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6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6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6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6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6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6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6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6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6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6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6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6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6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6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6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6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6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6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6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6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6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6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6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6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6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6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6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6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6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6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6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6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6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6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6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6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6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6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6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8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8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6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6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6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6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6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6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6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6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6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6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6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6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6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6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6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6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6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6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6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6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6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6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6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6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6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6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6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6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6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6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6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6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6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6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6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6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6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6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6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6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6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6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6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6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6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6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6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6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6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6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6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6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6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6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6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6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6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6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6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6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6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6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6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6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6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6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6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6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6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6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6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6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8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8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6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6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6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6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6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6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6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6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6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6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6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6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6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6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6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6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6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6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8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8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6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6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6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6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6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6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6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6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6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6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6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6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6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6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6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6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6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8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8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8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6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6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6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6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6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6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6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6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6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6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6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6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6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6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6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6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8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8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8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8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6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6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6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6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8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8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6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6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6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6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6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6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6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6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6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6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6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6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6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6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6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6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8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9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8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9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6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6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6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6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6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6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6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6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6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6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6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6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6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6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6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6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6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8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8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6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6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6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6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8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9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8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9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6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6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6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6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6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6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6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6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6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6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6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6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6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6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6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6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6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6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6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6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6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6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6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6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6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6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6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6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6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6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6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6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6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6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6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6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8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8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8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6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6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6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6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6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6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6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6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6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6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6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6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6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6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6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6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6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9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9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6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6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6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6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6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6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6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6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6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6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6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6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6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6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8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8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8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8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8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8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6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6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6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6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6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6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6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6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6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6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6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6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6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6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6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6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6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6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6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6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6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6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6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6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6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6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6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8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8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8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8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6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6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6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6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6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6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6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6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6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6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6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6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6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6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6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6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6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6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8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8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8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8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8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6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6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6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6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6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6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6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6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8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8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6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6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6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6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6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6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6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6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6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6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6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6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9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6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9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6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6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6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6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6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6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6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6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6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6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6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8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8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6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6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6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6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6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6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6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6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6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6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6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6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6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6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6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6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6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6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6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6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6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6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6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6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6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6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6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6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6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8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8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6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6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6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6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6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6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6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8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8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8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6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6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6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6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6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6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6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6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6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6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6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6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6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6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6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6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6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6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6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8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8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6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6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6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6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8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8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6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6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6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6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6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6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6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6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6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6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6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6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6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6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8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6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8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6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6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6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6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6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6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6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6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8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8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8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6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6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6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6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6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6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6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6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6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6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6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6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6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6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6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6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6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6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6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6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6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6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6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6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6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6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6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6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6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6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6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6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6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6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6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6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6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6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6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6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6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6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6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6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6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6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6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6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6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8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8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8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8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8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6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6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6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6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6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6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6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6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6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6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6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6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6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6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6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6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6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6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6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6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6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6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6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6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6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6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6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6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6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6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6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8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8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6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6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6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6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6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6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6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6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6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6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6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6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6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6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6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6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6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6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6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6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6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6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6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6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6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6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6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6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6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6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6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6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6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6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6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6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6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6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6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6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6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6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6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6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6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6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6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6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6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6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6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6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6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6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6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6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6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6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6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6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6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6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6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6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6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6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6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6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6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6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6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6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6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6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6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6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6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6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6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6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6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6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6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6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6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6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6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6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6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6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6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6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6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6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6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6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6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6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8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8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6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6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6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6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6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6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8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9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8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9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8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9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8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9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8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9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8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9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6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6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6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6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6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6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6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6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8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8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8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8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6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6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6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6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6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6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6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6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6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6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6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6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8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8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8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6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6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6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6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6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6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6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6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6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6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6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6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6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6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6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6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6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6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8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8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8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6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6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6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6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6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6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6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6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6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6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6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6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6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8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8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6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6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6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6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6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6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6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6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6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6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6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6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6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6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6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8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8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8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6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6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6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6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6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6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6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6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6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6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6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6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6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8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8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8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6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6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6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6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6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6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8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8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8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8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8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8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8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8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6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6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6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6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6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6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8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6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8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6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6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6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6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6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6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6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6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6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6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6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6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6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6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8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8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8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8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8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8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6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6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6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6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6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6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6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6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6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6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6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6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6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6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6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6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6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6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6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6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6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6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8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8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6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6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6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6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6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6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6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6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6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6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6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8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9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8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9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8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9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6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6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6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6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6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6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6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6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6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6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6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6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6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6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6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6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6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6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6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6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6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6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6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6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6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6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8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8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6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6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6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6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6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6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6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6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6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6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6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6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6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6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6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6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6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6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6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6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6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6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6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6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6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6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6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6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6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6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6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6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6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6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6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6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6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6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6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6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6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6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4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5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5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5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84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5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5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5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5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5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5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5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84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84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9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84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5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9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9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84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5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5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5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84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84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84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84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84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9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84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84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5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5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5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5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5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84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5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9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84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9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84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5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9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84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5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5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9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84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5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84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84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84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84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84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84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84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5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5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5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5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5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84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84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5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9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9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84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5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9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9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84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9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84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84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5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84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9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84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84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5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9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84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84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84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84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84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84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84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84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84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9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84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5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9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84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9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84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84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5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5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9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4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5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9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9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84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84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84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9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84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5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9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84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5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5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5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5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5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84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84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84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5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9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84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5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9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84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84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84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5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9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84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84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84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84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84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84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5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9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84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5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5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5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84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84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84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84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84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84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84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84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84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9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84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5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5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5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9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9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84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5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9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84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84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84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5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5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4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5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9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9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84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84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84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84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9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84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9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84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84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84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84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84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84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84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9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84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5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9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84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84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9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84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84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5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9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9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84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84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84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5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9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84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84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9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84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84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9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84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5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84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84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84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84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84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84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84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9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84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9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84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84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84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84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5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5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5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5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9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84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9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84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84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84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84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84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84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84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84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84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84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9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84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5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9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9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84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84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4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5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5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9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84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84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4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5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5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5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9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9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84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5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9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4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9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84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4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5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5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5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5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5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84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4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9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84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84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4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5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5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9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84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4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5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9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9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4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9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84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84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84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4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5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84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84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84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84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84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84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84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84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9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84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5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84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5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9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84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5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5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5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5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5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9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84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84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84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84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84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5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9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84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9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84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84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5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9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84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9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9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90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84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5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5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5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5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9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84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84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5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9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84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84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9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84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9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84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84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4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84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5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4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84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4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84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5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4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55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84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5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84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5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4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5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84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5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5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5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5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84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4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84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4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84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5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4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84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4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84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5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5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84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5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84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5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4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5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84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4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84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84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4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84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5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4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84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84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84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84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84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84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4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84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84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4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84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5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5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4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84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4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84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5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5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4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84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4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84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84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84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84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4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84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84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84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84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84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84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4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84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84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4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84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4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84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4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84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4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84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5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4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84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4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84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4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84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84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4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84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5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5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5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4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84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5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84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4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84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4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84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4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84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5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4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84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84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84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4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84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5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4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4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5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4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55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84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84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4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84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84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4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84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5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5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4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84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4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84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5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84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5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84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5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4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5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84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5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4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84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4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84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84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4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84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4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84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84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84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84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5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4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5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84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4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84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84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4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84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4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84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4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84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84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84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4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84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84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84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84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84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84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5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4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84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5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5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5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5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5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4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55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84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4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84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4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84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4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84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84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4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84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4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84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5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4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5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84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84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84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84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84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84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84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4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84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5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84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84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4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84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4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84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5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4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84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84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4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84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5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4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84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84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4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84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4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84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4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84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84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4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84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5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5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4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84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5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84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5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84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5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4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84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4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84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5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5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5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84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4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84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4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84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84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84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4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84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4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84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4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84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4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84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4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84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84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84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5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5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4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84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4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84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5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5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4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84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4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84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4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84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5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4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84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84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4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84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84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4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84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84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4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84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4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84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5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5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4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84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5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84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5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84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4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84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4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84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4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84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4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84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4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84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5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4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84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4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84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4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84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84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4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84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5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4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84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4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84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4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84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5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84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84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4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84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5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4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84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4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84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4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84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4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84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4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84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4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84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5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4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84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84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4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84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84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4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84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4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84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84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4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4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5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5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5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4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55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84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84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4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84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4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84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4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84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5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4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84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4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84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84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84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5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5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4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84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4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4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5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4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55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84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4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84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84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84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4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84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5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5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4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84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84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84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4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84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4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84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5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4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84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84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4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84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4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84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84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4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84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4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84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4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84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4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84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84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4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5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5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84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84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4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4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84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84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84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4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4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4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84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4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4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4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4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5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4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55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84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5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4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84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84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4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84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5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4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84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84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84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4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84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5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84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4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84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4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84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5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84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5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84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5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4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5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84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84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4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84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5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4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5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4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5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4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5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4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84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84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4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4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5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4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55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4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4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84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84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84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84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84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4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84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5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5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5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84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4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84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4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84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4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84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4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4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5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4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55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84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5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4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84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84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4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84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5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4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5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84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4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84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5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84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4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84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84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84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84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84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4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84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4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84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4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84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5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84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5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4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5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84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4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84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5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4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55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84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4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84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5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5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4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84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5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4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5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84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4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84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4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84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4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84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84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84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5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4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55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84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84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84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84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4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4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5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4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55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84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84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84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4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84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4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84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84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4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84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5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5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4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84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4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84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4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84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4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4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5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4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55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84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84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84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84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4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4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5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5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5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84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4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84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84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4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84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5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4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84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4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84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4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84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84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84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4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84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5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4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55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84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4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84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5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4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5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84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5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5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84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4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84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4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84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4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4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5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4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55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84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4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84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4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84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5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4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5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84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4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84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84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4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84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4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84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84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4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84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5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4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5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84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5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84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84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84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84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4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84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5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4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84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84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4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84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5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4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5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84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5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4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5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84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5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84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5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4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84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84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4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84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4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84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4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84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5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4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5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84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84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84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84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4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84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5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4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5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84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4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84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84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4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84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5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5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5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5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5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84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5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4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5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5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5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5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5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5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5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84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5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84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4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84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5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5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5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5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5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84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4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84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5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4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84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4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84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4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84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4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84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5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84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5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4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5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84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5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84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5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4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5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84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84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84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4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84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84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4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84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5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4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84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5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5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5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5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5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5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5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84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4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84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5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4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55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84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4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84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84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4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84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5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4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55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84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84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84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5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5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4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84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4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4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5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4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55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84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84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4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84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84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84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5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5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84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4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84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84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84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4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84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4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84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84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84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5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5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4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84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84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4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84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4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84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4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84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4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84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5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5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5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84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84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84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4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84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5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4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55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84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4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4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5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4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55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84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5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4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84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4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84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4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84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5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4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5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84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84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4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84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5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5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4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84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84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4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84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5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84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5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4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55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84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84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84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5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5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84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4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84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5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4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84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4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84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4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84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4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84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4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84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4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84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84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4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84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4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84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4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84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5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84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5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84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5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5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84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4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84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5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5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4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84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84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4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84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84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84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4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84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84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4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84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5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5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4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84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4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84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4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84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5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84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54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5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5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5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5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5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5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5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5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84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4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84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84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84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4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84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84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84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4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84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4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84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84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4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84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5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4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84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5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4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84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4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84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5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4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5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84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5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84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5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84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5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84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5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84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4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84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4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84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4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84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4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84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4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84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84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84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4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5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5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84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4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5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5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5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5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84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84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84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54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4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55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84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84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84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54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5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5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84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4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84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4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84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4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84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4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84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4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84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54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4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55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84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4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84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4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84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4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84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4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84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5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4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84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4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84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4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84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84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84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84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4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84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4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84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84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4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84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84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4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84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5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4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84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84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4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84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5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84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5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4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5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84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5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4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84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4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84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4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84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4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84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54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4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55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84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4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84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4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84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4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84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5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4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5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84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84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84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84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4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84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5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4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84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5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84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5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4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5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84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5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84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5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84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5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84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5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4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5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84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5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4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84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84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84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84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4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4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54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4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55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84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4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84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5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4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84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4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84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4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84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84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4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84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4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84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4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84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5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84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5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5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4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84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4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84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5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4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84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4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84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4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84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5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4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5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84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84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84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4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84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4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84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5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5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4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84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4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84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4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84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4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84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5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4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5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84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4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02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03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90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90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90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844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84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906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90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04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90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05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906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90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844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84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98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84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90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91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85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91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91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91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89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90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84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84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84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84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84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84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84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844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84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844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0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84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1"/>
      <c r="H6605" s="640" t="s">
        <v>1505</v>
      </c>
      <c r="I6605" s="642" t="s">
        <v>1505</v>
      </c>
      <c r="J6605" s="643"/>
      <c r="K6605" s="640" t="str">
        <f t="shared" ref="K6605:K6664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847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84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847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84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847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85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84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844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84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844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84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hidden="1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199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hidden="1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199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hidden="1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199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ht="19.5" hidden="1" thickBot="1" x14ac:dyDescent="0.3">
      <c r="A6629" s="844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199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ht="19.5" hidden="1" thickBot="1" x14ac:dyDescent="0.3">
      <c r="A6630" s="84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199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hidden="1" thickBot="1" x14ac:dyDescent="0.3">
      <c r="A6631" s="84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199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ht="19.5" hidden="1" thickBot="1" x14ac:dyDescent="0.3">
      <c r="A6632" s="847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199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7" hidden="1" thickBot="1" x14ac:dyDescent="0.3">
      <c r="A6633" s="85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199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hidden="1" thickBot="1" x14ac:dyDescent="0.3">
      <c r="A6634" s="84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199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ht="19.5" hidden="1" thickBot="1" x14ac:dyDescent="0.3">
      <c r="A6635" s="844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199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ht="19.5" hidden="1" thickBot="1" x14ac:dyDescent="0.3">
      <c r="A6636" s="84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199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hidden="1" thickBot="1" x14ac:dyDescent="0.3">
      <c r="A6637" s="84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199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ht="19.5" hidden="1" thickBot="1" x14ac:dyDescent="0.3">
      <c r="A6638" s="847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199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hidden="1" thickBot="1" x14ac:dyDescent="0.3">
      <c r="A6639" s="84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199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ht="19.5" hidden="1" thickBot="1" x14ac:dyDescent="0.3">
      <c r="A6640" s="844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199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ht="19.5" hidden="1" thickBot="1" x14ac:dyDescent="0.3">
      <c r="A6641" s="84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199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hidden="1" thickBot="1" x14ac:dyDescent="0.3">
      <c r="A6642" s="84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199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hidden="1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199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ht="19.5" hidden="1" thickBot="1" x14ac:dyDescent="0.3">
      <c r="A6644" s="844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199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ht="19.5" hidden="1" thickBot="1" x14ac:dyDescent="0.3">
      <c r="A6645" s="84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199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ht="19.5" hidden="1" thickBot="1" x14ac:dyDescent="0.3">
      <c r="A6646" s="84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199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hidden="1" thickBot="1" x14ac:dyDescent="0.3">
      <c r="A6647" s="84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199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199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ht="19.5" hidden="1" thickBot="1" x14ac:dyDescent="0.3">
      <c r="A6649" s="84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199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ht="19.5" hidden="1" thickBot="1" x14ac:dyDescent="0.3">
      <c r="A6650" s="84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199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hidden="1" thickBot="1" x14ac:dyDescent="0.3">
      <c r="A6651" s="84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199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199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199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ht="19.5" hidden="1" thickBot="1" x14ac:dyDescent="0.3">
      <c r="A6654" s="84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199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hidden="1" thickBot="1" x14ac:dyDescent="0.3">
      <c r="A6655" s="84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199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199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199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199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199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ht="19.5" hidden="1" thickBot="1" x14ac:dyDescent="0.3">
      <c r="A6660" s="84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57" t="s">
        <v>1575</v>
      </c>
      <c r="H6660" s="535" t="s">
        <v>1574</v>
      </c>
      <c r="I6660" s="537" t="s">
        <v>1574</v>
      </c>
      <c r="J6660" s="538"/>
      <c r="K6660" s="535" t="str">
        <f t="shared" si="199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hidden="1" thickBot="1" x14ac:dyDescent="0.3">
      <c r="A6661" s="84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58"/>
      <c r="H6661" s="640" t="s">
        <v>1574</v>
      </c>
      <c r="I6661" s="642" t="s">
        <v>1574</v>
      </c>
      <c r="J6661" s="643"/>
      <c r="K6661" s="640" t="str">
        <f t="shared" si="199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199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ht="19.5" hidden="1" thickBot="1" x14ac:dyDescent="0.3">
      <c r="A6663" s="844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199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hidden="1" thickBot="1" x14ac:dyDescent="0.3">
      <c r="A6664" s="84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199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4"/>
      <c r="L6666" s="508" t="s">
        <v>266</v>
      </c>
      <c r="M6666" s="508">
        <v>18153.7</v>
      </c>
      <c r="N6666" s="512">
        <v>0.45833333333333331</v>
      </c>
      <c r="O6666" s="758" t="s">
        <v>1621</v>
      </c>
    </row>
    <row r="6667" spans="1:15" ht="19.5" thickBot="1" x14ac:dyDescent="0.3">
      <c r="A6667" s="572">
        <f t="shared" si="200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3"/>
      <c r="L6667" s="577" t="s">
        <v>266</v>
      </c>
      <c r="M6667" s="577">
        <v>18022.2</v>
      </c>
      <c r="N6667" s="581">
        <v>0.5</v>
      </c>
      <c r="O6667" s="758" t="s">
        <v>1623</v>
      </c>
    </row>
    <row r="6668" spans="1:15" x14ac:dyDescent="0.25">
      <c r="A6668" s="898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1"/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</row>
    <row r="6669" spans="1:15" ht="19.5" thickBot="1" x14ac:dyDescent="0.3">
      <c r="A6669" s="90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91"/>
      <c r="L6669" s="788" t="s">
        <v>266</v>
      </c>
      <c r="M6669" s="788">
        <v>2100</v>
      </c>
      <c r="N6669" s="784">
        <v>0.54166666666666663</v>
      </c>
      <c r="O6669" s="758" t="s">
        <v>1630</v>
      </c>
    </row>
    <row r="6670" spans="1:15" x14ac:dyDescent="0.25">
      <c r="A6670" s="85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79"/>
      <c r="L6670" s="483" t="s">
        <v>265</v>
      </c>
      <c r="M6670" s="483">
        <v>15769.920000000002</v>
      </c>
      <c r="N6670" s="486">
        <v>0.375</v>
      </c>
      <c r="O6670" s="758" t="s">
        <v>1624</v>
      </c>
    </row>
    <row r="6671" spans="1:15" x14ac:dyDescent="0.25">
      <c r="A6671" s="85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92"/>
      <c r="L6671" s="763" t="s">
        <v>265</v>
      </c>
      <c r="M6671" s="763">
        <v>1882.2</v>
      </c>
      <c r="N6671" s="770">
        <v>0.375</v>
      </c>
      <c r="O6671" s="758" t="s">
        <v>1625</v>
      </c>
    </row>
    <row r="6672" spans="1:15" ht="19.5" thickBot="1" x14ac:dyDescent="0.3">
      <c r="A6672" s="843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9"/>
      <c r="L6672" s="796" t="s">
        <v>265</v>
      </c>
      <c r="M6672" s="796">
        <v>1905</v>
      </c>
      <c r="N6672" s="502">
        <v>0.375</v>
      </c>
      <c r="O6672" s="758" t="s">
        <v>1626</v>
      </c>
    </row>
    <row r="6673" spans="1:16" x14ac:dyDescent="0.25">
      <c r="A6673" s="84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1"/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</row>
    <row r="6674" spans="1:16" ht="18.75" customHeight="1" thickBot="1" x14ac:dyDescent="0.3">
      <c r="A6674" s="84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91"/>
      <c r="L6674" s="788" t="s">
        <v>265</v>
      </c>
      <c r="M6674" s="788">
        <v>1905</v>
      </c>
      <c r="N6674" s="784">
        <v>0.41666666666666669</v>
      </c>
      <c r="O6674" s="758" t="s">
        <v>1628</v>
      </c>
    </row>
    <row r="6675" spans="1:16" x14ac:dyDescent="0.25">
      <c r="A6675" s="84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6" ht="19.5" thickBot="1" x14ac:dyDescent="0.3">
      <c r="A6676" s="848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6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</row>
    <row r="6678" spans="1:16" x14ac:dyDescent="0.25">
      <c r="A6678" s="84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6" ht="19.5" thickBot="1" x14ac:dyDescent="0.3">
      <c r="A6679" s="852"/>
      <c r="B6679" s="495" t="s">
        <v>1595</v>
      </c>
      <c r="C6679" s="496" t="s">
        <v>24</v>
      </c>
      <c r="D6679" s="497">
        <v>1.536</v>
      </c>
      <c r="E6679" s="498"/>
      <c r="F6679" s="499" t="s">
        <v>30</v>
      </c>
      <c r="G6679" s="562"/>
      <c r="H6679" s="499" t="s">
        <v>1614</v>
      </c>
      <c r="I6679" s="500"/>
      <c r="J6679" s="501"/>
      <c r="K6679" s="495"/>
      <c r="L6679" s="499" t="s">
        <v>28</v>
      </c>
      <c r="M6679" s="499">
        <v>1536.12</v>
      </c>
      <c r="N6679" s="502">
        <v>0.41666666666666669</v>
      </c>
    </row>
    <row r="6680" spans="1:16" x14ac:dyDescent="0.25">
      <c r="A6680" s="84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/>
      <c r="F6680" s="535" t="s">
        <v>16</v>
      </c>
      <c r="G6680" s="536"/>
      <c r="H6680" s="535" t="s">
        <v>1615</v>
      </c>
      <c r="I6680" s="537"/>
      <c r="J6680" s="538"/>
      <c r="K6680" s="531"/>
      <c r="L6680" s="535" t="s">
        <v>265</v>
      </c>
      <c r="M6680" s="535">
        <v>17741.740000000002</v>
      </c>
      <c r="N6680" s="539">
        <v>0.375</v>
      </c>
    </row>
    <row r="6681" spans="1:16" ht="18.75" customHeight="1" thickBot="1" x14ac:dyDescent="0.3">
      <c r="A6681" s="841"/>
      <c r="B6681" s="800" t="s">
        <v>1614</v>
      </c>
      <c r="C6681" s="801" t="s">
        <v>26</v>
      </c>
      <c r="D6681" s="802">
        <v>1.8</v>
      </c>
      <c r="E6681" s="802"/>
      <c r="F6681" s="803" t="s">
        <v>16</v>
      </c>
      <c r="G6681" s="804" t="s">
        <v>76</v>
      </c>
      <c r="H6681" s="803" t="s">
        <v>1615</v>
      </c>
      <c r="I6681" s="803"/>
      <c r="J6681" s="805"/>
      <c r="K6681" s="806"/>
      <c r="L6681" s="803" t="s">
        <v>265</v>
      </c>
      <c r="M6681" s="803">
        <v>1800</v>
      </c>
      <c r="N6681" s="807">
        <v>0.375</v>
      </c>
    </row>
    <row r="6682" spans="1:16" x14ac:dyDescent="0.25">
      <c r="A6682" s="84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/>
      <c r="F6682" s="483" t="s">
        <v>16</v>
      </c>
      <c r="G6682" s="549"/>
      <c r="H6682" s="483" t="s">
        <v>1615</v>
      </c>
      <c r="I6682" s="484"/>
      <c r="J6682" s="485"/>
      <c r="K6682" s="479"/>
      <c r="L6682" s="483" t="s">
        <v>265</v>
      </c>
      <c r="M6682" s="483">
        <v>17666.54</v>
      </c>
      <c r="N6682" s="486">
        <v>0.41666666666666669</v>
      </c>
    </row>
    <row r="6683" spans="1:16" ht="18.75" customHeight="1" thickBot="1" x14ac:dyDescent="0.3">
      <c r="A6683" s="843"/>
      <c r="B6683" s="808" t="s">
        <v>1614</v>
      </c>
      <c r="C6683" s="809" t="s">
        <v>26</v>
      </c>
      <c r="D6683" s="810">
        <v>1.8</v>
      </c>
      <c r="E6683" s="810"/>
      <c r="F6683" s="811" t="s">
        <v>16</v>
      </c>
      <c r="G6683" s="812" t="s">
        <v>76</v>
      </c>
      <c r="H6683" s="811" t="s">
        <v>1615</v>
      </c>
      <c r="I6683" s="811"/>
      <c r="J6683" s="814"/>
      <c r="K6683" s="813"/>
      <c r="L6683" s="811" t="s">
        <v>265</v>
      </c>
      <c r="M6683" s="811">
        <v>1800</v>
      </c>
      <c r="N6683" s="778">
        <v>0.41666666666666669</v>
      </c>
    </row>
    <row r="6684" spans="1:16" x14ac:dyDescent="0.25">
      <c r="A6684" s="84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/>
      <c r="F6684" s="535" t="s">
        <v>16</v>
      </c>
      <c r="G6684" s="536"/>
      <c r="H6684" s="535" t="s">
        <v>1615</v>
      </c>
      <c r="I6684" s="537"/>
      <c r="J6684" s="538"/>
      <c r="K6684" s="531"/>
      <c r="L6684" s="535" t="s">
        <v>28</v>
      </c>
      <c r="M6684" s="535">
        <v>6110.8199999999988</v>
      </c>
      <c r="N6684" s="539">
        <v>0.45833333333333331</v>
      </c>
      <c r="P6684" s="824"/>
    </row>
    <row r="6685" spans="1:16" x14ac:dyDescent="0.25">
      <c r="A6685" s="851"/>
      <c r="B6685" s="831" t="s">
        <v>1595</v>
      </c>
      <c r="C6685" s="826" t="s">
        <v>24</v>
      </c>
      <c r="D6685" s="827">
        <v>11.436999999999999</v>
      </c>
      <c r="E6685" s="828"/>
      <c r="F6685" s="825" t="s">
        <v>16</v>
      </c>
      <c r="G6685" s="829"/>
      <c r="H6685" s="825" t="s">
        <v>1615</v>
      </c>
      <c r="I6685" s="782"/>
      <c r="J6685" s="832"/>
      <c r="K6685" s="830"/>
      <c r="L6685" s="825" t="s">
        <v>28</v>
      </c>
      <c r="M6685" s="825">
        <v>11590.22</v>
      </c>
      <c r="N6685" s="815">
        <v>0.45833333333333331</v>
      </c>
      <c r="P6685" s="824"/>
    </row>
    <row r="6686" spans="1:16" x14ac:dyDescent="0.25">
      <c r="A6686" s="851"/>
      <c r="B6686" s="817" t="s">
        <v>1615</v>
      </c>
      <c r="C6686" s="818" t="s">
        <v>15</v>
      </c>
      <c r="D6686" s="819">
        <v>0.7</v>
      </c>
      <c r="E6686" s="819"/>
      <c r="F6686" s="820" t="s">
        <v>16</v>
      </c>
      <c r="G6686" s="821" t="s">
        <v>76</v>
      </c>
      <c r="H6686" s="820" t="s">
        <v>1615</v>
      </c>
      <c r="I6686" s="820"/>
      <c r="J6686" s="822"/>
      <c r="K6686" s="823"/>
      <c r="L6686" s="820" t="s">
        <v>28</v>
      </c>
      <c r="M6686" s="820">
        <v>720</v>
      </c>
      <c r="N6686" s="815">
        <v>0.45833333333333331</v>
      </c>
      <c r="P6686" s="824"/>
    </row>
    <row r="6687" spans="1:16" ht="19.5" thickBot="1" x14ac:dyDescent="0.3">
      <c r="A6687" s="841"/>
      <c r="B6687" s="833" t="s">
        <v>1615</v>
      </c>
      <c r="C6687" s="834" t="s">
        <v>24</v>
      </c>
      <c r="D6687" s="835">
        <v>1</v>
      </c>
      <c r="E6687" s="835"/>
      <c r="F6687" s="836" t="s">
        <v>16</v>
      </c>
      <c r="G6687" s="837" t="s">
        <v>76</v>
      </c>
      <c r="H6687" s="836" t="s">
        <v>1615</v>
      </c>
      <c r="I6687" s="836"/>
      <c r="J6687" s="838"/>
      <c r="K6687" s="839"/>
      <c r="L6687" s="836" t="s">
        <v>28</v>
      </c>
      <c r="M6687" s="836">
        <v>1020</v>
      </c>
      <c r="N6687" s="644">
        <v>0.45833333333333331</v>
      </c>
    </row>
    <row r="6688" spans="1:16" x14ac:dyDescent="0.25">
      <c r="A6688" s="84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/>
      <c r="F6688" s="483" t="s">
        <v>16</v>
      </c>
      <c r="G6688" s="549"/>
      <c r="H6688" s="483" t="s">
        <v>1615</v>
      </c>
      <c r="I6688" s="484"/>
      <c r="J6688" s="485"/>
      <c r="K6688" s="479"/>
      <c r="L6688" s="483" t="s">
        <v>28</v>
      </c>
      <c r="M6688" s="483">
        <v>12306.62</v>
      </c>
      <c r="N6688" s="486">
        <v>0.5</v>
      </c>
      <c r="P6688" s="824"/>
    </row>
    <row r="6689" spans="1:16" x14ac:dyDescent="0.25">
      <c r="A6689" s="853"/>
      <c r="B6689" s="769" t="s">
        <v>1595</v>
      </c>
      <c r="C6689" s="764" t="s">
        <v>41</v>
      </c>
      <c r="D6689" s="765">
        <v>4.92</v>
      </c>
      <c r="E6689" s="766"/>
      <c r="F6689" s="763" t="s">
        <v>16</v>
      </c>
      <c r="G6689" s="767"/>
      <c r="H6689" s="763" t="s">
        <v>1615</v>
      </c>
      <c r="I6689" s="768"/>
      <c r="J6689" s="779"/>
      <c r="K6689" s="792"/>
      <c r="L6689" s="763" t="s">
        <v>266</v>
      </c>
      <c r="M6689" s="763">
        <v>4962.6000000000004</v>
      </c>
      <c r="N6689" s="770">
        <v>0.5</v>
      </c>
      <c r="P6689" s="824"/>
    </row>
    <row r="6690" spans="1:16" ht="19.5" thickBot="1" x14ac:dyDescent="0.3">
      <c r="A6690" s="843"/>
      <c r="B6690" s="793" t="s">
        <v>1615</v>
      </c>
      <c r="C6690" s="794" t="s">
        <v>47</v>
      </c>
      <c r="D6690" s="795">
        <v>2.5</v>
      </c>
      <c r="E6690" s="795"/>
      <c r="F6690" s="796" t="s">
        <v>16</v>
      </c>
      <c r="G6690" s="797" t="s">
        <v>76</v>
      </c>
      <c r="H6690" s="796" t="s">
        <v>1615</v>
      </c>
      <c r="I6690" s="796"/>
      <c r="J6690" s="798"/>
      <c r="K6690" s="799"/>
      <c r="L6690" s="796" t="s">
        <v>266</v>
      </c>
      <c r="M6690" s="796">
        <v>2524.8000000000002</v>
      </c>
      <c r="N6690" s="502">
        <v>0.5</v>
      </c>
    </row>
    <row r="6691" spans="1:16" x14ac:dyDescent="0.25">
      <c r="A6691" s="84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/>
      <c r="F6691" s="535" t="s">
        <v>16</v>
      </c>
      <c r="G6691" s="536"/>
      <c r="H6691" s="535" t="s">
        <v>1615</v>
      </c>
      <c r="I6691" s="537"/>
      <c r="J6691" s="538"/>
      <c r="K6691" s="531"/>
      <c r="L6691" s="535" t="s">
        <v>28</v>
      </c>
      <c r="M6691" s="535">
        <v>17353.440000000002</v>
      </c>
      <c r="N6691" s="539">
        <v>0.54166666666666663</v>
      </c>
      <c r="P6691" s="824"/>
    </row>
    <row r="6692" spans="1:16" ht="19.5" thickBot="1" x14ac:dyDescent="0.3">
      <c r="A6692" s="841"/>
      <c r="B6692" s="785" t="s">
        <v>1615</v>
      </c>
      <c r="C6692" s="786" t="s">
        <v>23</v>
      </c>
      <c r="D6692" s="787">
        <v>4</v>
      </c>
      <c r="E6692" s="787"/>
      <c r="F6692" s="788" t="s">
        <v>16</v>
      </c>
      <c r="G6692" s="789" t="s">
        <v>76</v>
      </c>
      <c r="H6692" s="788" t="s">
        <v>1615</v>
      </c>
      <c r="I6692" s="788"/>
      <c r="J6692" s="790"/>
      <c r="K6692" s="791"/>
      <c r="L6692" s="788" t="s">
        <v>28</v>
      </c>
      <c r="M6692" s="788">
        <v>4020</v>
      </c>
      <c r="N6692" s="784">
        <v>0.54166666666666663</v>
      </c>
      <c r="P6692" s="824"/>
    </row>
    <row r="6693" spans="1:16" x14ac:dyDescent="0.25">
      <c r="A6693" s="84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/>
      <c r="F6693" s="483" t="s">
        <v>16</v>
      </c>
      <c r="G6693" s="549"/>
      <c r="H6693" s="483" t="s">
        <v>1615</v>
      </c>
      <c r="I6693" s="484"/>
      <c r="J6693" s="485"/>
      <c r="K6693" s="479"/>
      <c r="L6693" s="483" t="s">
        <v>28</v>
      </c>
      <c r="M6693" s="483">
        <v>17455.91</v>
      </c>
      <c r="N6693" s="486">
        <v>0.58333333333333337</v>
      </c>
      <c r="P6693" s="824"/>
    </row>
    <row r="6694" spans="1:16" ht="19.5" thickBot="1" x14ac:dyDescent="0.3">
      <c r="A6694" s="843"/>
      <c r="B6694" s="808" t="s">
        <v>1615</v>
      </c>
      <c r="C6694" s="809" t="s">
        <v>47</v>
      </c>
      <c r="D6694" s="810">
        <v>2.8</v>
      </c>
      <c r="E6694" s="810"/>
      <c r="F6694" s="811" t="s">
        <v>16</v>
      </c>
      <c r="G6694" s="812" t="s">
        <v>76</v>
      </c>
      <c r="H6694" s="811" t="s">
        <v>1615</v>
      </c>
      <c r="I6694" s="811"/>
      <c r="J6694" s="814"/>
      <c r="K6694" s="813"/>
      <c r="L6694" s="811" t="s">
        <v>28</v>
      </c>
      <c r="M6694" s="811">
        <v>2820</v>
      </c>
      <c r="N6694" s="778">
        <v>0.58333333333333337</v>
      </c>
      <c r="P6694" s="824"/>
    </row>
    <row r="6695" spans="1:16" x14ac:dyDescent="0.25">
      <c r="A6695" s="84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/>
      <c r="F6695" s="567" t="s">
        <v>16</v>
      </c>
      <c r="G6695" s="568"/>
      <c r="H6695" s="567" t="s">
        <v>1620</v>
      </c>
      <c r="I6695" s="569"/>
      <c r="J6695" s="570"/>
      <c r="K6695" s="563"/>
      <c r="L6695" s="567" t="s">
        <v>265</v>
      </c>
      <c r="M6695" s="567">
        <v>16592.62</v>
      </c>
      <c r="N6695" s="571">
        <v>0.375</v>
      </c>
    </row>
    <row r="6696" spans="1:16" x14ac:dyDescent="0.25">
      <c r="A6696" s="851"/>
      <c r="B6696" s="817" t="s">
        <v>1614</v>
      </c>
      <c r="C6696" s="818" t="s">
        <v>26</v>
      </c>
      <c r="D6696" s="819">
        <v>3.5</v>
      </c>
      <c r="E6696" s="819"/>
      <c r="F6696" s="820" t="s">
        <v>16</v>
      </c>
      <c r="G6696" s="821" t="s">
        <v>76</v>
      </c>
      <c r="H6696" s="820" t="s">
        <v>1620</v>
      </c>
      <c r="I6696" s="820"/>
      <c r="J6696" s="822"/>
      <c r="K6696" s="823"/>
      <c r="L6696" s="820" t="s">
        <v>265</v>
      </c>
      <c r="M6696" s="820">
        <v>3510</v>
      </c>
      <c r="N6696" s="815">
        <v>0.375</v>
      </c>
    </row>
    <row r="6697" spans="1:16" ht="19.5" thickBot="1" x14ac:dyDescent="0.3">
      <c r="A6697" s="841"/>
      <c r="B6697" s="816" t="s">
        <v>1601</v>
      </c>
      <c r="C6697" s="637" t="s">
        <v>952</v>
      </c>
      <c r="D6697" s="638">
        <v>1.1100000000000001</v>
      </c>
      <c r="E6697" s="639"/>
      <c r="F6697" s="640" t="s">
        <v>16</v>
      </c>
      <c r="G6697" s="641"/>
      <c r="H6697" s="640" t="s">
        <v>1620</v>
      </c>
      <c r="I6697" s="642"/>
      <c r="J6697" s="643"/>
      <c r="K6697" s="636"/>
      <c r="L6697" s="640" t="s">
        <v>265</v>
      </c>
      <c r="M6697" s="640">
        <v>1164.54</v>
      </c>
      <c r="N6697" s="644">
        <v>0.375</v>
      </c>
    </row>
    <row r="6698" spans="1:16" x14ac:dyDescent="0.25">
      <c r="A6698" s="84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/>
      <c r="F6698" s="483" t="s">
        <v>16</v>
      </c>
      <c r="G6698" s="549"/>
      <c r="H6698" s="483" t="s">
        <v>1620</v>
      </c>
      <c r="I6698" s="484"/>
      <c r="J6698" s="485"/>
      <c r="K6698" s="479"/>
      <c r="L6698" s="483" t="s">
        <v>265</v>
      </c>
      <c r="M6698" s="483">
        <v>17862.260000000002</v>
      </c>
      <c r="N6698" s="486">
        <v>0.41666666666666669</v>
      </c>
    </row>
    <row r="6699" spans="1:16" ht="18.75" customHeight="1" thickBot="1" x14ac:dyDescent="0.3">
      <c r="A6699" s="843"/>
      <c r="B6699" s="808" t="s">
        <v>1614</v>
      </c>
      <c r="C6699" s="809" t="s">
        <v>26</v>
      </c>
      <c r="D6699" s="810">
        <v>4.3</v>
      </c>
      <c r="E6699" s="810"/>
      <c r="F6699" s="811" t="s">
        <v>16</v>
      </c>
      <c r="G6699" s="812"/>
      <c r="H6699" s="811" t="s">
        <v>1620</v>
      </c>
      <c r="I6699" s="811"/>
      <c r="J6699" s="814"/>
      <c r="K6699" s="813"/>
      <c r="L6699" s="811" t="s">
        <v>265</v>
      </c>
      <c r="M6699" s="811">
        <v>4305</v>
      </c>
      <c r="N6699" s="778">
        <v>0.41666666666666669</v>
      </c>
    </row>
    <row r="6700" spans="1:16" x14ac:dyDescent="0.25">
      <c r="A6700" s="84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/>
      <c r="F6700" s="535" t="s">
        <v>16</v>
      </c>
      <c r="G6700" s="536"/>
      <c r="H6700" s="535" t="s">
        <v>1620</v>
      </c>
      <c r="I6700" s="537"/>
      <c r="J6700" s="538"/>
      <c r="K6700" s="531"/>
      <c r="L6700" s="535" t="s">
        <v>266</v>
      </c>
      <c r="M6700" s="535">
        <v>3459.63</v>
      </c>
      <c r="N6700" s="539">
        <v>0.45833333333333331</v>
      </c>
    </row>
    <row r="6701" spans="1:16" x14ac:dyDescent="0.25">
      <c r="A6701" s="851"/>
      <c r="B6701" s="817" t="s">
        <v>1614</v>
      </c>
      <c r="C6701" s="818" t="s">
        <v>23</v>
      </c>
      <c r="D6701" s="819">
        <v>4</v>
      </c>
      <c r="E6701" s="819"/>
      <c r="F6701" s="820" t="s">
        <v>16</v>
      </c>
      <c r="G6701" s="821"/>
      <c r="H6701" s="820" t="s">
        <v>1620</v>
      </c>
      <c r="I6701" s="820"/>
      <c r="J6701" s="822"/>
      <c r="K6701" s="823"/>
      <c r="L6701" s="820" t="s">
        <v>28</v>
      </c>
      <c r="M6701" s="820">
        <v>4022.4</v>
      </c>
      <c r="N6701" s="815">
        <v>0.45833333333333331</v>
      </c>
    </row>
    <row r="6702" spans="1:16" ht="19.5" thickBot="1" x14ac:dyDescent="0.3">
      <c r="A6702" s="841"/>
      <c r="B6702" s="816" t="s">
        <v>1601</v>
      </c>
      <c r="C6702" s="637" t="s">
        <v>23</v>
      </c>
      <c r="D6702" s="638">
        <v>13.865</v>
      </c>
      <c r="E6702" s="639"/>
      <c r="F6702" s="640" t="s">
        <v>16</v>
      </c>
      <c r="G6702" s="641"/>
      <c r="H6702" s="640" t="s">
        <v>1620</v>
      </c>
      <c r="I6702" s="642"/>
      <c r="J6702" s="643"/>
      <c r="K6702" s="636"/>
      <c r="L6702" s="640" t="s">
        <v>28</v>
      </c>
      <c r="M6702" s="640">
        <v>13946.94</v>
      </c>
      <c r="N6702" s="644">
        <v>0.45833333333333331</v>
      </c>
    </row>
    <row r="6703" spans="1:16" ht="56.25" x14ac:dyDescent="0.25">
      <c r="A6703" s="84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/>
      <c r="F6703" s="483" t="s">
        <v>16</v>
      </c>
      <c r="G6703" s="549" t="s">
        <v>794</v>
      </c>
      <c r="H6703" s="483" t="s">
        <v>1620</v>
      </c>
      <c r="I6703" s="484"/>
      <c r="J6703" s="485"/>
      <c r="K6703" s="479"/>
      <c r="L6703" s="483" t="s">
        <v>28</v>
      </c>
      <c r="M6703" s="483">
        <v>517.44000000000005</v>
      </c>
      <c r="N6703" s="486">
        <v>0.5</v>
      </c>
    </row>
    <row r="6704" spans="1:16" x14ac:dyDescent="0.25">
      <c r="A6704" s="852"/>
      <c r="B6704" s="523" t="s">
        <v>1601</v>
      </c>
      <c r="C6704" s="524" t="s">
        <v>587</v>
      </c>
      <c r="D6704" s="525">
        <v>8.2680000000000007</v>
      </c>
      <c r="E6704" s="526"/>
      <c r="F6704" s="527" t="s">
        <v>16</v>
      </c>
      <c r="G6704" s="561" t="s">
        <v>47</v>
      </c>
      <c r="H6704" s="527" t="s">
        <v>1620</v>
      </c>
      <c r="I6704" s="528"/>
      <c r="J6704" s="529"/>
      <c r="K6704" s="523"/>
      <c r="L6704" s="527" t="s">
        <v>28</v>
      </c>
      <c r="M6704" s="527">
        <v>8268.52</v>
      </c>
      <c r="N6704" s="530">
        <v>0.5</v>
      </c>
    </row>
    <row r="6705" spans="1:14" ht="19.5" thickBot="1" x14ac:dyDescent="0.3">
      <c r="A6705" s="852"/>
      <c r="B6705" s="495" t="s">
        <v>1601</v>
      </c>
      <c r="C6705" s="496" t="s">
        <v>47</v>
      </c>
      <c r="D6705" s="497">
        <v>8.4</v>
      </c>
      <c r="E6705" s="498"/>
      <c r="F6705" s="499" t="s">
        <v>16</v>
      </c>
      <c r="G6705" s="562"/>
      <c r="H6705" s="499" t="s">
        <v>1620</v>
      </c>
      <c r="I6705" s="500"/>
      <c r="J6705" s="501"/>
      <c r="K6705" s="495"/>
      <c r="L6705" s="499" t="s">
        <v>28</v>
      </c>
      <c r="M6705" s="499">
        <v>8438.4</v>
      </c>
      <c r="N6705" s="502">
        <v>0.5</v>
      </c>
    </row>
    <row r="6706" spans="1:14" ht="19.5" thickBot="1" x14ac:dyDescent="0.3">
      <c r="A6706" s="503">
        <f>MAX(A6684:A6705)+1</f>
        <v>4211</v>
      </c>
      <c r="B6706" s="504" t="s">
        <v>1614</v>
      </c>
      <c r="C6706" s="505" t="s">
        <v>32</v>
      </c>
      <c r="D6706" s="506">
        <v>17.959</v>
      </c>
      <c r="E6706" s="507"/>
      <c r="F6706" s="508" t="s">
        <v>16</v>
      </c>
      <c r="G6706" s="509"/>
      <c r="H6706" s="508" t="s">
        <v>1620</v>
      </c>
      <c r="I6706" s="510"/>
      <c r="J6706" s="511"/>
      <c r="K6706" s="504"/>
      <c r="L6706" s="508" t="s">
        <v>266</v>
      </c>
      <c r="M6706" s="508">
        <v>18025.18</v>
      </c>
      <c r="N6706" s="512">
        <v>0.54166666666666663</v>
      </c>
    </row>
    <row r="6707" spans="1:14" ht="19.5" thickBot="1" x14ac:dyDescent="0.3">
      <c r="A6707" s="513">
        <f>MAX(A6687:A6706)+1</f>
        <v>4212</v>
      </c>
      <c r="B6707" s="514" t="s">
        <v>1614</v>
      </c>
      <c r="C6707" s="515" t="s">
        <v>26</v>
      </c>
      <c r="D6707" s="516">
        <v>12.032999999999999</v>
      </c>
      <c r="E6707" s="517"/>
      <c r="F6707" s="518" t="s">
        <v>30</v>
      </c>
      <c r="G6707" s="519"/>
      <c r="H6707" s="518" t="s">
        <v>1620</v>
      </c>
      <c r="I6707" s="520"/>
      <c r="J6707" s="521"/>
      <c r="K6707" s="514"/>
      <c r="L6707" s="518" t="s">
        <v>265</v>
      </c>
      <c r="M6707" s="518">
        <v>12033.279999999999</v>
      </c>
      <c r="N6707" s="522">
        <v>0.375</v>
      </c>
    </row>
    <row r="6708" spans="1:14" x14ac:dyDescent="0.25">
      <c r="A6708" s="844">
        <f>MAX(A6688:A6707)+1</f>
        <v>4213</v>
      </c>
      <c r="B6708" s="531" t="s">
        <v>1614</v>
      </c>
      <c r="C6708" s="532" t="s">
        <v>26</v>
      </c>
      <c r="D6708" s="533">
        <v>12.714</v>
      </c>
      <c r="E6708" s="534"/>
      <c r="F6708" s="535" t="s">
        <v>16</v>
      </c>
      <c r="G6708" s="536"/>
      <c r="H6708" s="535" t="s">
        <v>1631</v>
      </c>
      <c r="I6708" s="537"/>
      <c r="J6708" s="538"/>
      <c r="K6708" s="531"/>
      <c r="L6708" s="535" t="s">
        <v>265</v>
      </c>
      <c r="M6708" s="535">
        <v>12827.199999999999</v>
      </c>
      <c r="N6708" s="539">
        <v>0.375</v>
      </c>
    </row>
    <row r="6709" spans="1:14" x14ac:dyDescent="0.25">
      <c r="A6709" s="845"/>
      <c r="B6709" s="563" t="s">
        <v>1614</v>
      </c>
      <c r="C6709" s="564" t="s">
        <v>1358</v>
      </c>
      <c r="D6709" s="565">
        <v>2.7949999999999999</v>
      </c>
      <c r="E6709" s="566"/>
      <c r="F6709" s="567" t="s">
        <v>16</v>
      </c>
      <c r="G6709" s="568" t="s">
        <v>844</v>
      </c>
      <c r="H6709" s="567" t="s">
        <v>1631</v>
      </c>
      <c r="I6709" s="569"/>
      <c r="J6709" s="570"/>
      <c r="K6709" s="563"/>
      <c r="L6709" s="567" t="s">
        <v>265</v>
      </c>
      <c r="M6709" s="567">
        <v>2894.42</v>
      </c>
      <c r="N6709" s="571">
        <v>0.375</v>
      </c>
    </row>
    <row r="6710" spans="1:14" ht="19.5" thickBot="1" x14ac:dyDescent="0.3">
      <c r="A6710" s="846"/>
      <c r="B6710" s="636" t="s">
        <v>1614</v>
      </c>
      <c r="C6710" s="637" t="s">
        <v>1358</v>
      </c>
      <c r="D6710" s="638">
        <v>1.8149999999999999</v>
      </c>
      <c r="E6710" s="639"/>
      <c r="F6710" s="640" t="s">
        <v>16</v>
      </c>
      <c r="G6710" s="641" t="s">
        <v>845</v>
      </c>
      <c r="H6710" s="640" t="s">
        <v>1631</v>
      </c>
      <c r="I6710" s="642"/>
      <c r="J6710" s="643"/>
      <c r="K6710" s="636"/>
      <c r="L6710" s="640" t="s">
        <v>265</v>
      </c>
      <c r="M6710" s="640">
        <v>1925.24</v>
      </c>
      <c r="N6710" s="644">
        <v>0.375</v>
      </c>
    </row>
    <row r="6711" spans="1:14" ht="19.5" thickBot="1" x14ac:dyDescent="0.3">
      <c r="A6711" s="513">
        <f>MAX(A6693:A6710)+1</f>
        <v>4214</v>
      </c>
      <c r="B6711" s="514" t="s">
        <v>1614</v>
      </c>
      <c r="C6711" s="515" t="s">
        <v>26</v>
      </c>
      <c r="D6711" s="516">
        <v>17.507000000000001</v>
      </c>
      <c r="E6711" s="517"/>
      <c r="F6711" s="518" t="s">
        <v>16</v>
      </c>
      <c r="G6711" s="519"/>
      <c r="H6711" s="518" t="s">
        <v>1631</v>
      </c>
      <c r="I6711" s="520"/>
      <c r="J6711" s="521"/>
      <c r="K6711" s="514"/>
      <c r="L6711" s="518" t="s">
        <v>265</v>
      </c>
      <c r="M6711" s="518">
        <v>17672.740000000002</v>
      </c>
      <c r="N6711" s="522">
        <v>0.41666666666666669</v>
      </c>
    </row>
    <row r="6712" spans="1:14" ht="19.5" thickBot="1" x14ac:dyDescent="0.3">
      <c r="A6712" s="503">
        <f>MAX(A6695:A6711)+1</f>
        <v>4215</v>
      </c>
      <c r="B6712" s="504" t="s">
        <v>1614</v>
      </c>
      <c r="C6712" s="505" t="s">
        <v>23</v>
      </c>
      <c r="D6712" s="506">
        <v>11.225</v>
      </c>
      <c r="E6712" s="507"/>
      <c r="F6712" s="508" t="s">
        <v>30</v>
      </c>
      <c r="G6712" s="509"/>
      <c r="H6712" s="508" t="s">
        <v>1631</v>
      </c>
      <c r="I6712" s="510"/>
      <c r="J6712" s="511"/>
      <c r="K6712" s="504"/>
      <c r="L6712" s="508" t="s">
        <v>28</v>
      </c>
      <c r="M6712" s="508">
        <v>11225.12</v>
      </c>
      <c r="N6712" s="512">
        <v>0.41666666666666669</v>
      </c>
    </row>
    <row r="6713" spans="1:14" ht="57" thickBot="1" x14ac:dyDescent="0.3">
      <c r="A6713" s="513">
        <f>MAX(A6697:A6712)+1</f>
        <v>4216</v>
      </c>
      <c r="B6713" s="514" t="s">
        <v>1614</v>
      </c>
      <c r="C6713" s="515" t="s">
        <v>587</v>
      </c>
      <c r="D6713" s="516">
        <v>11.345000000000001</v>
      </c>
      <c r="E6713" s="517"/>
      <c r="F6713" s="518" t="s">
        <v>30</v>
      </c>
      <c r="G6713" s="519" t="s">
        <v>1632</v>
      </c>
      <c r="H6713" s="518" t="s">
        <v>1631</v>
      </c>
      <c r="I6713" s="520"/>
      <c r="J6713" s="521"/>
      <c r="K6713" s="514"/>
      <c r="L6713" s="518" t="s">
        <v>28</v>
      </c>
      <c r="M6713" s="518">
        <v>11345.68</v>
      </c>
      <c r="N6713" s="522">
        <v>0.45833333333333331</v>
      </c>
    </row>
    <row r="6714" spans="1:14" ht="19.5" thickBot="1" x14ac:dyDescent="0.3">
      <c r="A6714" s="503">
        <f>MAX(A6698:A6713)+1</f>
        <v>4217</v>
      </c>
      <c r="B6714" s="504" t="s">
        <v>1614</v>
      </c>
      <c r="C6714" s="505" t="s">
        <v>47</v>
      </c>
      <c r="D6714" s="506">
        <v>11.48</v>
      </c>
      <c r="E6714" s="507"/>
      <c r="F6714" s="508" t="s">
        <v>30</v>
      </c>
      <c r="G6714" s="509"/>
      <c r="H6714" s="508" t="s">
        <v>1631</v>
      </c>
      <c r="I6714" s="510"/>
      <c r="J6714" s="511"/>
      <c r="K6714" s="504"/>
      <c r="L6714" s="508" t="s">
        <v>28</v>
      </c>
      <c r="M6714" s="508">
        <v>11480.960000000001</v>
      </c>
      <c r="N6714" s="512">
        <v>0.5</v>
      </c>
    </row>
    <row r="6715" spans="1:14" x14ac:dyDescent="0.25">
      <c r="A6715" s="847">
        <f>MAX(A6700:A6714)+1</f>
        <v>4218</v>
      </c>
      <c r="B6715" s="479" t="s">
        <v>1614</v>
      </c>
      <c r="C6715" s="480" t="s">
        <v>24</v>
      </c>
      <c r="D6715" s="481">
        <v>7.7350000000000003</v>
      </c>
      <c r="E6715" s="482"/>
      <c r="F6715" s="483" t="s">
        <v>16</v>
      </c>
      <c r="G6715" s="849" t="s">
        <v>1633</v>
      </c>
      <c r="H6715" s="483" t="s">
        <v>1631</v>
      </c>
      <c r="I6715" s="484"/>
      <c r="J6715" s="485"/>
      <c r="K6715" s="479"/>
      <c r="L6715" s="483" t="s">
        <v>28</v>
      </c>
      <c r="M6715" s="483">
        <v>7917.2999999999993</v>
      </c>
      <c r="N6715" s="486">
        <v>0.45833333333333331</v>
      </c>
    </row>
    <row r="6716" spans="1:14" ht="19.5" thickBot="1" x14ac:dyDescent="0.3">
      <c r="A6716" s="848"/>
      <c r="B6716" s="645" t="s">
        <v>1614</v>
      </c>
      <c r="C6716" s="646" t="s">
        <v>15</v>
      </c>
      <c r="D6716" s="647">
        <v>8.0030000000000001</v>
      </c>
      <c r="E6716" s="648"/>
      <c r="F6716" s="649" t="s">
        <v>16</v>
      </c>
      <c r="G6716" s="850"/>
      <c r="H6716" s="649" t="s">
        <v>1631</v>
      </c>
      <c r="I6716" s="651"/>
      <c r="J6716" s="652"/>
      <c r="K6716" s="645"/>
      <c r="L6716" s="649" t="s">
        <v>28</v>
      </c>
      <c r="M6716" s="649">
        <v>8185.32</v>
      </c>
      <c r="N6716" s="653">
        <v>0.45833333333333331</v>
      </c>
    </row>
    <row r="6717" spans="1:14" ht="38.25" thickBot="1" x14ac:dyDescent="0.3">
      <c r="A6717" s="503">
        <f t="shared" ref="A6717:A6730" si="201">MAX(A6703:A6716)+1</f>
        <v>4219</v>
      </c>
      <c r="B6717" s="504" t="s">
        <v>1614</v>
      </c>
      <c r="C6717" s="505" t="s">
        <v>47</v>
      </c>
      <c r="D6717" s="506">
        <v>15.422000000000001</v>
      </c>
      <c r="E6717" s="507"/>
      <c r="F6717" s="508" t="s">
        <v>16</v>
      </c>
      <c r="G6717" s="509" t="s">
        <v>1633</v>
      </c>
      <c r="H6717" s="508" t="s">
        <v>1631</v>
      </c>
      <c r="I6717" s="510"/>
      <c r="J6717" s="511"/>
      <c r="K6717" s="504"/>
      <c r="L6717" s="508" t="s">
        <v>28</v>
      </c>
      <c r="M6717" s="508">
        <v>15657.02</v>
      </c>
      <c r="N6717" s="512">
        <v>0.5</v>
      </c>
    </row>
    <row r="6718" spans="1:14" ht="38.25" thickBot="1" x14ac:dyDescent="0.3">
      <c r="A6718" s="513">
        <f t="shared" si="201"/>
        <v>4220</v>
      </c>
      <c r="B6718" s="514" t="s">
        <v>1614</v>
      </c>
      <c r="C6718" s="515" t="s">
        <v>23</v>
      </c>
      <c r="D6718" s="516">
        <v>15.811999999999999</v>
      </c>
      <c r="E6718" s="517"/>
      <c r="F6718" s="518" t="s">
        <v>16</v>
      </c>
      <c r="G6718" s="519" t="s">
        <v>1634</v>
      </c>
      <c r="H6718" s="518" t="s">
        <v>1631</v>
      </c>
      <c r="I6718" s="520"/>
      <c r="J6718" s="521"/>
      <c r="K6718" s="514"/>
      <c r="L6718" s="518" t="s">
        <v>28</v>
      </c>
      <c r="M6718" s="518">
        <v>15985.570000000002</v>
      </c>
      <c r="N6718" s="522">
        <v>0.54166666666666663</v>
      </c>
    </row>
    <row r="6719" spans="1:14" ht="19.5" thickBot="1" x14ac:dyDescent="0.3">
      <c r="A6719" s="503">
        <f t="shared" si="201"/>
        <v>4221</v>
      </c>
      <c r="B6719" s="504" t="s">
        <v>1614</v>
      </c>
      <c r="C6719" s="505" t="s">
        <v>26</v>
      </c>
      <c r="D6719" s="506">
        <v>17.276</v>
      </c>
      <c r="E6719" s="507"/>
      <c r="F6719" s="508" t="s">
        <v>16</v>
      </c>
      <c r="G6719" s="509"/>
      <c r="H6719" s="508" t="s">
        <v>1635</v>
      </c>
      <c r="I6719" s="510"/>
      <c r="J6719" s="511"/>
      <c r="K6719" s="504"/>
      <c r="L6719" s="508" t="s">
        <v>265</v>
      </c>
      <c r="M6719" s="508">
        <v>17496.179999999997</v>
      </c>
      <c r="N6719" s="512">
        <v>0.375</v>
      </c>
    </row>
    <row r="6720" spans="1:14" x14ac:dyDescent="0.25">
      <c r="A6720" s="847">
        <f t="shared" si="201"/>
        <v>4222</v>
      </c>
      <c r="B6720" s="479" t="s">
        <v>1614</v>
      </c>
      <c r="C6720" s="480" t="s">
        <v>47</v>
      </c>
      <c r="D6720" s="481">
        <v>3.5859999999999999</v>
      </c>
      <c r="E6720" s="482"/>
      <c r="F6720" s="483" t="s">
        <v>30</v>
      </c>
      <c r="G6720" s="549"/>
      <c r="H6720" s="483" t="s">
        <v>1635</v>
      </c>
      <c r="I6720" s="484"/>
      <c r="J6720" s="485"/>
      <c r="K6720" s="479"/>
      <c r="L6720" s="483" t="s">
        <v>28</v>
      </c>
      <c r="M6720" s="483">
        <v>3586.8</v>
      </c>
      <c r="N6720" s="486">
        <v>0.41666666666666669</v>
      </c>
    </row>
    <row r="6721" spans="1:14" ht="19.5" thickBot="1" x14ac:dyDescent="0.3">
      <c r="A6721" s="848"/>
      <c r="B6721" s="645" t="s">
        <v>1614</v>
      </c>
      <c r="C6721" s="646" t="s">
        <v>587</v>
      </c>
      <c r="D6721" s="647">
        <v>6.9210000000000003</v>
      </c>
      <c r="E6721" s="648"/>
      <c r="F6721" s="649" t="s">
        <v>30</v>
      </c>
      <c r="G6721" s="650" t="s">
        <v>47</v>
      </c>
      <c r="H6721" s="649" t="s">
        <v>1635</v>
      </c>
      <c r="I6721" s="651"/>
      <c r="J6721" s="652"/>
      <c r="K6721" s="645"/>
      <c r="L6721" s="649" t="s">
        <v>28</v>
      </c>
      <c r="M6721" s="649">
        <v>6921.6</v>
      </c>
      <c r="N6721" s="653">
        <v>0.41666666666666669</v>
      </c>
    </row>
    <row r="6722" spans="1:14" x14ac:dyDescent="0.25">
      <c r="A6722" s="844">
        <f t="shared" si="201"/>
        <v>4223</v>
      </c>
      <c r="B6722" s="531" t="s">
        <v>1614</v>
      </c>
      <c r="C6722" s="532" t="s">
        <v>23</v>
      </c>
      <c r="D6722" s="533">
        <v>4.0129999999999999</v>
      </c>
      <c r="E6722" s="534"/>
      <c r="F6722" s="535" t="s">
        <v>16</v>
      </c>
      <c r="G6722" s="536"/>
      <c r="H6722" s="535" t="s">
        <v>1635</v>
      </c>
      <c r="I6722" s="537"/>
      <c r="J6722" s="538"/>
      <c r="K6722" s="531"/>
      <c r="L6722" s="535" t="s">
        <v>28</v>
      </c>
      <c r="M6722" s="535">
        <v>4043.64</v>
      </c>
      <c r="N6722" s="539">
        <v>0.41666666666666669</v>
      </c>
    </row>
    <row r="6723" spans="1:14" ht="19.5" thickBot="1" x14ac:dyDescent="0.3">
      <c r="A6723" s="846"/>
      <c r="B6723" s="636" t="s">
        <v>1614</v>
      </c>
      <c r="C6723" s="637" t="s">
        <v>480</v>
      </c>
      <c r="D6723" s="638">
        <v>13.15</v>
      </c>
      <c r="E6723" s="639"/>
      <c r="F6723" s="640" t="s">
        <v>16</v>
      </c>
      <c r="G6723" s="641"/>
      <c r="H6723" s="640" t="s">
        <v>1635</v>
      </c>
      <c r="I6723" s="642"/>
      <c r="J6723" s="643"/>
      <c r="K6723" s="636"/>
      <c r="L6723" s="640" t="s">
        <v>266</v>
      </c>
      <c r="M6723" s="640">
        <v>13282.3</v>
      </c>
      <c r="N6723" s="644">
        <v>0.41666666666666669</v>
      </c>
    </row>
    <row r="6724" spans="1:14" x14ac:dyDescent="0.25">
      <c r="A6724" s="847">
        <f t="shared" si="201"/>
        <v>4224</v>
      </c>
      <c r="B6724" s="479" t="s">
        <v>1614</v>
      </c>
      <c r="C6724" s="480" t="s">
        <v>23</v>
      </c>
      <c r="D6724" s="481">
        <v>3.38</v>
      </c>
      <c r="E6724" s="482"/>
      <c r="F6724" s="483" t="s">
        <v>16</v>
      </c>
      <c r="G6724" s="549"/>
      <c r="H6724" s="483" t="s">
        <v>1635</v>
      </c>
      <c r="I6724" s="484"/>
      <c r="J6724" s="485"/>
      <c r="K6724" s="479"/>
      <c r="L6724" s="483" t="s">
        <v>28</v>
      </c>
      <c r="M6724" s="483">
        <v>3401.82</v>
      </c>
      <c r="N6724" s="486">
        <v>0.45833333333333331</v>
      </c>
    </row>
    <row r="6725" spans="1:14" ht="19.5" thickBot="1" x14ac:dyDescent="0.3">
      <c r="A6725" s="848"/>
      <c r="B6725" s="645" t="s">
        <v>1614</v>
      </c>
      <c r="C6725" s="646" t="s">
        <v>840</v>
      </c>
      <c r="D6725" s="647">
        <v>13.826000000000001</v>
      </c>
      <c r="E6725" s="648"/>
      <c r="F6725" s="649" t="s">
        <v>16</v>
      </c>
      <c r="G6725" s="650"/>
      <c r="H6725" s="649" t="s">
        <v>1635</v>
      </c>
      <c r="I6725" s="651"/>
      <c r="J6725" s="652"/>
      <c r="K6725" s="645"/>
      <c r="L6725" s="649" t="s">
        <v>266</v>
      </c>
      <c r="M6725" s="649">
        <v>13908.660000000002</v>
      </c>
      <c r="N6725" s="653">
        <v>0.45833333333333331</v>
      </c>
    </row>
    <row r="6726" spans="1:14" ht="19.5" thickBot="1" x14ac:dyDescent="0.3">
      <c r="A6726" s="503">
        <f t="shared" si="201"/>
        <v>4225</v>
      </c>
      <c r="B6726" s="504" t="s">
        <v>1614</v>
      </c>
      <c r="C6726" s="505" t="s">
        <v>26</v>
      </c>
      <c r="D6726" s="506">
        <v>17.5</v>
      </c>
      <c r="E6726" s="507"/>
      <c r="F6726" s="508" t="s">
        <v>16</v>
      </c>
      <c r="G6726" s="509"/>
      <c r="H6726" s="508" t="s">
        <v>1635</v>
      </c>
      <c r="I6726" s="510"/>
      <c r="J6726" s="511"/>
      <c r="K6726" s="504"/>
      <c r="L6726" s="508" t="s">
        <v>265</v>
      </c>
      <c r="M6726" s="508">
        <v>17527.2</v>
      </c>
      <c r="N6726" s="512">
        <v>0.66666666666666663</v>
      </c>
    </row>
    <row r="6727" spans="1:14" x14ac:dyDescent="0.25">
      <c r="A6727" s="676">
        <f t="shared" si="201"/>
        <v>4226</v>
      </c>
      <c r="B6727" s="676"/>
      <c r="C6727" s="473"/>
      <c r="D6727" s="474"/>
      <c r="E6727" s="475"/>
      <c r="F6727" s="676"/>
      <c r="G6727" s="476"/>
      <c r="H6727" s="676"/>
      <c r="I6727" s="477"/>
      <c r="J6727" s="478"/>
      <c r="K6727" s="676"/>
      <c r="L6727" s="676"/>
      <c r="M6727" s="676"/>
      <c r="N6727" s="676"/>
    </row>
    <row r="6728" spans="1:14" x14ac:dyDescent="0.25">
      <c r="A6728" s="676">
        <f t="shared" si="201"/>
        <v>4227</v>
      </c>
      <c r="B6728" s="676"/>
      <c r="C6728" s="473"/>
      <c r="D6728" s="474"/>
      <c r="E6728" s="475"/>
      <c r="F6728" s="676"/>
      <c r="G6728" s="476"/>
      <c r="H6728" s="676"/>
      <c r="I6728" s="477"/>
      <c r="J6728" s="478"/>
      <c r="K6728" s="676"/>
      <c r="L6728" s="676"/>
      <c r="M6728" s="676"/>
      <c r="N6728" s="676"/>
    </row>
    <row r="6729" spans="1:14" x14ac:dyDescent="0.25">
      <c r="A6729" s="676">
        <f t="shared" si="201"/>
        <v>4228</v>
      </c>
      <c r="B6729" s="676"/>
      <c r="C6729" s="473"/>
      <c r="D6729" s="474"/>
      <c r="E6729" s="475"/>
      <c r="F6729" s="676"/>
      <c r="G6729" s="476"/>
      <c r="H6729" s="676"/>
      <c r="I6729" s="477"/>
      <c r="J6729" s="478"/>
      <c r="K6729" s="676"/>
      <c r="L6729" s="676"/>
      <c r="M6729" s="676"/>
      <c r="N6729" s="676"/>
    </row>
    <row r="6730" spans="1:14" x14ac:dyDescent="0.25">
      <c r="A6730" s="676">
        <f t="shared" si="201"/>
        <v>4229</v>
      </c>
      <c r="B6730" s="676"/>
      <c r="C6730" s="473"/>
      <c r="D6730" s="474"/>
      <c r="E6730" s="475"/>
      <c r="F6730" s="676"/>
      <c r="G6730" s="476"/>
      <c r="H6730" s="676"/>
      <c r="I6730" s="477"/>
      <c r="J6730" s="478"/>
      <c r="K6730" s="676"/>
      <c r="L6730" s="676"/>
      <c r="M6730" s="676"/>
      <c r="N6730" s="676"/>
    </row>
  </sheetData>
  <autoFilter ref="A2:N6730" xr:uid="{00000000-0009-0000-0000-000000000000}">
    <filterColumn colId="10">
      <filters blank="1"/>
    </filterColumn>
  </autoFilter>
  <mergeCells count="1739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G5232:G523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G4950:G4951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5116:A5117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029:A5030"/>
    <mergeCell ref="A5082:A5083"/>
    <mergeCell ref="G5196:G5197"/>
    <mergeCell ref="G5188:G5189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049:A5052"/>
    <mergeCell ref="A6680:A6681"/>
    <mergeCell ref="A6682:A6683"/>
    <mergeCell ref="A6708:A6710"/>
    <mergeCell ref="A6698:A6699"/>
    <mergeCell ref="A6715:A6716"/>
    <mergeCell ref="G6715:G6716"/>
    <mergeCell ref="A6720:A6721"/>
    <mergeCell ref="A6722:A6723"/>
    <mergeCell ref="A6724:A6725"/>
    <mergeCell ref="A6673:A6674"/>
    <mergeCell ref="A6695:A6697"/>
    <mergeCell ref="A6700:A6702"/>
    <mergeCell ref="A6703:A6705"/>
    <mergeCell ref="A6670:A6672"/>
    <mergeCell ref="A6675:A6676"/>
    <mergeCell ref="A6678:A6679"/>
    <mergeCell ref="A6684:A6687"/>
    <mergeCell ref="A6688:A6690"/>
    <mergeCell ref="A6691:A6692"/>
    <mergeCell ref="A6693:A669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2026-07-18T06:34:44Z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